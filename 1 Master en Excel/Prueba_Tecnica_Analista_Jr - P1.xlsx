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6E3F4ED2-94B2-4771-9FC2-494DE1B26033}" xr6:coauthVersionLast="47" xr6:coauthVersionMax="47" xr10:uidLastSave="{00000000-0000-0000-0000-000000000000}"/>
  <bookViews>
    <workbookView xWindow="-3570" yWindow="-16335" windowWidth="29040" windowHeight="15840" activeTab="3" xr2:uid="{00000000-000D-0000-FFFF-FFFF00000000}"/>
  </bookViews>
  <sheets>
    <sheet name="Ventas" sheetId="1" r:id="rId1"/>
    <sheet name="catalogos" sheetId="4" r:id="rId2"/>
    <sheet name="Clientes" sheetId="2" r:id="rId3"/>
    <sheet name="Prestamos" sheetId="3" r:id="rId4"/>
  </sheets>
  <definedNames>
    <definedName name="_xlnm._FilterDatabase" localSheetId="2" hidden="1">Clientes!$A$1:$D$1501</definedName>
    <definedName name="_xlnm._FilterDatabase" localSheetId="3" hidden="1">Prestamos!$A$1:$D$1501</definedName>
    <definedName name="_xlnm._FilterDatabase" localSheetId="0" hidden="1">Ventas!$K$1:$N$26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 s="1"/>
  <c r="H4" i="3"/>
  <c r="K6" i="2"/>
  <c r="K7" i="2"/>
  <c r="K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N26" i="1"/>
  <c r="N22" i="1"/>
  <c r="N17" i="1"/>
  <c r="N16" i="1"/>
  <c r="N14" i="1"/>
  <c r="N8" i="1"/>
  <c r="N4" i="1"/>
  <c r="M4" i="1"/>
  <c r="M8" i="1"/>
  <c r="M14" i="1"/>
  <c r="M16" i="1"/>
  <c r="M17" i="1"/>
  <c r="M22" i="1"/>
  <c r="M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2" i="1"/>
  <c r="C2" i="1" s="1"/>
  <c r="K5" i="3"/>
  <c r="K4" i="3"/>
  <c r="J5" i="3"/>
  <c r="J4" i="3"/>
  <c r="I4" i="3"/>
  <c r="M7" i="1" l="1"/>
  <c r="N7" i="1"/>
  <c r="N2" i="1"/>
  <c r="M2" i="1"/>
  <c r="M3" i="1"/>
  <c r="N3" i="1"/>
  <c r="M6" i="1"/>
  <c r="N6" i="1"/>
  <c r="N12" i="1"/>
  <c r="M12" i="1"/>
  <c r="M18" i="1"/>
  <c r="N18" i="1"/>
  <c r="N25" i="1"/>
  <c r="M25" i="1"/>
  <c r="M5" i="1"/>
  <c r="N5" i="1"/>
  <c r="M15" i="1"/>
  <c r="N15" i="1"/>
  <c r="M19" i="1"/>
  <c r="N19" i="1"/>
  <c r="M23" i="1"/>
  <c r="N23" i="1"/>
  <c r="N13" i="1"/>
  <c r="M13" i="1"/>
  <c r="N9" i="1"/>
  <c r="M9" i="1"/>
  <c r="N11" i="1"/>
  <c r="M11" i="1"/>
  <c r="N10" i="1"/>
  <c r="M10" i="1"/>
  <c r="N24" i="1"/>
  <c r="M24" i="1"/>
  <c r="M20" i="1"/>
  <c r="N20" i="1"/>
  <c r="N21" i="1"/>
  <c r="M21" i="1"/>
</calcChain>
</file>

<file path=xl/sharedStrings.xml><?xml version="1.0" encoding="utf-8"?>
<sst xmlns="http://schemas.openxmlformats.org/spreadsheetml/2006/main" count="6097" uniqueCount="52">
  <si>
    <t>Fecha de Venta</t>
  </si>
  <si>
    <t>Región</t>
  </si>
  <si>
    <t>Tienda</t>
  </si>
  <si>
    <t>Cantidad de Productos Vendidos</t>
  </si>
  <si>
    <t>Precio Unitario</t>
  </si>
  <si>
    <t>Total de Venta ($)</t>
  </si>
  <si>
    <t>Oeste</t>
  </si>
  <si>
    <t>Sur</t>
  </si>
  <si>
    <t>Norte</t>
  </si>
  <si>
    <t>Centro</t>
  </si>
  <si>
    <t>Este</t>
  </si>
  <si>
    <t>Tienda D</t>
  </si>
  <si>
    <t>Tienda B</t>
  </si>
  <si>
    <t>Tienda A</t>
  </si>
  <si>
    <t>Tienda C</t>
  </si>
  <si>
    <t>Tienda E</t>
  </si>
  <si>
    <t>ID Cliente</t>
  </si>
  <si>
    <t>Fecha de Transacción</t>
  </si>
  <si>
    <t>Monto de la Transacción ($)</t>
  </si>
  <si>
    <t>Segmento</t>
  </si>
  <si>
    <t>Recurrente</t>
  </si>
  <si>
    <t>VIP</t>
  </si>
  <si>
    <t>Nuevo</t>
  </si>
  <si>
    <t>Fecha de Solicitud</t>
  </si>
  <si>
    <t>Monto Aprobado ($)</t>
  </si>
  <si>
    <t>Tipo de Préstamo</t>
  </si>
  <si>
    <t>Consumo</t>
  </si>
  <si>
    <t>Empresarial</t>
  </si>
  <si>
    <t>Hipotecario</t>
  </si>
  <si>
    <t>Prestamo más alto</t>
  </si>
  <si>
    <t>Prestamo más bajo</t>
  </si>
  <si>
    <t>1. Ventas del ultimo Mes para cada region</t>
  </si>
  <si>
    <t>Mes_num</t>
  </si>
  <si>
    <t>Mes_txt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</si>
  <si>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</si>
  <si>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</si>
  <si>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</si>
  <si>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</si>
  <si>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</si>
  <si>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</si>
  <si>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</si>
  <si>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</si>
  <si>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</si>
  <si>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</si>
  <si>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</si>
  <si>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</si>
  <si>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mes seleccionado</t>
  </si>
  <si>
    <t>2. Unidades Vendidas en el Mes</t>
  </si>
  <si>
    <t>1. Ticket promedio</t>
  </si>
  <si>
    <t>2. Ticket promedio</t>
  </si>
  <si>
    <t>Cant.</t>
  </si>
  <si>
    <t>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</si>
</sst>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yyyy\-mm\-dd"/>
    <numFmt numFmtId="170" formatCode="_(* #,##0_);_(* \(#,##0\);_(* &quot;-&quot;??_);_(@_)"/>
    <numFmt numFmtId="171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1" fontId="4" fillId="0" borderId="1" xfId="0" applyNumberFormat="1" applyFont="1" applyBorder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70" fontId="0" fillId="0" borderId="0" xfId="1" applyNumberFormat="1" applyFont="1"/>
    <xf numFmtId="0" fontId="0" fillId="0" borderId="1" xfId="0" applyBorder="1" applyAlignment="1">
      <alignment wrapText="1"/>
    </xf>
    <xf numFmtId="170" fontId="0" fillId="0" borderId="1" xfId="1" applyNumberFormat="1" applyFont="1" applyBorder="1" applyAlignment="1">
      <alignment wrapText="1"/>
    </xf>
    <xf numFmtId="0" fontId="0" fillId="0" borderId="0" xfId="0" applyAlignment="1">
      <alignment horizontal="center"/>
    </xf>
    <xf numFmtId="171" fontId="1" fillId="0" borderId="1" xfId="2" applyNumberFormat="1" applyFont="1" applyBorder="1" applyAlignment="1">
      <alignment horizontal="center" vertical="top"/>
    </xf>
    <xf numFmtId="171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2"/>
  <sheetViews>
    <sheetView zoomScale="115" zoomScaleNormal="115" workbookViewId="0">
      <selection activeCell="P8" sqref="P8"/>
    </sheetView>
  </sheetViews>
  <sheetFormatPr defaultColWidth="8.90625" defaultRowHeight="14.5" x14ac:dyDescent="0.35"/>
  <cols>
    <col min="1" max="1" width="13.7265625" bestFit="1" customWidth="1"/>
    <col min="2" max="2" width="9.6328125" style="7" bestFit="1" customWidth="1"/>
    <col min="3" max="3" width="9.6328125" style="7" customWidth="1"/>
    <col min="4" max="4" width="6.81640625" bestFit="1" customWidth="1"/>
    <col min="5" max="5" width="8.08984375" bestFit="1" customWidth="1"/>
    <col min="6" max="6" width="28.81640625" bestFit="1" customWidth="1"/>
    <col min="7" max="7" width="13.453125" bestFit="1" customWidth="1"/>
    <col min="8" max="8" width="16.08984375" bestFit="1" customWidth="1"/>
    <col min="13" max="13" width="15.6328125" customWidth="1"/>
    <col min="14" max="14" width="12.81640625" style="10" bestFit="1" customWidth="1"/>
    <col min="15" max="15" width="10.7265625" customWidth="1"/>
    <col min="16" max="16" width="15.6328125" bestFit="1" customWidth="1"/>
  </cols>
  <sheetData>
    <row r="1" spans="1:17" ht="43.5" x14ac:dyDescent="0.35">
      <c r="A1" s="1" t="s">
        <v>0</v>
      </c>
      <c r="B1" s="6" t="s">
        <v>32</v>
      </c>
      <c r="C1" s="6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K1" s="1" t="s">
        <v>1</v>
      </c>
      <c r="L1" s="1" t="s">
        <v>2</v>
      </c>
      <c r="M1" s="11" t="s">
        <v>31</v>
      </c>
      <c r="N1" s="12" t="s">
        <v>47</v>
      </c>
      <c r="P1" s="8" t="s">
        <v>46</v>
      </c>
      <c r="Q1" s="9" t="s">
        <v>34</v>
      </c>
    </row>
    <row r="2" spans="1:17" x14ac:dyDescent="0.35">
      <c r="A2" s="2">
        <v>45292</v>
      </c>
      <c r="B2" s="7">
        <f>MONTH(A2)</f>
        <v>1</v>
      </c>
      <c r="C2" s="7" t="str">
        <f>_xlfn.XLOOKUP(B2,catalogos!$A$2:$A$13,catalogos!$B$2:$B$13)</f>
        <v>January</v>
      </c>
      <c r="D2" t="s">
        <v>6</v>
      </c>
      <c r="E2" t="s">
        <v>11</v>
      </c>
      <c r="F2">
        <v>45</v>
      </c>
      <c r="G2">
        <v>467</v>
      </c>
      <c r="H2">
        <v>21015</v>
      </c>
      <c r="K2" t="s">
        <v>9</v>
      </c>
      <c r="L2" t="s">
        <v>13</v>
      </c>
      <c r="M2" s="4">
        <f>SUMIFS($H$1:$H$1501,$D$1:$D$1501,"="&amp;K2,$E$1:$E$1501,"="&amp;L2,$C$1:$C$1501,"="&amp;$Q$1)</f>
        <v>280262</v>
      </c>
      <c r="N2" s="10">
        <f>SUMIFS($F$1:$F$1501,$D$1:$D$1501,"="&amp;K2,$E$1:$E$1501,"="&amp;L2,$C$1:$C$1501,"="&amp;$Q$1)</f>
        <v>1410</v>
      </c>
    </row>
    <row r="3" spans="1:17" x14ac:dyDescent="0.35">
      <c r="A3" s="2">
        <v>45292</v>
      </c>
      <c r="B3" s="7">
        <f t="shared" ref="B3:B66" si="0">MONTH(A3)</f>
        <v>1</v>
      </c>
      <c r="C3" s="7" t="str">
        <f>_xlfn.XLOOKUP(B3,catalogos!$A$2:$A$13,catalogos!$B$2:$B$13)</f>
        <v>January</v>
      </c>
      <c r="D3" t="s">
        <v>7</v>
      </c>
      <c r="E3" t="s">
        <v>12</v>
      </c>
      <c r="F3">
        <v>51</v>
      </c>
      <c r="G3">
        <v>300</v>
      </c>
      <c r="H3">
        <v>15300</v>
      </c>
      <c r="K3" t="s">
        <v>9</v>
      </c>
      <c r="L3" t="s">
        <v>12</v>
      </c>
      <c r="M3" s="4">
        <f>SUMIFS($H$1:$H$1501,$D$1:$D$1501,"="&amp;K3,$E$1:$E$1501,"="&amp;L3,$C$1:$C$1501,"="&amp;$Q$1)</f>
        <v>341763</v>
      </c>
      <c r="N3" s="10">
        <f>SUMIFS($F$1:$F$1501,$D$1:$D$1501,"="&amp;K3,$E$1:$E$1501,"="&amp;L3,$C$1:$C$1501,"="&amp;$Q$1)</f>
        <v>1308</v>
      </c>
    </row>
    <row r="4" spans="1:17" x14ac:dyDescent="0.35">
      <c r="A4" s="2">
        <v>45292</v>
      </c>
      <c r="B4" s="7">
        <f t="shared" si="0"/>
        <v>1</v>
      </c>
      <c r="C4" s="7" t="str">
        <f>_xlfn.XLOOKUP(B4,catalogos!$A$2:$A$13,catalogos!$B$2:$B$13)</f>
        <v>January</v>
      </c>
      <c r="D4" t="s">
        <v>8</v>
      </c>
      <c r="E4" t="s">
        <v>11</v>
      </c>
      <c r="F4">
        <v>69</v>
      </c>
      <c r="G4">
        <v>298</v>
      </c>
      <c r="H4">
        <v>20562</v>
      </c>
      <c r="K4" t="s">
        <v>9</v>
      </c>
      <c r="L4" t="s">
        <v>14</v>
      </c>
      <c r="M4" s="4">
        <f>SUMIFS($H$1:$H$1501,$D$1:$D$1501,"="&amp;K4,$E$1:$E$1501,"="&amp;L4,$C$1:$C$1501,"="&amp;$Q$1)</f>
        <v>344141</v>
      </c>
      <c r="N4" s="10">
        <f>SUMIFS($F$1:$F$1501,$D$1:$D$1501,"="&amp;K4,$E$1:$E$1501,"="&amp;L4,$C$1:$C$1501,"="&amp;$Q$1)</f>
        <v>1354</v>
      </c>
    </row>
    <row r="5" spans="1:17" x14ac:dyDescent="0.35">
      <c r="A5" s="2">
        <v>45292</v>
      </c>
      <c r="B5" s="7">
        <f t="shared" si="0"/>
        <v>1</v>
      </c>
      <c r="C5" s="7" t="str">
        <f>_xlfn.XLOOKUP(B5,catalogos!$A$2:$A$13,catalogos!$B$2:$B$13)</f>
        <v>January</v>
      </c>
      <c r="D5" t="s">
        <v>9</v>
      </c>
      <c r="E5" t="s">
        <v>11</v>
      </c>
      <c r="F5">
        <v>83</v>
      </c>
      <c r="G5">
        <v>445</v>
      </c>
      <c r="H5">
        <v>36935</v>
      </c>
      <c r="K5" t="s">
        <v>9</v>
      </c>
      <c r="L5" t="s">
        <v>11</v>
      </c>
      <c r="M5" s="4">
        <f>SUMIFS($H$1:$H$1501,$D$1:$D$1501,"="&amp;K5,$E$1:$E$1501,"="&amp;L5,$C$1:$C$1501,"="&amp;$Q$1)</f>
        <v>387430</v>
      </c>
      <c r="N5" s="10">
        <f>SUMIFS($F$1:$F$1501,$D$1:$D$1501,"="&amp;K5,$E$1:$E$1501,"="&amp;L5,$C$1:$C$1501,"="&amp;$Q$1)</f>
        <v>1569</v>
      </c>
    </row>
    <row r="6" spans="1:17" x14ac:dyDescent="0.35">
      <c r="A6" s="2">
        <v>45292</v>
      </c>
      <c r="B6" s="7">
        <f t="shared" si="0"/>
        <v>1</v>
      </c>
      <c r="C6" s="7" t="str">
        <f>_xlfn.XLOOKUP(B6,catalogos!$A$2:$A$13,catalogos!$B$2:$B$13)</f>
        <v>January</v>
      </c>
      <c r="D6" t="s">
        <v>7</v>
      </c>
      <c r="E6" t="s">
        <v>11</v>
      </c>
      <c r="F6">
        <v>22</v>
      </c>
      <c r="G6">
        <v>231</v>
      </c>
      <c r="H6">
        <v>5082</v>
      </c>
      <c r="K6" t="s">
        <v>9</v>
      </c>
      <c r="L6" t="s">
        <v>15</v>
      </c>
      <c r="M6" s="4">
        <f>SUMIFS($H$1:$H$1501,$D$1:$D$1501,"="&amp;K6,$E$1:$E$1501,"="&amp;L6,$C$1:$C$1501,"="&amp;$Q$1)</f>
        <v>480069</v>
      </c>
      <c r="N6" s="10">
        <f>SUMIFS($F$1:$F$1501,$D$1:$D$1501,"="&amp;K6,$E$1:$E$1501,"="&amp;L6,$C$1:$C$1501,"="&amp;$Q$1)</f>
        <v>1859</v>
      </c>
    </row>
    <row r="7" spans="1:17" x14ac:dyDescent="0.35">
      <c r="A7" s="2">
        <v>45292</v>
      </c>
      <c r="B7" s="7">
        <f t="shared" si="0"/>
        <v>1</v>
      </c>
      <c r="C7" s="7" t="str">
        <f>_xlfn.XLOOKUP(B7,catalogos!$A$2:$A$13,catalogos!$B$2:$B$13)</f>
        <v>January</v>
      </c>
      <c r="D7" t="s">
        <v>8</v>
      </c>
      <c r="E7" t="s">
        <v>11</v>
      </c>
      <c r="F7">
        <v>64</v>
      </c>
      <c r="G7">
        <v>437</v>
      </c>
      <c r="H7">
        <v>27968</v>
      </c>
      <c r="K7" t="s">
        <v>10</v>
      </c>
      <c r="L7" t="s">
        <v>13</v>
      </c>
      <c r="M7" s="4">
        <f>SUMIFS($H$1:$H$1501,$D$1:$D$1501,"="&amp;K7,$E$1:$E$1501,"="&amp;L7,$C$1:$C$1501,"="&amp;$Q$1)</f>
        <v>305154</v>
      </c>
      <c r="N7" s="10">
        <f>SUMIFS($F$1:$F$1501,$D$1:$D$1501,"="&amp;K7,$E$1:$E$1501,"="&amp;L7,$C$1:$C$1501,"="&amp;$Q$1)</f>
        <v>1154</v>
      </c>
    </row>
    <row r="8" spans="1:17" x14ac:dyDescent="0.35">
      <c r="A8" s="2">
        <v>45292</v>
      </c>
      <c r="B8" s="7">
        <f t="shared" si="0"/>
        <v>1</v>
      </c>
      <c r="C8" s="7" t="str">
        <f>_xlfn.XLOOKUP(B8,catalogos!$A$2:$A$13,catalogos!$B$2:$B$13)</f>
        <v>January</v>
      </c>
      <c r="D8" t="s">
        <v>8</v>
      </c>
      <c r="E8" t="s">
        <v>13</v>
      </c>
      <c r="F8">
        <v>10</v>
      </c>
      <c r="G8">
        <v>275</v>
      </c>
      <c r="H8">
        <v>2750</v>
      </c>
      <c r="K8" t="s">
        <v>10</v>
      </c>
      <c r="L8" t="s">
        <v>12</v>
      </c>
      <c r="M8" s="4">
        <f>SUMIFS($H$1:$H$1501,$D$1:$D$1501,"="&amp;K8,$E$1:$E$1501,"="&amp;L8,$C$1:$C$1501,"="&amp;$Q$1)</f>
        <v>317421</v>
      </c>
      <c r="N8" s="10">
        <f>SUMIFS($F$1:$F$1501,$D$1:$D$1501,"="&amp;K8,$E$1:$E$1501,"="&amp;L8,$C$1:$C$1501,"="&amp;$Q$1)</f>
        <v>1503</v>
      </c>
    </row>
    <row r="9" spans="1:17" x14ac:dyDescent="0.35">
      <c r="A9" s="2">
        <v>45292</v>
      </c>
      <c r="B9" s="7">
        <f t="shared" si="0"/>
        <v>1</v>
      </c>
      <c r="C9" s="7" t="str">
        <f>_xlfn.XLOOKUP(B9,catalogos!$A$2:$A$13,catalogos!$B$2:$B$13)</f>
        <v>January</v>
      </c>
      <c r="D9" t="s">
        <v>7</v>
      </c>
      <c r="E9" t="s">
        <v>14</v>
      </c>
      <c r="F9">
        <v>12</v>
      </c>
      <c r="G9">
        <v>23</v>
      </c>
      <c r="H9">
        <v>276</v>
      </c>
      <c r="K9" t="s">
        <v>10</v>
      </c>
      <c r="L9" t="s">
        <v>14</v>
      </c>
      <c r="M9" s="4">
        <f>SUMIFS($H$1:$H$1501,$D$1:$D$1501,"="&amp;K9,$E$1:$E$1501,"="&amp;L9,$C$1:$C$1501,"="&amp;$Q$1)</f>
        <v>410419</v>
      </c>
      <c r="N9" s="10">
        <f>SUMIFS($F$1:$F$1501,$D$1:$D$1501,"="&amp;K9,$E$1:$E$1501,"="&amp;L9,$C$1:$C$1501,"="&amp;$Q$1)</f>
        <v>1630</v>
      </c>
    </row>
    <row r="10" spans="1:17" x14ac:dyDescent="0.35">
      <c r="A10" s="2">
        <v>45292</v>
      </c>
      <c r="B10" s="7">
        <f t="shared" si="0"/>
        <v>1</v>
      </c>
      <c r="C10" s="7" t="str">
        <f>_xlfn.XLOOKUP(B10,catalogos!$A$2:$A$13,catalogos!$B$2:$B$13)</f>
        <v>January</v>
      </c>
      <c r="D10" t="s">
        <v>10</v>
      </c>
      <c r="E10" t="s">
        <v>15</v>
      </c>
      <c r="F10">
        <v>47</v>
      </c>
      <c r="G10">
        <v>419</v>
      </c>
      <c r="H10">
        <v>19693</v>
      </c>
      <c r="K10" t="s">
        <v>10</v>
      </c>
      <c r="L10" t="s">
        <v>11</v>
      </c>
      <c r="M10" s="4">
        <f>SUMIFS($H$1:$H$1501,$D$1:$D$1501,"="&amp;K10,$E$1:$E$1501,"="&amp;L10,$C$1:$C$1501,"="&amp;$Q$1)</f>
        <v>308900</v>
      </c>
      <c r="N10" s="10">
        <f>SUMIFS($F$1:$F$1501,$D$1:$D$1501,"="&amp;K10,$E$1:$E$1501,"="&amp;L10,$C$1:$C$1501,"="&amp;$Q$1)</f>
        <v>1392</v>
      </c>
    </row>
    <row r="11" spans="1:17" x14ac:dyDescent="0.35">
      <c r="A11" s="2">
        <v>45292</v>
      </c>
      <c r="B11" s="7">
        <f t="shared" si="0"/>
        <v>1</v>
      </c>
      <c r="C11" s="7" t="str">
        <f>_xlfn.XLOOKUP(B11,catalogos!$A$2:$A$13,catalogos!$B$2:$B$13)</f>
        <v>January</v>
      </c>
      <c r="D11" t="s">
        <v>10</v>
      </c>
      <c r="E11" t="s">
        <v>14</v>
      </c>
      <c r="F11">
        <v>8</v>
      </c>
      <c r="G11">
        <v>286</v>
      </c>
      <c r="H11">
        <v>2288</v>
      </c>
      <c r="K11" t="s">
        <v>10</v>
      </c>
      <c r="L11" t="s">
        <v>15</v>
      </c>
      <c r="M11" s="4">
        <f>SUMIFS($H$1:$H$1501,$D$1:$D$1501,"="&amp;K11,$E$1:$E$1501,"="&amp;L11,$C$1:$C$1501,"="&amp;$Q$1)</f>
        <v>429280</v>
      </c>
      <c r="N11" s="10">
        <f>SUMIFS($F$1:$F$1501,$D$1:$D$1501,"="&amp;K11,$E$1:$E$1501,"="&amp;L11,$C$1:$C$1501,"="&amp;$Q$1)</f>
        <v>1699</v>
      </c>
    </row>
    <row r="12" spans="1:17" x14ac:dyDescent="0.35">
      <c r="A12" s="2">
        <v>45292</v>
      </c>
      <c r="B12" s="7">
        <f t="shared" si="0"/>
        <v>1</v>
      </c>
      <c r="C12" s="7" t="str">
        <f>_xlfn.XLOOKUP(B12,catalogos!$A$2:$A$13,catalogos!$B$2:$B$13)</f>
        <v>January</v>
      </c>
      <c r="D12" t="s">
        <v>8</v>
      </c>
      <c r="E12" t="s">
        <v>11</v>
      </c>
      <c r="F12">
        <v>82</v>
      </c>
      <c r="G12">
        <v>5</v>
      </c>
      <c r="H12">
        <v>410</v>
      </c>
      <c r="K12" t="s">
        <v>8</v>
      </c>
      <c r="L12" t="s">
        <v>13</v>
      </c>
      <c r="M12" s="4">
        <f>SUMIFS($H$1:$H$1501,$D$1:$D$1501,"="&amp;K12,$E$1:$E$1501,"="&amp;L12,$C$1:$C$1501,"="&amp;$Q$1)</f>
        <v>389785</v>
      </c>
      <c r="N12" s="10">
        <f>SUMIFS($F$1:$F$1501,$D$1:$D$1501,"="&amp;K12,$E$1:$E$1501,"="&amp;L12,$C$1:$C$1501,"="&amp;$Q$1)</f>
        <v>1218</v>
      </c>
    </row>
    <row r="13" spans="1:17" x14ac:dyDescent="0.35">
      <c r="A13" s="2">
        <v>45292</v>
      </c>
      <c r="B13" s="7">
        <f t="shared" si="0"/>
        <v>1</v>
      </c>
      <c r="C13" s="7" t="str">
        <f>_xlfn.XLOOKUP(B13,catalogos!$A$2:$A$13,catalogos!$B$2:$B$13)</f>
        <v>January</v>
      </c>
      <c r="D13" t="s">
        <v>9</v>
      </c>
      <c r="E13" t="s">
        <v>13</v>
      </c>
      <c r="F13">
        <v>35</v>
      </c>
      <c r="G13">
        <v>344</v>
      </c>
      <c r="H13">
        <v>12040</v>
      </c>
      <c r="K13" t="s">
        <v>8</v>
      </c>
      <c r="L13" t="s">
        <v>12</v>
      </c>
      <c r="M13" s="4">
        <f>SUMIFS($H$1:$H$1501,$D$1:$D$1501,"="&amp;K13,$E$1:$E$1501,"="&amp;L13,$C$1:$C$1501,"="&amp;$Q$1)</f>
        <v>353322</v>
      </c>
      <c r="N13" s="10">
        <f>SUMIFS($F$1:$F$1501,$D$1:$D$1501,"="&amp;K13,$E$1:$E$1501,"="&amp;L13,$C$1:$C$1501,"="&amp;$Q$1)</f>
        <v>1393</v>
      </c>
    </row>
    <row r="14" spans="1:17" x14ac:dyDescent="0.35">
      <c r="A14" s="2">
        <v>45292</v>
      </c>
      <c r="B14" s="7">
        <f t="shared" si="0"/>
        <v>1</v>
      </c>
      <c r="C14" s="7" t="str">
        <f>_xlfn.XLOOKUP(B14,catalogos!$A$2:$A$13,catalogos!$B$2:$B$13)</f>
        <v>January</v>
      </c>
      <c r="D14" t="s">
        <v>6</v>
      </c>
      <c r="E14" t="s">
        <v>15</v>
      </c>
      <c r="F14">
        <v>32</v>
      </c>
      <c r="G14">
        <v>152</v>
      </c>
      <c r="H14">
        <v>4864</v>
      </c>
      <c r="K14" t="s">
        <v>8</v>
      </c>
      <c r="L14" t="s">
        <v>14</v>
      </c>
      <c r="M14" s="4">
        <f>SUMIFS($H$1:$H$1501,$D$1:$D$1501,"="&amp;K14,$E$1:$E$1501,"="&amp;L14,$C$1:$C$1501,"="&amp;$Q$1)</f>
        <v>190931</v>
      </c>
      <c r="N14" s="10">
        <f>SUMIFS($F$1:$F$1501,$D$1:$D$1501,"="&amp;K14,$E$1:$E$1501,"="&amp;L14,$C$1:$C$1501,"="&amp;$Q$1)</f>
        <v>844</v>
      </c>
    </row>
    <row r="15" spans="1:17" x14ac:dyDescent="0.35">
      <c r="A15" s="2">
        <v>45292</v>
      </c>
      <c r="B15" s="7">
        <f t="shared" si="0"/>
        <v>1</v>
      </c>
      <c r="C15" s="7" t="str">
        <f>_xlfn.XLOOKUP(B15,catalogos!$A$2:$A$13,catalogos!$B$2:$B$13)</f>
        <v>January</v>
      </c>
      <c r="D15" t="s">
        <v>6</v>
      </c>
      <c r="E15" t="s">
        <v>14</v>
      </c>
      <c r="F15">
        <v>44</v>
      </c>
      <c r="G15">
        <v>212</v>
      </c>
      <c r="H15">
        <v>9328</v>
      </c>
      <c r="K15" t="s">
        <v>8</v>
      </c>
      <c r="L15" t="s">
        <v>11</v>
      </c>
      <c r="M15" s="4">
        <f>SUMIFS($H$1:$H$1501,$D$1:$D$1501,"="&amp;K15,$E$1:$E$1501,"="&amp;L15,$C$1:$C$1501,"="&amp;$Q$1)</f>
        <v>366807</v>
      </c>
      <c r="N15" s="10">
        <f>SUMIFS($F$1:$F$1501,$D$1:$D$1501,"="&amp;K15,$E$1:$E$1501,"="&amp;L15,$C$1:$C$1501,"="&amp;$Q$1)</f>
        <v>1293</v>
      </c>
    </row>
    <row r="16" spans="1:17" x14ac:dyDescent="0.35">
      <c r="A16" s="2">
        <v>45292</v>
      </c>
      <c r="B16" s="7">
        <f t="shared" si="0"/>
        <v>1</v>
      </c>
      <c r="C16" s="7" t="str">
        <f>_xlfn.XLOOKUP(B16,catalogos!$A$2:$A$13,catalogos!$B$2:$B$13)</f>
        <v>January</v>
      </c>
      <c r="D16" t="s">
        <v>8</v>
      </c>
      <c r="E16" t="s">
        <v>13</v>
      </c>
      <c r="F16">
        <v>18</v>
      </c>
      <c r="G16">
        <v>192</v>
      </c>
      <c r="H16">
        <v>3456</v>
      </c>
      <c r="K16" t="s">
        <v>8</v>
      </c>
      <c r="L16" t="s">
        <v>15</v>
      </c>
      <c r="M16" s="4">
        <f>SUMIFS($H$1:$H$1501,$D$1:$D$1501,"="&amp;K16,$E$1:$E$1501,"="&amp;L16,$C$1:$C$1501,"="&amp;$Q$1)</f>
        <v>331196</v>
      </c>
      <c r="N16" s="10">
        <f>SUMIFS($F$1:$F$1501,$D$1:$D$1501,"="&amp;K16,$E$1:$E$1501,"="&amp;L16,$C$1:$C$1501,"="&amp;$Q$1)</f>
        <v>1086</v>
      </c>
    </row>
    <row r="17" spans="1:15" x14ac:dyDescent="0.35">
      <c r="A17" s="2">
        <v>45292</v>
      </c>
      <c r="B17" s="7">
        <f t="shared" si="0"/>
        <v>1</v>
      </c>
      <c r="C17" s="7" t="str">
        <f>_xlfn.XLOOKUP(B17,catalogos!$A$2:$A$13,catalogos!$B$2:$B$13)</f>
        <v>January</v>
      </c>
      <c r="D17" t="s">
        <v>9</v>
      </c>
      <c r="E17" t="s">
        <v>13</v>
      </c>
      <c r="F17">
        <v>86</v>
      </c>
      <c r="G17">
        <v>456</v>
      </c>
      <c r="H17">
        <v>39216</v>
      </c>
      <c r="K17" t="s">
        <v>6</v>
      </c>
      <c r="L17" t="s">
        <v>13</v>
      </c>
      <c r="M17" s="4">
        <f>SUMIFS($H$1:$H$1501,$D$1:$D$1501,"="&amp;K17,$E$1:$E$1501,"="&amp;L17,$C$1:$C$1501,"="&amp;$Q$1)</f>
        <v>269933</v>
      </c>
      <c r="N17" s="10">
        <f>SUMIFS($F$1:$F$1501,$D$1:$D$1501,"="&amp;K17,$E$1:$E$1501,"="&amp;L17,$C$1:$C$1501,"="&amp;$Q$1)</f>
        <v>1421</v>
      </c>
    </row>
    <row r="18" spans="1:15" x14ac:dyDescent="0.35">
      <c r="A18" s="2">
        <v>45292</v>
      </c>
      <c r="B18" s="7">
        <f t="shared" si="0"/>
        <v>1</v>
      </c>
      <c r="C18" s="7" t="str">
        <f>_xlfn.XLOOKUP(B18,catalogos!$A$2:$A$13,catalogos!$B$2:$B$13)</f>
        <v>January</v>
      </c>
      <c r="D18" t="s">
        <v>10</v>
      </c>
      <c r="E18" t="s">
        <v>15</v>
      </c>
      <c r="F18">
        <v>65</v>
      </c>
      <c r="G18">
        <v>87</v>
      </c>
      <c r="H18">
        <v>5655</v>
      </c>
      <c r="K18" t="s">
        <v>6</v>
      </c>
      <c r="L18" t="s">
        <v>12</v>
      </c>
      <c r="M18" s="4">
        <f>SUMIFS($H$1:$H$1501,$D$1:$D$1501,"="&amp;K18,$E$1:$E$1501,"="&amp;L18,$C$1:$C$1501,"="&amp;$Q$1)</f>
        <v>369763</v>
      </c>
      <c r="N18" s="10">
        <f>SUMIFS($F$1:$F$1501,$D$1:$D$1501,"="&amp;K18,$E$1:$E$1501,"="&amp;L18,$C$1:$C$1501,"="&amp;$Q$1)</f>
        <v>1349</v>
      </c>
    </row>
    <row r="19" spans="1:15" x14ac:dyDescent="0.35">
      <c r="A19" s="2">
        <v>45292</v>
      </c>
      <c r="B19" s="7">
        <f t="shared" si="0"/>
        <v>1</v>
      </c>
      <c r="C19" s="7" t="str">
        <f>_xlfn.XLOOKUP(B19,catalogos!$A$2:$A$13,catalogos!$B$2:$B$13)</f>
        <v>January</v>
      </c>
      <c r="D19" t="s">
        <v>6</v>
      </c>
      <c r="E19" t="s">
        <v>12</v>
      </c>
      <c r="F19">
        <v>63</v>
      </c>
      <c r="G19">
        <v>234</v>
      </c>
      <c r="H19">
        <v>14742</v>
      </c>
      <c r="K19" t="s">
        <v>6</v>
      </c>
      <c r="L19" t="s">
        <v>14</v>
      </c>
      <c r="M19" s="4">
        <f>SUMIFS($H$1:$H$1501,$D$1:$D$1501,"="&amp;K19,$E$1:$E$1501,"="&amp;L19,$C$1:$C$1501,"="&amp;$Q$1)</f>
        <v>390292</v>
      </c>
      <c r="N19" s="10">
        <f>SUMIFS($F$1:$F$1501,$D$1:$D$1501,"="&amp;K19,$E$1:$E$1501,"="&amp;L19,$C$1:$C$1501,"="&amp;$Q$1)</f>
        <v>1689</v>
      </c>
    </row>
    <row r="20" spans="1:15" x14ac:dyDescent="0.35">
      <c r="A20" s="2">
        <v>45292</v>
      </c>
      <c r="B20" s="7">
        <f t="shared" si="0"/>
        <v>1</v>
      </c>
      <c r="C20" s="7" t="str">
        <f>_xlfn.XLOOKUP(B20,catalogos!$A$2:$A$13,catalogos!$B$2:$B$13)</f>
        <v>January</v>
      </c>
      <c r="D20" t="s">
        <v>9</v>
      </c>
      <c r="E20" t="s">
        <v>15</v>
      </c>
      <c r="F20">
        <v>11</v>
      </c>
      <c r="G20">
        <v>123</v>
      </c>
      <c r="H20">
        <v>1353</v>
      </c>
      <c r="K20" t="s">
        <v>6</v>
      </c>
      <c r="L20" t="s">
        <v>11</v>
      </c>
      <c r="M20" s="4">
        <f>SUMIFS($H$1:$H$1501,$D$1:$D$1501,"="&amp;K20,$E$1:$E$1501,"="&amp;L20,$C$1:$C$1501,"="&amp;$Q$1)</f>
        <v>555283</v>
      </c>
      <c r="N20" s="10">
        <f>SUMIFS($F$1:$F$1501,$D$1:$D$1501,"="&amp;K20,$E$1:$E$1501,"="&amp;L20,$C$1:$C$1501,"="&amp;$Q$1)</f>
        <v>2033</v>
      </c>
    </row>
    <row r="21" spans="1:15" x14ac:dyDescent="0.35">
      <c r="A21" s="2">
        <v>45292</v>
      </c>
      <c r="B21" s="7">
        <f t="shared" si="0"/>
        <v>1</v>
      </c>
      <c r="C21" s="7" t="str">
        <f>_xlfn.XLOOKUP(B21,catalogos!$A$2:$A$13,catalogos!$B$2:$B$13)</f>
        <v>January</v>
      </c>
      <c r="D21" t="s">
        <v>10</v>
      </c>
      <c r="E21" t="s">
        <v>11</v>
      </c>
      <c r="F21">
        <v>3</v>
      </c>
      <c r="G21">
        <v>129</v>
      </c>
      <c r="H21">
        <v>387</v>
      </c>
      <c r="K21" t="s">
        <v>6</v>
      </c>
      <c r="L21" t="s">
        <v>15</v>
      </c>
      <c r="M21" s="4">
        <f>SUMIFS($H$1:$H$1501,$D$1:$D$1501,"="&amp;K21,$E$1:$E$1501,"="&amp;L21,$C$1:$C$1501,"="&amp;$Q$1)</f>
        <v>403963</v>
      </c>
      <c r="N21" s="10">
        <f>SUMIFS($F$1:$F$1501,$D$1:$D$1501,"="&amp;K21,$E$1:$E$1501,"="&amp;L21,$C$1:$C$1501,"="&amp;$Q$1)</f>
        <v>1715</v>
      </c>
    </row>
    <row r="22" spans="1:15" x14ac:dyDescent="0.35">
      <c r="A22" s="2">
        <v>45292</v>
      </c>
      <c r="B22" s="7">
        <f t="shared" si="0"/>
        <v>1</v>
      </c>
      <c r="C22" s="7" t="str">
        <f>_xlfn.XLOOKUP(B22,catalogos!$A$2:$A$13,catalogos!$B$2:$B$13)</f>
        <v>January</v>
      </c>
      <c r="D22" t="s">
        <v>6</v>
      </c>
      <c r="E22" t="s">
        <v>14</v>
      </c>
      <c r="F22">
        <v>98</v>
      </c>
      <c r="G22">
        <v>73</v>
      </c>
      <c r="H22">
        <v>7154</v>
      </c>
      <c r="K22" t="s">
        <v>7</v>
      </c>
      <c r="L22" t="s">
        <v>13</v>
      </c>
      <c r="M22" s="4">
        <f>SUMIFS($H$1:$H$1501,$D$1:$D$1501,"="&amp;K22,$E$1:$E$1501,"="&amp;L22,$C$1:$C$1501,"="&amp;$Q$1)</f>
        <v>542534</v>
      </c>
      <c r="N22" s="10">
        <f>SUMIFS($F$1:$F$1501,$D$1:$D$1501,"="&amp;K22,$E$1:$E$1501,"="&amp;L22,$C$1:$C$1501,"="&amp;$Q$1)</f>
        <v>1994</v>
      </c>
    </row>
    <row r="23" spans="1:15" x14ac:dyDescent="0.35">
      <c r="A23" s="2">
        <v>45292</v>
      </c>
      <c r="B23" s="7">
        <f t="shared" si="0"/>
        <v>1</v>
      </c>
      <c r="C23" s="7" t="str">
        <f>_xlfn.XLOOKUP(B23,catalogos!$A$2:$A$13,catalogos!$B$2:$B$13)</f>
        <v>January</v>
      </c>
      <c r="D23" t="s">
        <v>8</v>
      </c>
      <c r="E23" t="s">
        <v>12</v>
      </c>
      <c r="F23">
        <v>59</v>
      </c>
      <c r="G23">
        <v>80</v>
      </c>
      <c r="H23">
        <v>4720</v>
      </c>
      <c r="K23" t="s">
        <v>7</v>
      </c>
      <c r="L23" t="s">
        <v>12</v>
      </c>
      <c r="M23" s="4">
        <f>SUMIFS($H$1:$H$1501,$D$1:$D$1501,"="&amp;K23,$E$1:$E$1501,"="&amp;L23,$C$1:$C$1501,"="&amp;$Q$1)</f>
        <v>310806</v>
      </c>
      <c r="N23" s="10">
        <f>SUMIFS($F$1:$F$1501,$D$1:$D$1501,"="&amp;K23,$E$1:$E$1501,"="&amp;L23,$C$1:$C$1501,"="&amp;$Q$1)</f>
        <v>1327</v>
      </c>
    </row>
    <row r="24" spans="1:15" x14ac:dyDescent="0.35">
      <c r="A24" s="2">
        <v>45292</v>
      </c>
      <c r="B24" s="7">
        <f t="shared" si="0"/>
        <v>1</v>
      </c>
      <c r="C24" s="7" t="str">
        <f>_xlfn.XLOOKUP(B24,catalogos!$A$2:$A$13,catalogos!$B$2:$B$13)</f>
        <v>January</v>
      </c>
      <c r="D24" t="s">
        <v>9</v>
      </c>
      <c r="E24" t="s">
        <v>12</v>
      </c>
      <c r="F24">
        <v>97</v>
      </c>
      <c r="G24">
        <v>253</v>
      </c>
      <c r="H24">
        <v>24541</v>
      </c>
      <c r="K24" t="s">
        <v>7</v>
      </c>
      <c r="L24" t="s">
        <v>14</v>
      </c>
      <c r="M24" s="4">
        <f>SUMIFS($H$1:$H$1501,$D$1:$D$1501,"="&amp;K24,$E$1:$E$1501,"="&amp;L24,$C$1:$C$1501,"="&amp;$Q$1)</f>
        <v>311258</v>
      </c>
      <c r="N24" s="10">
        <f>SUMIFS($F$1:$F$1501,$D$1:$D$1501,"="&amp;K24,$E$1:$E$1501,"="&amp;L24,$C$1:$C$1501,"="&amp;$Q$1)</f>
        <v>1013</v>
      </c>
    </row>
    <row r="25" spans="1:15" x14ac:dyDescent="0.35">
      <c r="A25" s="2">
        <v>45292</v>
      </c>
      <c r="B25" s="7">
        <f t="shared" si="0"/>
        <v>1</v>
      </c>
      <c r="C25" s="7" t="str">
        <f>_xlfn.XLOOKUP(B25,catalogos!$A$2:$A$13,catalogos!$B$2:$B$13)</f>
        <v>January</v>
      </c>
      <c r="D25" t="s">
        <v>10</v>
      </c>
      <c r="E25" t="s">
        <v>13</v>
      </c>
      <c r="F25">
        <v>42</v>
      </c>
      <c r="G25">
        <v>480</v>
      </c>
      <c r="H25">
        <v>20160</v>
      </c>
      <c r="K25" t="s">
        <v>7</v>
      </c>
      <c r="L25" t="s">
        <v>11</v>
      </c>
      <c r="M25" s="4">
        <f>SUMIFS($H$1:$H$1501,$D$1:$D$1501,"="&amp;K25,$E$1:$E$1501,"="&amp;L25,$C$1:$C$1501,"="&amp;$Q$1)</f>
        <v>215642</v>
      </c>
      <c r="N25" s="10">
        <f>SUMIFS($F$1:$F$1501,$D$1:$D$1501,"="&amp;K25,$E$1:$E$1501,"="&amp;L25,$C$1:$C$1501,"="&amp;$Q$1)</f>
        <v>911</v>
      </c>
    </row>
    <row r="26" spans="1:15" x14ac:dyDescent="0.35">
      <c r="A26" s="2">
        <v>45293</v>
      </c>
      <c r="B26" s="7">
        <f t="shared" si="0"/>
        <v>1</v>
      </c>
      <c r="C26" s="7" t="str">
        <f>_xlfn.XLOOKUP(B26,catalogos!$A$2:$A$13,catalogos!$B$2:$B$13)</f>
        <v>January</v>
      </c>
      <c r="D26" t="s">
        <v>6</v>
      </c>
      <c r="E26" t="s">
        <v>11</v>
      </c>
      <c r="F26">
        <v>47</v>
      </c>
      <c r="G26">
        <v>136</v>
      </c>
      <c r="H26">
        <v>6392</v>
      </c>
      <c r="K26" t="s">
        <v>7</v>
      </c>
      <c r="L26" t="s">
        <v>15</v>
      </c>
      <c r="M26" s="4">
        <f>SUMIFS($H$1:$H$1501,$D$1:$D$1501,"="&amp;K26,$E$1:$E$1501,"="&amp;L26,$C$1:$C$1501,"="&amp;$Q$1)</f>
        <v>456346</v>
      </c>
      <c r="N26" s="10">
        <f>SUMIFS($F$1:$F$1501,$D$1:$D$1501,"="&amp;K26,$E$1:$E$1501,"="&amp;L26,$C$1:$C$1501,"="&amp;$Q$1)</f>
        <v>1876</v>
      </c>
    </row>
    <row r="27" spans="1:15" x14ac:dyDescent="0.35">
      <c r="A27" s="2">
        <v>45293</v>
      </c>
      <c r="B27" s="7">
        <f t="shared" si="0"/>
        <v>1</v>
      </c>
      <c r="C27" s="7" t="str">
        <f>_xlfn.XLOOKUP(B27,catalogos!$A$2:$A$13,catalogos!$B$2:$B$13)</f>
        <v>January</v>
      </c>
      <c r="D27" t="s">
        <v>10</v>
      </c>
      <c r="E27" t="s">
        <v>12</v>
      </c>
      <c r="F27">
        <v>42</v>
      </c>
      <c r="G27">
        <v>55</v>
      </c>
      <c r="H27">
        <v>2310</v>
      </c>
      <c r="M27" s="5"/>
      <c r="O27" s="5"/>
    </row>
    <row r="28" spans="1:15" x14ac:dyDescent="0.35">
      <c r="A28" s="2">
        <v>45293</v>
      </c>
      <c r="B28" s="7">
        <f t="shared" si="0"/>
        <v>1</v>
      </c>
      <c r="C28" s="7" t="str">
        <f>_xlfn.XLOOKUP(B28,catalogos!$A$2:$A$13,catalogos!$B$2:$B$13)</f>
        <v>January</v>
      </c>
      <c r="D28" t="s">
        <v>8</v>
      </c>
      <c r="E28" t="s">
        <v>11</v>
      </c>
      <c r="F28">
        <v>36</v>
      </c>
      <c r="G28">
        <v>226</v>
      </c>
      <c r="H28">
        <v>8136</v>
      </c>
    </row>
    <row r="29" spans="1:15" x14ac:dyDescent="0.35">
      <c r="A29" s="2">
        <v>45293</v>
      </c>
      <c r="B29" s="7">
        <f t="shared" si="0"/>
        <v>1</v>
      </c>
      <c r="C29" s="7" t="str">
        <f>_xlfn.XLOOKUP(B29,catalogos!$A$2:$A$13,catalogos!$B$2:$B$13)</f>
        <v>January</v>
      </c>
      <c r="D29" t="s">
        <v>7</v>
      </c>
      <c r="E29" t="s">
        <v>11</v>
      </c>
      <c r="F29">
        <v>51</v>
      </c>
      <c r="G29">
        <v>397</v>
      </c>
      <c r="H29">
        <v>20247</v>
      </c>
    </row>
    <row r="30" spans="1:15" x14ac:dyDescent="0.35">
      <c r="A30" s="2">
        <v>45293</v>
      </c>
      <c r="B30" s="7">
        <f t="shared" si="0"/>
        <v>1</v>
      </c>
      <c r="C30" s="7" t="str">
        <f>_xlfn.XLOOKUP(B30,catalogos!$A$2:$A$13,catalogos!$B$2:$B$13)</f>
        <v>January</v>
      </c>
      <c r="D30" t="s">
        <v>7</v>
      </c>
      <c r="E30" t="s">
        <v>12</v>
      </c>
      <c r="F30">
        <v>16</v>
      </c>
      <c r="G30">
        <v>330</v>
      </c>
      <c r="H30">
        <v>5280</v>
      </c>
    </row>
    <row r="31" spans="1:15" x14ac:dyDescent="0.35">
      <c r="A31" s="2">
        <v>45293</v>
      </c>
      <c r="B31" s="7">
        <f t="shared" si="0"/>
        <v>1</v>
      </c>
      <c r="C31" s="7" t="str">
        <f>_xlfn.XLOOKUP(B31,catalogos!$A$2:$A$13,catalogos!$B$2:$B$13)</f>
        <v>January</v>
      </c>
      <c r="D31" t="s">
        <v>9</v>
      </c>
      <c r="E31" t="s">
        <v>12</v>
      </c>
      <c r="F31">
        <v>97</v>
      </c>
      <c r="G31">
        <v>149</v>
      </c>
      <c r="H31">
        <v>14453</v>
      </c>
    </row>
    <row r="32" spans="1:15" x14ac:dyDescent="0.35">
      <c r="A32" s="2">
        <v>45293</v>
      </c>
      <c r="B32" s="7">
        <f t="shared" si="0"/>
        <v>1</v>
      </c>
      <c r="C32" s="7" t="str">
        <f>_xlfn.XLOOKUP(B32,catalogos!$A$2:$A$13,catalogos!$B$2:$B$13)</f>
        <v>January</v>
      </c>
      <c r="D32" t="s">
        <v>8</v>
      </c>
      <c r="E32" t="s">
        <v>15</v>
      </c>
      <c r="F32">
        <v>1</v>
      </c>
      <c r="G32">
        <v>455</v>
      </c>
      <c r="H32">
        <v>455</v>
      </c>
    </row>
    <row r="33" spans="1:8" x14ac:dyDescent="0.35">
      <c r="A33" s="2">
        <v>45293</v>
      </c>
      <c r="B33" s="7">
        <f t="shared" si="0"/>
        <v>1</v>
      </c>
      <c r="C33" s="7" t="str">
        <f>_xlfn.XLOOKUP(B33,catalogos!$A$2:$A$13,catalogos!$B$2:$B$13)</f>
        <v>January</v>
      </c>
      <c r="D33" t="s">
        <v>10</v>
      </c>
      <c r="E33" t="s">
        <v>11</v>
      </c>
      <c r="F33">
        <v>67</v>
      </c>
      <c r="G33">
        <v>164</v>
      </c>
      <c r="H33">
        <v>10988</v>
      </c>
    </row>
    <row r="34" spans="1:8" x14ac:dyDescent="0.35">
      <c r="A34" s="2">
        <v>45293</v>
      </c>
      <c r="B34" s="7">
        <f t="shared" si="0"/>
        <v>1</v>
      </c>
      <c r="C34" s="7" t="str">
        <f>_xlfn.XLOOKUP(B34,catalogos!$A$2:$A$13,catalogos!$B$2:$B$13)</f>
        <v>January</v>
      </c>
      <c r="D34" t="s">
        <v>9</v>
      </c>
      <c r="E34" t="s">
        <v>11</v>
      </c>
      <c r="F34">
        <v>96</v>
      </c>
      <c r="G34">
        <v>492</v>
      </c>
      <c r="H34">
        <v>47232</v>
      </c>
    </row>
    <row r="35" spans="1:8" x14ac:dyDescent="0.35">
      <c r="A35" s="2">
        <v>45293</v>
      </c>
      <c r="B35" s="7">
        <f t="shared" si="0"/>
        <v>1</v>
      </c>
      <c r="C35" s="7" t="str">
        <f>_xlfn.XLOOKUP(B35,catalogos!$A$2:$A$13,catalogos!$B$2:$B$13)</f>
        <v>January</v>
      </c>
      <c r="D35" t="s">
        <v>7</v>
      </c>
      <c r="E35" t="s">
        <v>14</v>
      </c>
      <c r="F35">
        <v>39</v>
      </c>
      <c r="G35">
        <v>440</v>
      </c>
      <c r="H35">
        <v>17160</v>
      </c>
    </row>
    <row r="36" spans="1:8" x14ac:dyDescent="0.35">
      <c r="A36" s="2">
        <v>45293</v>
      </c>
      <c r="B36" s="7">
        <f t="shared" si="0"/>
        <v>1</v>
      </c>
      <c r="C36" s="7" t="str">
        <f>_xlfn.XLOOKUP(B36,catalogos!$A$2:$A$13,catalogos!$B$2:$B$13)</f>
        <v>January</v>
      </c>
      <c r="D36" t="s">
        <v>6</v>
      </c>
      <c r="E36" t="s">
        <v>11</v>
      </c>
      <c r="F36">
        <v>77</v>
      </c>
      <c r="G36">
        <v>416</v>
      </c>
      <c r="H36">
        <v>32032</v>
      </c>
    </row>
    <row r="37" spans="1:8" x14ac:dyDescent="0.35">
      <c r="A37" s="2">
        <v>45293</v>
      </c>
      <c r="B37" s="7">
        <f t="shared" si="0"/>
        <v>1</v>
      </c>
      <c r="C37" s="7" t="str">
        <f>_xlfn.XLOOKUP(B37,catalogos!$A$2:$A$13,catalogos!$B$2:$B$13)</f>
        <v>January</v>
      </c>
      <c r="D37" t="s">
        <v>10</v>
      </c>
      <c r="E37" t="s">
        <v>14</v>
      </c>
      <c r="F37">
        <v>96</v>
      </c>
      <c r="G37">
        <v>196</v>
      </c>
      <c r="H37">
        <v>18816</v>
      </c>
    </row>
    <row r="38" spans="1:8" x14ac:dyDescent="0.35">
      <c r="A38" s="2">
        <v>45293</v>
      </c>
      <c r="B38" s="7">
        <f t="shared" si="0"/>
        <v>1</v>
      </c>
      <c r="C38" s="7" t="str">
        <f>_xlfn.XLOOKUP(B38,catalogos!$A$2:$A$13,catalogos!$B$2:$B$13)</f>
        <v>January</v>
      </c>
      <c r="D38" t="s">
        <v>6</v>
      </c>
      <c r="E38" t="s">
        <v>12</v>
      </c>
      <c r="F38">
        <v>90</v>
      </c>
      <c r="G38">
        <v>334</v>
      </c>
      <c r="H38">
        <v>30060</v>
      </c>
    </row>
    <row r="39" spans="1:8" x14ac:dyDescent="0.35">
      <c r="A39" s="2">
        <v>45293</v>
      </c>
      <c r="B39" s="7">
        <f t="shared" si="0"/>
        <v>1</v>
      </c>
      <c r="C39" s="7" t="str">
        <f>_xlfn.XLOOKUP(B39,catalogos!$A$2:$A$13,catalogos!$B$2:$B$13)</f>
        <v>January</v>
      </c>
      <c r="D39" t="s">
        <v>6</v>
      </c>
      <c r="E39" t="s">
        <v>11</v>
      </c>
      <c r="F39">
        <v>13</v>
      </c>
      <c r="G39">
        <v>92</v>
      </c>
      <c r="H39">
        <v>1196</v>
      </c>
    </row>
    <row r="40" spans="1:8" x14ac:dyDescent="0.35">
      <c r="A40" s="2">
        <v>45293</v>
      </c>
      <c r="B40" s="7">
        <f t="shared" si="0"/>
        <v>1</v>
      </c>
      <c r="C40" s="7" t="str">
        <f>_xlfn.XLOOKUP(B40,catalogos!$A$2:$A$13,catalogos!$B$2:$B$13)</f>
        <v>January</v>
      </c>
      <c r="D40" t="s">
        <v>9</v>
      </c>
      <c r="E40" t="s">
        <v>14</v>
      </c>
      <c r="F40">
        <v>26</v>
      </c>
      <c r="G40">
        <v>270</v>
      </c>
      <c r="H40">
        <v>7020</v>
      </c>
    </row>
    <row r="41" spans="1:8" x14ac:dyDescent="0.35">
      <c r="A41" s="2">
        <v>45293</v>
      </c>
      <c r="B41" s="7">
        <f t="shared" si="0"/>
        <v>1</v>
      </c>
      <c r="C41" s="7" t="str">
        <f>_xlfn.XLOOKUP(B41,catalogos!$A$2:$A$13,catalogos!$B$2:$B$13)</f>
        <v>January</v>
      </c>
      <c r="D41" t="s">
        <v>7</v>
      </c>
      <c r="E41" t="s">
        <v>11</v>
      </c>
      <c r="F41">
        <v>96</v>
      </c>
      <c r="G41">
        <v>197</v>
      </c>
      <c r="H41">
        <v>18912</v>
      </c>
    </row>
    <row r="42" spans="1:8" x14ac:dyDescent="0.35">
      <c r="A42" s="2">
        <v>45293</v>
      </c>
      <c r="B42" s="7">
        <f t="shared" si="0"/>
        <v>1</v>
      </c>
      <c r="C42" s="7" t="str">
        <f>_xlfn.XLOOKUP(B42,catalogos!$A$2:$A$13,catalogos!$B$2:$B$13)</f>
        <v>January</v>
      </c>
      <c r="D42" t="s">
        <v>9</v>
      </c>
      <c r="E42" t="s">
        <v>12</v>
      </c>
      <c r="F42">
        <v>76</v>
      </c>
      <c r="G42">
        <v>278</v>
      </c>
      <c r="H42">
        <v>21128</v>
      </c>
    </row>
    <row r="43" spans="1:8" x14ac:dyDescent="0.35">
      <c r="A43" s="2">
        <v>45293</v>
      </c>
      <c r="B43" s="7">
        <f t="shared" si="0"/>
        <v>1</v>
      </c>
      <c r="C43" s="7" t="str">
        <f>_xlfn.XLOOKUP(B43,catalogos!$A$2:$A$13,catalogos!$B$2:$B$13)</f>
        <v>January</v>
      </c>
      <c r="D43" t="s">
        <v>7</v>
      </c>
      <c r="E43" t="s">
        <v>13</v>
      </c>
      <c r="F43">
        <v>93</v>
      </c>
      <c r="G43">
        <v>164</v>
      </c>
      <c r="H43">
        <v>15252</v>
      </c>
    </row>
    <row r="44" spans="1:8" x14ac:dyDescent="0.35">
      <c r="A44" s="2">
        <v>45293</v>
      </c>
      <c r="B44" s="7">
        <f t="shared" si="0"/>
        <v>1</v>
      </c>
      <c r="C44" s="7" t="str">
        <f>_xlfn.XLOOKUP(B44,catalogos!$A$2:$A$13,catalogos!$B$2:$B$13)</f>
        <v>January</v>
      </c>
      <c r="D44" t="s">
        <v>6</v>
      </c>
      <c r="E44" t="s">
        <v>15</v>
      </c>
      <c r="F44">
        <v>67</v>
      </c>
      <c r="G44">
        <v>393</v>
      </c>
      <c r="H44">
        <v>26331</v>
      </c>
    </row>
    <row r="45" spans="1:8" x14ac:dyDescent="0.35">
      <c r="A45" s="2">
        <v>45293</v>
      </c>
      <c r="B45" s="7">
        <f t="shared" si="0"/>
        <v>1</v>
      </c>
      <c r="C45" s="7" t="str">
        <f>_xlfn.XLOOKUP(B45,catalogos!$A$2:$A$13,catalogos!$B$2:$B$13)</f>
        <v>January</v>
      </c>
      <c r="D45" t="s">
        <v>6</v>
      </c>
      <c r="E45" t="s">
        <v>15</v>
      </c>
      <c r="F45">
        <v>59</v>
      </c>
      <c r="G45">
        <v>468</v>
      </c>
      <c r="H45">
        <v>27612</v>
      </c>
    </row>
    <row r="46" spans="1:8" x14ac:dyDescent="0.35">
      <c r="A46" s="2">
        <v>45293</v>
      </c>
      <c r="B46" s="7">
        <f t="shared" si="0"/>
        <v>1</v>
      </c>
      <c r="C46" s="7" t="str">
        <f>_xlfn.XLOOKUP(B46,catalogos!$A$2:$A$13,catalogos!$B$2:$B$13)</f>
        <v>January</v>
      </c>
      <c r="D46" t="s">
        <v>9</v>
      </c>
      <c r="E46" t="s">
        <v>11</v>
      </c>
      <c r="F46">
        <v>17</v>
      </c>
      <c r="G46">
        <v>428</v>
      </c>
      <c r="H46">
        <v>7276</v>
      </c>
    </row>
    <row r="47" spans="1:8" x14ac:dyDescent="0.35">
      <c r="A47" s="2">
        <v>45293</v>
      </c>
      <c r="B47" s="7">
        <f t="shared" si="0"/>
        <v>1</v>
      </c>
      <c r="C47" s="7" t="str">
        <f>_xlfn.XLOOKUP(B47,catalogos!$A$2:$A$13,catalogos!$B$2:$B$13)</f>
        <v>January</v>
      </c>
      <c r="D47" t="s">
        <v>10</v>
      </c>
      <c r="E47" t="s">
        <v>11</v>
      </c>
      <c r="F47">
        <v>5</v>
      </c>
      <c r="G47">
        <v>447</v>
      </c>
      <c r="H47">
        <v>2235</v>
      </c>
    </row>
    <row r="48" spans="1:8" x14ac:dyDescent="0.35">
      <c r="A48" s="2">
        <v>45293</v>
      </c>
      <c r="B48" s="7">
        <f t="shared" si="0"/>
        <v>1</v>
      </c>
      <c r="C48" s="7" t="str">
        <f>_xlfn.XLOOKUP(B48,catalogos!$A$2:$A$13,catalogos!$B$2:$B$13)</f>
        <v>January</v>
      </c>
      <c r="D48" t="s">
        <v>9</v>
      </c>
      <c r="E48" t="s">
        <v>15</v>
      </c>
      <c r="F48">
        <v>44</v>
      </c>
      <c r="G48">
        <v>382</v>
      </c>
      <c r="H48">
        <v>16808</v>
      </c>
    </row>
    <row r="49" spans="1:8" x14ac:dyDescent="0.35">
      <c r="A49" s="2">
        <v>45293</v>
      </c>
      <c r="B49" s="7">
        <f t="shared" si="0"/>
        <v>1</v>
      </c>
      <c r="C49" s="7" t="str">
        <f>_xlfn.XLOOKUP(B49,catalogos!$A$2:$A$13,catalogos!$B$2:$B$13)</f>
        <v>January</v>
      </c>
      <c r="D49" t="s">
        <v>7</v>
      </c>
      <c r="E49" t="s">
        <v>15</v>
      </c>
      <c r="F49">
        <v>85</v>
      </c>
      <c r="G49">
        <v>278</v>
      </c>
      <c r="H49">
        <v>23630</v>
      </c>
    </row>
    <row r="50" spans="1:8" x14ac:dyDescent="0.35">
      <c r="A50" s="2">
        <v>45294</v>
      </c>
      <c r="B50" s="7">
        <f t="shared" si="0"/>
        <v>1</v>
      </c>
      <c r="C50" s="7" t="str">
        <f>_xlfn.XLOOKUP(B50,catalogos!$A$2:$A$13,catalogos!$B$2:$B$13)</f>
        <v>January</v>
      </c>
      <c r="D50" t="s">
        <v>10</v>
      </c>
      <c r="E50" t="s">
        <v>15</v>
      </c>
      <c r="F50">
        <v>31</v>
      </c>
      <c r="G50">
        <v>178</v>
      </c>
      <c r="H50">
        <v>5518</v>
      </c>
    </row>
    <row r="51" spans="1:8" x14ac:dyDescent="0.35">
      <c r="A51" s="2">
        <v>45294</v>
      </c>
      <c r="B51" s="7">
        <f t="shared" si="0"/>
        <v>1</v>
      </c>
      <c r="C51" s="7" t="str">
        <f>_xlfn.XLOOKUP(B51,catalogos!$A$2:$A$13,catalogos!$B$2:$B$13)</f>
        <v>January</v>
      </c>
      <c r="D51" t="s">
        <v>10</v>
      </c>
      <c r="E51" t="s">
        <v>15</v>
      </c>
      <c r="F51">
        <v>17</v>
      </c>
      <c r="G51">
        <v>197</v>
      </c>
      <c r="H51">
        <v>3349</v>
      </c>
    </row>
    <row r="52" spans="1:8" x14ac:dyDescent="0.35">
      <c r="A52" s="2">
        <v>45294</v>
      </c>
      <c r="B52" s="7">
        <f t="shared" si="0"/>
        <v>1</v>
      </c>
      <c r="C52" s="7" t="str">
        <f>_xlfn.XLOOKUP(B52,catalogos!$A$2:$A$13,catalogos!$B$2:$B$13)</f>
        <v>January</v>
      </c>
      <c r="D52" t="s">
        <v>6</v>
      </c>
      <c r="E52" t="s">
        <v>13</v>
      </c>
      <c r="F52">
        <v>33</v>
      </c>
      <c r="G52">
        <v>46</v>
      </c>
      <c r="H52">
        <v>1518</v>
      </c>
    </row>
    <row r="53" spans="1:8" x14ac:dyDescent="0.35">
      <c r="A53" s="2">
        <v>45294</v>
      </c>
      <c r="B53" s="7">
        <f t="shared" si="0"/>
        <v>1</v>
      </c>
      <c r="C53" s="7" t="str">
        <f>_xlfn.XLOOKUP(B53,catalogos!$A$2:$A$13,catalogos!$B$2:$B$13)</f>
        <v>January</v>
      </c>
      <c r="D53" t="s">
        <v>8</v>
      </c>
      <c r="E53" t="s">
        <v>12</v>
      </c>
      <c r="F53">
        <v>98</v>
      </c>
      <c r="G53">
        <v>438</v>
      </c>
      <c r="H53">
        <v>42924</v>
      </c>
    </row>
    <row r="54" spans="1:8" x14ac:dyDescent="0.35">
      <c r="A54" s="2">
        <v>45294</v>
      </c>
      <c r="B54" s="7">
        <f t="shared" si="0"/>
        <v>1</v>
      </c>
      <c r="C54" s="7" t="str">
        <f>_xlfn.XLOOKUP(B54,catalogos!$A$2:$A$13,catalogos!$B$2:$B$13)</f>
        <v>January</v>
      </c>
      <c r="D54" t="s">
        <v>8</v>
      </c>
      <c r="E54" t="s">
        <v>11</v>
      </c>
      <c r="F54">
        <v>20</v>
      </c>
      <c r="G54">
        <v>310</v>
      </c>
      <c r="H54">
        <v>6200</v>
      </c>
    </row>
    <row r="55" spans="1:8" x14ac:dyDescent="0.35">
      <c r="A55" s="2">
        <v>45294</v>
      </c>
      <c r="B55" s="7">
        <f t="shared" si="0"/>
        <v>1</v>
      </c>
      <c r="C55" s="7" t="str">
        <f>_xlfn.XLOOKUP(B55,catalogos!$A$2:$A$13,catalogos!$B$2:$B$13)</f>
        <v>January</v>
      </c>
      <c r="D55" t="s">
        <v>8</v>
      </c>
      <c r="E55" t="s">
        <v>12</v>
      </c>
      <c r="F55">
        <v>30</v>
      </c>
      <c r="G55">
        <v>305</v>
      </c>
      <c r="H55">
        <v>9150</v>
      </c>
    </row>
    <row r="56" spans="1:8" x14ac:dyDescent="0.35">
      <c r="A56" s="2">
        <v>45294</v>
      </c>
      <c r="B56" s="7">
        <f t="shared" si="0"/>
        <v>1</v>
      </c>
      <c r="C56" s="7" t="str">
        <f>_xlfn.XLOOKUP(B56,catalogos!$A$2:$A$13,catalogos!$B$2:$B$13)</f>
        <v>January</v>
      </c>
      <c r="D56" t="s">
        <v>6</v>
      </c>
      <c r="E56" t="s">
        <v>13</v>
      </c>
      <c r="F56">
        <v>80</v>
      </c>
      <c r="G56">
        <v>186</v>
      </c>
      <c r="H56">
        <v>14880</v>
      </c>
    </row>
    <row r="57" spans="1:8" x14ac:dyDescent="0.35">
      <c r="A57" s="2">
        <v>45294</v>
      </c>
      <c r="B57" s="7">
        <f t="shared" si="0"/>
        <v>1</v>
      </c>
      <c r="C57" s="7" t="str">
        <f>_xlfn.XLOOKUP(B57,catalogos!$A$2:$A$13,catalogos!$B$2:$B$13)</f>
        <v>January</v>
      </c>
      <c r="D57" t="s">
        <v>6</v>
      </c>
      <c r="E57" t="s">
        <v>12</v>
      </c>
      <c r="F57">
        <v>68</v>
      </c>
      <c r="G57">
        <v>126</v>
      </c>
      <c r="H57">
        <v>8568</v>
      </c>
    </row>
    <row r="58" spans="1:8" x14ac:dyDescent="0.35">
      <c r="A58" s="2">
        <v>45294</v>
      </c>
      <c r="B58" s="7">
        <f t="shared" si="0"/>
        <v>1</v>
      </c>
      <c r="C58" s="7" t="str">
        <f>_xlfn.XLOOKUP(B58,catalogos!$A$2:$A$13,catalogos!$B$2:$B$13)</f>
        <v>January</v>
      </c>
      <c r="D58" t="s">
        <v>6</v>
      </c>
      <c r="E58" t="s">
        <v>14</v>
      </c>
      <c r="F58">
        <v>16</v>
      </c>
      <c r="G58">
        <v>307</v>
      </c>
      <c r="H58">
        <v>4912</v>
      </c>
    </row>
    <row r="59" spans="1:8" x14ac:dyDescent="0.35">
      <c r="A59" s="2">
        <v>45294</v>
      </c>
      <c r="B59" s="7">
        <f t="shared" si="0"/>
        <v>1</v>
      </c>
      <c r="C59" s="7" t="str">
        <f>_xlfn.XLOOKUP(B59,catalogos!$A$2:$A$13,catalogos!$B$2:$B$13)</f>
        <v>January</v>
      </c>
      <c r="D59" t="s">
        <v>6</v>
      </c>
      <c r="E59" t="s">
        <v>14</v>
      </c>
      <c r="F59">
        <v>88</v>
      </c>
      <c r="G59">
        <v>245</v>
      </c>
      <c r="H59">
        <v>21560</v>
      </c>
    </row>
    <row r="60" spans="1:8" x14ac:dyDescent="0.35">
      <c r="A60" s="2">
        <v>45294</v>
      </c>
      <c r="B60" s="7">
        <f t="shared" si="0"/>
        <v>1</v>
      </c>
      <c r="C60" s="7" t="str">
        <f>_xlfn.XLOOKUP(B60,catalogos!$A$2:$A$13,catalogos!$B$2:$B$13)</f>
        <v>January</v>
      </c>
      <c r="D60" t="s">
        <v>7</v>
      </c>
      <c r="E60" t="s">
        <v>12</v>
      </c>
      <c r="F60">
        <v>52</v>
      </c>
      <c r="G60">
        <v>422</v>
      </c>
      <c r="H60">
        <v>21944</v>
      </c>
    </row>
    <row r="61" spans="1:8" x14ac:dyDescent="0.35">
      <c r="A61" s="2">
        <v>45294</v>
      </c>
      <c r="B61" s="7">
        <f t="shared" si="0"/>
        <v>1</v>
      </c>
      <c r="C61" s="7" t="str">
        <f>_xlfn.XLOOKUP(B61,catalogos!$A$2:$A$13,catalogos!$B$2:$B$13)</f>
        <v>January</v>
      </c>
      <c r="D61" t="s">
        <v>7</v>
      </c>
      <c r="E61" t="s">
        <v>13</v>
      </c>
      <c r="F61">
        <v>79</v>
      </c>
      <c r="G61">
        <v>360</v>
      </c>
      <c r="H61">
        <v>28440</v>
      </c>
    </row>
    <row r="62" spans="1:8" x14ac:dyDescent="0.35">
      <c r="A62" s="2">
        <v>45294</v>
      </c>
      <c r="B62" s="7">
        <f t="shared" si="0"/>
        <v>1</v>
      </c>
      <c r="C62" s="7" t="str">
        <f>_xlfn.XLOOKUP(B62,catalogos!$A$2:$A$13,catalogos!$B$2:$B$13)</f>
        <v>January</v>
      </c>
      <c r="D62" t="s">
        <v>8</v>
      </c>
      <c r="E62" t="s">
        <v>12</v>
      </c>
      <c r="F62">
        <v>77</v>
      </c>
      <c r="G62">
        <v>134</v>
      </c>
      <c r="H62">
        <v>10318</v>
      </c>
    </row>
    <row r="63" spans="1:8" x14ac:dyDescent="0.35">
      <c r="A63" s="2">
        <v>45294</v>
      </c>
      <c r="B63" s="7">
        <f t="shared" si="0"/>
        <v>1</v>
      </c>
      <c r="C63" s="7" t="str">
        <f>_xlfn.XLOOKUP(B63,catalogos!$A$2:$A$13,catalogos!$B$2:$B$13)</f>
        <v>January</v>
      </c>
      <c r="D63" t="s">
        <v>6</v>
      </c>
      <c r="E63" t="s">
        <v>12</v>
      </c>
      <c r="F63">
        <v>39</v>
      </c>
      <c r="G63">
        <v>487</v>
      </c>
      <c r="H63">
        <v>18993</v>
      </c>
    </row>
    <row r="64" spans="1:8" x14ac:dyDescent="0.35">
      <c r="A64" s="2">
        <v>45294</v>
      </c>
      <c r="B64" s="7">
        <f t="shared" si="0"/>
        <v>1</v>
      </c>
      <c r="C64" s="7" t="str">
        <f>_xlfn.XLOOKUP(B64,catalogos!$A$2:$A$13,catalogos!$B$2:$B$13)</f>
        <v>January</v>
      </c>
      <c r="D64" t="s">
        <v>10</v>
      </c>
      <c r="E64" t="s">
        <v>14</v>
      </c>
      <c r="F64">
        <v>8</v>
      </c>
      <c r="G64">
        <v>113</v>
      </c>
      <c r="H64">
        <v>904</v>
      </c>
    </row>
    <row r="65" spans="1:8" x14ac:dyDescent="0.35">
      <c r="A65" s="2">
        <v>45294</v>
      </c>
      <c r="B65" s="7">
        <f t="shared" si="0"/>
        <v>1</v>
      </c>
      <c r="C65" s="7" t="str">
        <f>_xlfn.XLOOKUP(B65,catalogos!$A$2:$A$13,catalogos!$B$2:$B$13)</f>
        <v>January</v>
      </c>
      <c r="D65" t="s">
        <v>6</v>
      </c>
      <c r="E65" t="s">
        <v>11</v>
      </c>
      <c r="F65">
        <v>6</v>
      </c>
      <c r="G65">
        <v>165</v>
      </c>
      <c r="H65">
        <v>990</v>
      </c>
    </row>
    <row r="66" spans="1:8" x14ac:dyDescent="0.35">
      <c r="A66" s="2">
        <v>45294</v>
      </c>
      <c r="B66" s="7">
        <f t="shared" si="0"/>
        <v>1</v>
      </c>
      <c r="C66" s="7" t="str">
        <f>_xlfn.XLOOKUP(B66,catalogos!$A$2:$A$13,catalogos!$B$2:$B$13)</f>
        <v>January</v>
      </c>
      <c r="D66" t="s">
        <v>8</v>
      </c>
      <c r="E66" t="s">
        <v>14</v>
      </c>
      <c r="F66">
        <v>41</v>
      </c>
      <c r="G66">
        <v>160</v>
      </c>
      <c r="H66">
        <v>6560</v>
      </c>
    </row>
    <row r="67" spans="1:8" x14ac:dyDescent="0.35">
      <c r="A67" s="2">
        <v>45294</v>
      </c>
      <c r="B67" s="7">
        <f t="shared" ref="B67:B130" si="1">MONTH(A67)</f>
        <v>1</v>
      </c>
      <c r="C67" s="7" t="str">
        <f>_xlfn.XLOOKUP(B67,catalogos!$A$2:$A$13,catalogos!$B$2:$B$13)</f>
        <v>January</v>
      </c>
      <c r="D67" t="s">
        <v>7</v>
      </c>
      <c r="E67" t="s">
        <v>15</v>
      </c>
      <c r="F67">
        <v>14</v>
      </c>
      <c r="G67">
        <v>234</v>
      </c>
      <c r="H67">
        <v>3276</v>
      </c>
    </row>
    <row r="68" spans="1:8" x14ac:dyDescent="0.35">
      <c r="A68" s="2">
        <v>45294</v>
      </c>
      <c r="B68" s="7">
        <f t="shared" si="1"/>
        <v>1</v>
      </c>
      <c r="C68" s="7" t="str">
        <f>_xlfn.XLOOKUP(B68,catalogos!$A$2:$A$13,catalogos!$B$2:$B$13)</f>
        <v>January</v>
      </c>
      <c r="D68" t="s">
        <v>7</v>
      </c>
      <c r="E68" t="s">
        <v>13</v>
      </c>
      <c r="F68">
        <v>65</v>
      </c>
      <c r="G68">
        <v>285</v>
      </c>
      <c r="H68">
        <v>18525</v>
      </c>
    </row>
    <row r="69" spans="1:8" x14ac:dyDescent="0.35">
      <c r="A69" s="2">
        <v>45294</v>
      </c>
      <c r="B69" s="7">
        <f t="shared" si="1"/>
        <v>1</v>
      </c>
      <c r="C69" s="7" t="str">
        <f>_xlfn.XLOOKUP(B69,catalogos!$A$2:$A$13,catalogos!$B$2:$B$13)</f>
        <v>January</v>
      </c>
      <c r="D69" t="s">
        <v>8</v>
      </c>
      <c r="E69" t="s">
        <v>14</v>
      </c>
      <c r="F69">
        <v>31</v>
      </c>
      <c r="G69">
        <v>334</v>
      </c>
      <c r="H69">
        <v>10354</v>
      </c>
    </row>
    <row r="70" spans="1:8" x14ac:dyDescent="0.35">
      <c r="A70" s="2">
        <v>45294</v>
      </c>
      <c r="B70" s="7">
        <f t="shared" si="1"/>
        <v>1</v>
      </c>
      <c r="C70" s="7" t="str">
        <f>_xlfn.XLOOKUP(B70,catalogos!$A$2:$A$13,catalogos!$B$2:$B$13)</f>
        <v>January</v>
      </c>
      <c r="D70" t="s">
        <v>9</v>
      </c>
      <c r="E70" t="s">
        <v>13</v>
      </c>
      <c r="F70">
        <v>23</v>
      </c>
      <c r="G70">
        <v>442</v>
      </c>
      <c r="H70">
        <v>10166</v>
      </c>
    </row>
    <row r="71" spans="1:8" x14ac:dyDescent="0.35">
      <c r="A71" s="2">
        <v>45294</v>
      </c>
      <c r="B71" s="7">
        <f t="shared" si="1"/>
        <v>1</v>
      </c>
      <c r="C71" s="7" t="str">
        <f>_xlfn.XLOOKUP(B71,catalogos!$A$2:$A$13,catalogos!$B$2:$B$13)</f>
        <v>January</v>
      </c>
      <c r="D71" t="s">
        <v>8</v>
      </c>
      <c r="E71" t="s">
        <v>13</v>
      </c>
      <c r="F71">
        <v>73</v>
      </c>
      <c r="G71">
        <v>248</v>
      </c>
      <c r="H71">
        <v>18104</v>
      </c>
    </row>
    <row r="72" spans="1:8" x14ac:dyDescent="0.35">
      <c r="A72" s="2">
        <v>45294</v>
      </c>
      <c r="B72" s="7">
        <f t="shared" si="1"/>
        <v>1</v>
      </c>
      <c r="C72" s="7" t="str">
        <f>_xlfn.XLOOKUP(B72,catalogos!$A$2:$A$13,catalogos!$B$2:$B$13)</f>
        <v>January</v>
      </c>
      <c r="D72" t="s">
        <v>6</v>
      </c>
      <c r="E72" t="s">
        <v>14</v>
      </c>
      <c r="F72">
        <v>86</v>
      </c>
      <c r="G72">
        <v>245</v>
      </c>
      <c r="H72">
        <v>21070</v>
      </c>
    </row>
    <row r="73" spans="1:8" x14ac:dyDescent="0.35">
      <c r="A73" s="2">
        <v>45294</v>
      </c>
      <c r="B73" s="7">
        <f t="shared" si="1"/>
        <v>1</v>
      </c>
      <c r="C73" s="7" t="str">
        <f>_xlfn.XLOOKUP(B73,catalogos!$A$2:$A$13,catalogos!$B$2:$B$13)</f>
        <v>January</v>
      </c>
      <c r="D73" t="s">
        <v>10</v>
      </c>
      <c r="E73" t="s">
        <v>12</v>
      </c>
      <c r="F73">
        <v>9</v>
      </c>
      <c r="G73">
        <v>101</v>
      </c>
      <c r="H73">
        <v>909</v>
      </c>
    </row>
    <row r="74" spans="1:8" x14ac:dyDescent="0.35">
      <c r="A74" s="2">
        <v>45295</v>
      </c>
      <c r="B74" s="7">
        <f t="shared" si="1"/>
        <v>1</v>
      </c>
      <c r="C74" s="7" t="str">
        <f>_xlfn.XLOOKUP(B74,catalogos!$A$2:$A$13,catalogos!$B$2:$B$13)</f>
        <v>January</v>
      </c>
      <c r="D74" t="s">
        <v>7</v>
      </c>
      <c r="E74" t="s">
        <v>14</v>
      </c>
      <c r="F74">
        <v>33</v>
      </c>
      <c r="G74">
        <v>253</v>
      </c>
      <c r="H74">
        <v>8349</v>
      </c>
    </row>
    <row r="75" spans="1:8" x14ac:dyDescent="0.35">
      <c r="A75" s="2">
        <v>45295</v>
      </c>
      <c r="B75" s="7">
        <f t="shared" si="1"/>
        <v>1</v>
      </c>
      <c r="C75" s="7" t="str">
        <f>_xlfn.XLOOKUP(B75,catalogos!$A$2:$A$13,catalogos!$B$2:$B$13)</f>
        <v>January</v>
      </c>
      <c r="D75" t="s">
        <v>9</v>
      </c>
      <c r="E75" t="s">
        <v>15</v>
      </c>
      <c r="F75">
        <v>33</v>
      </c>
      <c r="G75">
        <v>78</v>
      </c>
      <c r="H75">
        <v>2574</v>
      </c>
    </row>
    <row r="76" spans="1:8" x14ac:dyDescent="0.35">
      <c r="A76" s="2">
        <v>45295</v>
      </c>
      <c r="B76" s="7">
        <f t="shared" si="1"/>
        <v>1</v>
      </c>
      <c r="C76" s="7" t="str">
        <f>_xlfn.XLOOKUP(B76,catalogos!$A$2:$A$13,catalogos!$B$2:$B$13)</f>
        <v>January</v>
      </c>
      <c r="D76" t="s">
        <v>10</v>
      </c>
      <c r="E76" t="s">
        <v>14</v>
      </c>
      <c r="F76">
        <v>55</v>
      </c>
      <c r="G76">
        <v>207</v>
      </c>
      <c r="H76">
        <v>11385</v>
      </c>
    </row>
    <row r="77" spans="1:8" x14ac:dyDescent="0.35">
      <c r="A77" s="2">
        <v>45295</v>
      </c>
      <c r="B77" s="7">
        <f t="shared" si="1"/>
        <v>1</v>
      </c>
      <c r="C77" s="7" t="str">
        <f>_xlfn.XLOOKUP(B77,catalogos!$A$2:$A$13,catalogos!$B$2:$B$13)</f>
        <v>January</v>
      </c>
      <c r="D77" t="s">
        <v>9</v>
      </c>
      <c r="E77" t="s">
        <v>11</v>
      </c>
      <c r="F77">
        <v>51</v>
      </c>
      <c r="G77">
        <v>231</v>
      </c>
      <c r="H77">
        <v>11781</v>
      </c>
    </row>
    <row r="78" spans="1:8" x14ac:dyDescent="0.35">
      <c r="A78" s="2">
        <v>45295</v>
      </c>
      <c r="B78" s="7">
        <f t="shared" si="1"/>
        <v>1</v>
      </c>
      <c r="C78" s="7" t="str">
        <f>_xlfn.XLOOKUP(B78,catalogos!$A$2:$A$13,catalogos!$B$2:$B$13)</f>
        <v>January</v>
      </c>
      <c r="D78" t="s">
        <v>10</v>
      </c>
      <c r="E78" t="s">
        <v>15</v>
      </c>
      <c r="F78">
        <v>87</v>
      </c>
      <c r="G78">
        <v>402</v>
      </c>
      <c r="H78">
        <v>34974</v>
      </c>
    </row>
    <row r="79" spans="1:8" x14ac:dyDescent="0.35">
      <c r="A79" s="2">
        <v>45295</v>
      </c>
      <c r="B79" s="7">
        <f t="shared" si="1"/>
        <v>1</v>
      </c>
      <c r="C79" s="7" t="str">
        <f>_xlfn.XLOOKUP(B79,catalogos!$A$2:$A$13,catalogos!$B$2:$B$13)</f>
        <v>January</v>
      </c>
      <c r="D79" t="s">
        <v>10</v>
      </c>
      <c r="E79" t="s">
        <v>15</v>
      </c>
      <c r="F79">
        <v>57</v>
      </c>
      <c r="G79">
        <v>379</v>
      </c>
      <c r="H79">
        <v>21603</v>
      </c>
    </row>
    <row r="80" spans="1:8" x14ac:dyDescent="0.35">
      <c r="A80" s="2">
        <v>45295</v>
      </c>
      <c r="B80" s="7">
        <f t="shared" si="1"/>
        <v>1</v>
      </c>
      <c r="C80" s="7" t="str">
        <f>_xlfn.XLOOKUP(B80,catalogos!$A$2:$A$13,catalogos!$B$2:$B$13)</f>
        <v>January</v>
      </c>
      <c r="D80" t="s">
        <v>6</v>
      </c>
      <c r="E80" t="s">
        <v>12</v>
      </c>
      <c r="F80">
        <v>61</v>
      </c>
      <c r="G80">
        <v>280</v>
      </c>
      <c r="H80">
        <v>17080</v>
      </c>
    </row>
    <row r="81" spans="1:8" x14ac:dyDescent="0.35">
      <c r="A81" s="2">
        <v>45295</v>
      </c>
      <c r="B81" s="7">
        <f t="shared" si="1"/>
        <v>1</v>
      </c>
      <c r="C81" s="7" t="str">
        <f>_xlfn.XLOOKUP(B81,catalogos!$A$2:$A$13,catalogos!$B$2:$B$13)</f>
        <v>January</v>
      </c>
      <c r="D81" t="s">
        <v>10</v>
      </c>
      <c r="E81" t="s">
        <v>15</v>
      </c>
      <c r="F81">
        <v>54</v>
      </c>
      <c r="G81">
        <v>43</v>
      </c>
      <c r="H81">
        <v>2322</v>
      </c>
    </row>
    <row r="82" spans="1:8" x14ac:dyDescent="0.35">
      <c r="A82" s="2">
        <v>45295</v>
      </c>
      <c r="B82" s="7">
        <f t="shared" si="1"/>
        <v>1</v>
      </c>
      <c r="C82" s="7" t="str">
        <f>_xlfn.XLOOKUP(B82,catalogos!$A$2:$A$13,catalogos!$B$2:$B$13)</f>
        <v>January</v>
      </c>
      <c r="D82" t="s">
        <v>6</v>
      </c>
      <c r="E82" t="s">
        <v>12</v>
      </c>
      <c r="F82">
        <v>55</v>
      </c>
      <c r="G82">
        <v>253</v>
      </c>
      <c r="H82">
        <v>13915</v>
      </c>
    </row>
    <row r="83" spans="1:8" x14ac:dyDescent="0.35">
      <c r="A83" s="2">
        <v>45295</v>
      </c>
      <c r="B83" s="7">
        <f t="shared" si="1"/>
        <v>1</v>
      </c>
      <c r="C83" s="7" t="str">
        <f>_xlfn.XLOOKUP(B83,catalogos!$A$2:$A$13,catalogos!$B$2:$B$13)</f>
        <v>January</v>
      </c>
      <c r="D83" t="s">
        <v>9</v>
      </c>
      <c r="E83" t="s">
        <v>14</v>
      </c>
      <c r="F83">
        <v>70</v>
      </c>
      <c r="G83">
        <v>123</v>
      </c>
      <c r="H83">
        <v>8610</v>
      </c>
    </row>
    <row r="84" spans="1:8" x14ac:dyDescent="0.35">
      <c r="A84" s="2">
        <v>45295</v>
      </c>
      <c r="B84" s="7">
        <f t="shared" si="1"/>
        <v>1</v>
      </c>
      <c r="C84" s="7" t="str">
        <f>_xlfn.XLOOKUP(B84,catalogos!$A$2:$A$13,catalogos!$B$2:$B$13)</f>
        <v>January</v>
      </c>
      <c r="D84" t="s">
        <v>7</v>
      </c>
      <c r="E84" t="s">
        <v>14</v>
      </c>
      <c r="F84">
        <v>8</v>
      </c>
      <c r="G84">
        <v>258</v>
      </c>
      <c r="H84">
        <v>2064</v>
      </c>
    </row>
    <row r="85" spans="1:8" x14ac:dyDescent="0.35">
      <c r="A85" s="2">
        <v>45295</v>
      </c>
      <c r="B85" s="7">
        <f t="shared" si="1"/>
        <v>1</v>
      </c>
      <c r="C85" s="7" t="str">
        <f>_xlfn.XLOOKUP(B85,catalogos!$A$2:$A$13,catalogos!$B$2:$B$13)</f>
        <v>January</v>
      </c>
      <c r="D85" t="s">
        <v>7</v>
      </c>
      <c r="E85" t="s">
        <v>15</v>
      </c>
      <c r="F85">
        <v>86</v>
      </c>
      <c r="G85">
        <v>397</v>
      </c>
      <c r="H85">
        <v>34142</v>
      </c>
    </row>
    <row r="86" spans="1:8" x14ac:dyDescent="0.35">
      <c r="A86" s="2">
        <v>45295</v>
      </c>
      <c r="B86" s="7">
        <f t="shared" si="1"/>
        <v>1</v>
      </c>
      <c r="C86" s="7" t="str">
        <f>_xlfn.XLOOKUP(B86,catalogos!$A$2:$A$13,catalogos!$B$2:$B$13)</f>
        <v>January</v>
      </c>
      <c r="D86" t="s">
        <v>8</v>
      </c>
      <c r="E86" t="s">
        <v>12</v>
      </c>
      <c r="F86">
        <v>5</v>
      </c>
      <c r="G86">
        <v>304</v>
      </c>
      <c r="H86">
        <v>1520</v>
      </c>
    </row>
    <row r="87" spans="1:8" x14ac:dyDescent="0.35">
      <c r="A87" s="2">
        <v>45295</v>
      </c>
      <c r="B87" s="7">
        <f t="shared" si="1"/>
        <v>1</v>
      </c>
      <c r="C87" s="7" t="str">
        <f>_xlfn.XLOOKUP(B87,catalogos!$A$2:$A$13,catalogos!$B$2:$B$13)</f>
        <v>January</v>
      </c>
      <c r="D87" t="s">
        <v>6</v>
      </c>
      <c r="E87" t="s">
        <v>13</v>
      </c>
      <c r="F87">
        <v>14</v>
      </c>
      <c r="G87">
        <v>200</v>
      </c>
      <c r="H87">
        <v>2800</v>
      </c>
    </row>
    <row r="88" spans="1:8" x14ac:dyDescent="0.35">
      <c r="A88" s="2">
        <v>45295</v>
      </c>
      <c r="B88" s="7">
        <f t="shared" si="1"/>
        <v>1</v>
      </c>
      <c r="C88" s="7" t="str">
        <f>_xlfn.XLOOKUP(B88,catalogos!$A$2:$A$13,catalogos!$B$2:$B$13)</f>
        <v>January</v>
      </c>
      <c r="D88" t="s">
        <v>8</v>
      </c>
      <c r="E88" t="s">
        <v>11</v>
      </c>
      <c r="F88">
        <v>88</v>
      </c>
      <c r="G88">
        <v>230</v>
      </c>
      <c r="H88">
        <v>20240</v>
      </c>
    </row>
    <row r="89" spans="1:8" x14ac:dyDescent="0.35">
      <c r="A89" s="2">
        <v>45295</v>
      </c>
      <c r="B89" s="7">
        <f t="shared" si="1"/>
        <v>1</v>
      </c>
      <c r="C89" s="7" t="str">
        <f>_xlfn.XLOOKUP(B89,catalogos!$A$2:$A$13,catalogos!$B$2:$B$13)</f>
        <v>January</v>
      </c>
      <c r="D89" t="s">
        <v>9</v>
      </c>
      <c r="E89" t="s">
        <v>14</v>
      </c>
      <c r="F89">
        <v>17</v>
      </c>
      <c r="G89">
        <v>23</v>
      </c>
      <c r="H89">
        <v>391</v>
      </c>
    </row>
    <row r="90" spans="1:8" x14ac:dyDescent="0.35">
      <c r="A90" s="2">
        <v>45295</v>
      </c>
      <c r="B90" s="7">
        <f t="shared" si="1"/>
        <v>1</v>
      </c>
      <c r="C90" s="7" t="str">
        <f>_xlfn.XLOOKUP(B90,catalogos!$A$2:$A$13,catalogos!$B$2:$B$13)</f>
        <v>January</v>
      </c>
      <c r="D90" t="s">
        <v>7</v>
      </c>
      <c r="E90" t="s">
        <v>14</v>
      </c>
      <c r="F90">
        <v>23</v>
      </c>
      <c r="G90">
        <v>44</v>
      </c>
      <c r="H90">
        <v>1012</v>
      </c>
    </row>
    <row r="91" spans="1:8" x14ac:dyDescent="0.35">
      <c r="A91" s="2">
        <v>45295</v>
      </c>
      <c r="B91" s="7">
        <f t="shared" si="1"/>
        <v>1</v>
      </c>
      <c r="C91" s="7" t="str">
        <f>_xlfn.XLOOKUP(B91,catalogos!$A$2:$A$13,catalogos!$B$2:$B$13)</f>
        <v>January</v>
      </c>
      <c r="D91" t="s">
        <v>8</v>
      </c>
      <c r="E91" t="s">
        <v>15</v>
      </c>
      <c r="F91">
        <v>26</v>
      </c>
      <c r="G91">
        <v>413</v>
      </c>
      <c r="H91">
        <v>10738</v>
      </c>
    </row>
    <row r="92" spans="1:8" x14ac:dyDescent="0.35">
      <c r="A92" s="2">
        <v>45295</v>
      </c>
      <c r="B92" s="7">
        <f t="shared" si="1"/>
        <v>1</v>
      </c>
      <c r="C92" s="7" t="str">
        <f>_xlfn.XLOOKUP(B92,catalogos!$A$2:$A$13,catalogos!$B$2:$B$13)</f>
        <v>January</v>
      </c>
      <c r="D92" t="s">
        <v>7</v>
      </c>
      <c r="E92" t="s">
        <v>11</v>
      </c>
      <c r="F92">
        <v>39</v>
      </c>
      <c r="G92">
        <v>306</v>
      </c>
      <c r="H92">
        <v>11934</v>
      </c>
    </row>
    <row r="93" spans="1:8" x14ac:dyDescent="0.35">
      <c r="A93" s="2">
        <v>45295</v>
      </c>
      <c r="B93" s="7">
        <f t="shared" si="1"/>
        <v>1</v>
      </c>
      <c r="C93" s="7" t="str">
        <f>_xlfn.XLOOKUP(B93,catalogos!$A$2:$A$13,catalogos!$B$2:$B$13)</f>
        <v>January</v>
      </c>
      <c r="D93" t="s">
        <v>6</v>
      </c>
      <c r="E93" t="s">
        <v>12</v>
      </c>
      <c r="F93">
        <v>74</v>
      </c>
      <c r="G93">
        <v>374</v>
      </c>
      <c r="H93">
        <v>27676</v>
      </c>
    </row>
    <row r="94" spans="1:8" x14ac:dyDescent="0.35">
      <c r="A94" s="2">
        <v>45295</v>
      </c>
      <c r="B94" s="7">
        <f t="shared" si="1"/>
        <v>1</v>
      </c>
      <c r="C94" s="7" t="str">
        <f>_xlfn.XLOOKUP(B94,catalogos!$A$2:$A$13,catalogos!$B$2:$B$13)</f>
        <v>January</v>
      </c>
      <c r="D94" t="s">
        <v>7</v>
      </c>
      <c r="E94" t="s">
        <v>13</v>
      </c>
      <c r="F94">
        <v>69</v>
      </c>
      <c r="G94">
        <v>152</v>
      </c>
      <c r="H94">
        <v>10488</v>
      </c>
    </row>
    <row r="95" spans="1:8" x14ac:dyDescent="0.35">
      <c r="A95" s="2">
        <v>45295</v>
      </c>
      <c r="B95" s="7">
        <f t="shared" si="1"/>
        <v>1</v>
      </c>
      <c r="C95" s="7" t="str">
        <f>_xlfn.XLOOKUP(B95,catalogos!$A$2:$A$13,catalogos!$B$2:$B$13)</f>
        <v>January</v>
      </c>
      <c r="D95" t="s">
        <v>7</v>
      </c>
      <c r="E95" t="s">
        <v>13</v>
      </c>
      <c r="F95">
        <v>62</v>
      </c>
      <c r="G95">
        <v>342</v>
      </c>
      <c r="H95">
        <v>21204</v>
      </c>
    </row>
    <row r="96" spans="1:8" x14ac:dyDescent="0.35">
      <c r="A96" s="2">
        <v>45295</v>
      </c>
      <c r="B96" s="7">
        <f t="shared" si="1"/>
        <v>1</v>
      </c>
      <c r="C96" s="7" t="str">
        <f>_xlfn.XLOOKUP(B96,catalogos!$A$2:$A$13,catalogos!$B$2:$B$13)</f>
        <v>January</v>
      </c>
      <c r="D96" t="s">
        <v>6</v>
      </c>
      <c r="E96" t="s">
        <v>13</v>
      </c>
      <c r="F96">
        <v>81</v>
      </c>
      <c r="G96">
        <v>331</v>
      </c>
      <c r="H96">
        <v>26811</v>
      </c>
    </row>
    <row r="97" spans="1:8" x14ac:dyDescent="0.35">
      <c r="A97" s="2">
        <v>45295</v>
      </c>
      <c r="B97" s="7">
        <f t="shared" si="1"/>
        <v>1</v>
      </c>
      <c r="C97" s="7" t="str">
        <f>_xlfn.XLOOKUP(B97,catalogos!$A$2:$A$13,catalogos!$B$2:$B$13)</f>
        <v>January</v>
      </c>
      <c r="D97" t="s">
        <v>7</v>
      </c>
      <c r="E97" t="s">
        <v>15</v>
      </c>
      <c r="F97">
        <v>52</v>
      </c>
      <c r="G97">
        <v>183</v>
      </c>
      <c r="H97">
        <v>9516</v>
      </c>
    </row>
    <row r="98" spans="1:8" x14ac:dyDescent="0.35">
      <c r="A98" s="2">
        <v>45296</v>
      </c>
      <c r="B98" s="7">
        <f t="shared" si="1"/>
        <v>1</v>
      </c>
      <c r="C98" s="7" t="str">
        <f>_xlfn.XLOOKUP(B98,catalogos!$A$2:$A$13,catalogos!$B$2:$B$13)</f>
        <v>January</v>
      </c>
      <c r="D98" t="s">
        <v>7</v>
      </c>
      <c r="E98" t="s">
        <v>13</v>
      </c>
      <c r="F98">
        <v>65</v>
      </c>
      <c r="G98">
        <v>415</v>
      </c>
      <c r="H98">
        <v>26975</v>
      </c>
    </row>
    <row r="99" spans="1:8" x14ac:dyDescent="0.35">
      <c r="A99" s="2">
        <v>45296</v>
      </c>
      <c r="B99" s="7">
        <f t="shared" si="1"/>
        <v>1</v>
      </c>
      <c r="C99" s="7" t="str">
        <f>_xlfn.XLOOKUP(B99,catalogos!$A$2:$A$13,catalogos!$B$2:$B$13)</f>
        <v>January</v>
      </c>
      <c r="D99" t="s">
        <v>10</v>
      </c>
      <c r="E99" t="s">
        <v>14</v>
      </c>
      <c r="F99">
        <v>74</v>
      </c>
      <c r="G99">
        <v>374</v>
      </c>
      <c r="H99">
        <v>27676</v>
      </c>
    </row>
    <row r="100" spans="1:8" x14ac:dyDescent="0.35">
      <c r="A100" s="2">
        <v>45296</v>
      </c>
      <c r="B100" s="7">
        <f t="shared" si="1"/>
        <v>1</v>
      </c>
      <c r="C100" s="7" t="str">
        <f>_xlfn.XLOOKUP(B100,catalogos!$A$2:$A$13,catalogos!$B$2:$B$13)</f>
        <v>January</v>
      </c>
      <c r="D100" t="s">
        <v>9</v>
      </c>
      <c r="E100" t="s">
        <v>14</v>
      </c>
      <c r="F100">
        <v>94</v>
      </c>
      <c r="G100">
        <v>263</v>
      </c>
      <c r="H100">
        <v>24722</v>
      </c>
    </row>
    <row r="101" spans="1:8" x14ac:dyDescent="0.35">
      <c r="A101" s="2">
        <v>45296</v>
      </c>
      <c r="B101" s="7">
        <f t="shared" si="1"/>
        <v>1</v>
      </c>
      <c r="C101" s="7" t="str">
        <f>_xlfn.XLOOKUP(B101,catalogos!$A$2:$A$13,catalogos!$B$2:$B$13)</f>
        <v>January</v>
      </c>
      <c r="D101" t="s">
        <v>9</v>
      </c>
      <c r="E101" t="s">
        <v>11</v>
      </c>
      <c r="F101">
        <v>17</v>
      </c>
      <c r="G101">
        <v>436</v>
      </c>
      <c r="H101">
        <v>7412</v>
      </c>
    </row>
    <row r="102" spans="1:8" x14ac:dyDescent="0.35">
      <c r="A102" s="2">
        <v>45296</v>
      </c>
      <c r="B102" s="7">
        <f t="shared" si="1"/>
        <v>1</v>
      </c>
      <c r="C102" s="7" t="str">
        <f>_xlfn.XLOOKUP(B102,catalogos!$A$2:$A$13,catalogos!$B$2:$B$13)</f>
        <v>January</v>
      </c>
      <c r="D102" t="s">
        <v>10</v>
      </c>
      <c r="E102" t="s">
        <v>14</v>
      </c>
      <c r="F102">
        <v>95</v>
      </c>
      <c r="G102">
        <v>130</v>
      </c>
      <c r="H102">
        <v>12350</v>
      </c>
    </row>
    <row r="103" spans="1:8" x14ac:dyDescent="0.35">
      <c r="A103" s="2">
        <v>45296</v>
      </c>
      <c r="B103" s="7">
        <f t="shared" si="1"/>
        <v>1</v>
      </c>
      <c r="C103" s="7" t="str">
        <f>_xlfn.XLOOKUP(B103,catalogos!$A$2:$A$13,catalogos!$B$2:$B$13)</f>
        <v>January</v>
      </c>
      <c r="D103" t="s">
        <v>8</v>
      </c>
      <c r="E103" t="s">
        <v>11</v>
      </c>
      <c r="F103">
        <v>21</v>
      </c>
      <c r="G103">
        <v>490</v>
      </c>
      <c r="H103">
        <v>10290</v>
      </c>
    </row>
    <row r="104" spans="1:8" x14ac:dyDescent="0.35">
      <c r="A104" s="2">
        <v>45296</v>
      </c>
      <c r="B104" s="7">
        <f t="shared" si="1"/>
        <v>1</v>
      </c>
      <c r="C104" s="7" t="str">
        <f>_xlfn.XLOOKUP(B104,catalogos!$A$2:$A$13,catalogos!$B$2:$B$13)</f>
        <v>January</v>
      </c>
      <c r="D104" t="s">
        <v>6</v>
      </c>
      <c r="E104" t="s">
        <v>11</v>
      </c>
      <c r="F104">
        <v>74</v>
      </c>
      <c r="G104">
        <v>301</v>
      </c>
      <c r="H104">
        <v>22274</v>
      </c>
    </row>
    <row r="105" spans="1:8" x14ac:dyDescent="0.35">
      <c r="A105" s="2">
        <v>45296</v>
      </c>
      <c r="B105" s="7">
        <f t="shared" si="1"/>
        <v>1</v>
      </c>
      <c r="C105" s="7" t="str">
        <f>_xlfn.XLOOKUP(B105,catalogos!$A$2:$A$13,catalogos!$B$2:$B$13)</f>
        <v>January</v>
      </c>
      <c r="D105" t="s">
        <v>10</v>
      </c>
      <c r="E105" t="s">
        <v>13</v>
      </c>
      <c r="F105">
        <v>8</v>
      </c>
      <c r="G105">
        <v>324</v>
      </c>
      <c r="H105">
        <v>2592</v>
      </c>
    </row>
    <row r="106" spans="1:8" x14ac:dyDescent="0.35">
      <c r="A106" s="2">
        <v>45296</v>
      </c>
      <c r="B106" s="7">
        <f t="shared" si="1"/>
        <v>1</v>
      </c>
      <c r="C106" s="7" t="str">
        <f>_xlfn.XLOOKUP(B106,catalogos!$A$2:$A$13,catalogos!$B$2:$B$13)</f>
        <v>January</v>
      </c>
      <c r="D106" t="s">
        <v>6</v>
      </c>
      <c r="E106" t="s">
        <v>14</v>
      </c>
      <c r="F106">
        <v>12</v>
      </c>
      <c r="G106">
        <v>154</v>
      </c>
      <c r="H106">
        <v>1848</v>
      </c>
    </row>
    <row r="107" spans="1:8" x14ac:dyDescent="0.35">
      <c r="A107" s="2">
        <v>45296</v>
      </c>
      <c r="B107" s="7">
        <f t="shared" si="1"/>
        <v>1</v>
      </c>
      <c r="C107" s="7" t="str">
        <f>_xlfn.XLOOKUP(B107,catalogos!$A$2:$A$13,catalogos!$B$2:$B$13)</f>
        <v>January</v>
      </c>
      <c r="D107" t="s">
        <v>9</v>
      </c>
      <c r="E107" t="s">
        <v>11</v>
      </c>
      <c r="F107">
        <v>82</v>
      </c>
      <c r="G107">
        <v>270</v>
      </c>
      <c r="H107">
        <v>22140</v>
      </c>
    </row>
    <row r="108" spans="1:8" x14ac:dyDescent="0.35">
      <c r="A108" s="2">
        <v>45296</v>
      </c>
      <c r="B108" s="7">
        <f t="shared" si="1"/>
        <v>1</v>
      </c>
      <c r="C108" s="7" t="str">
        <f>_xlfn.XLOOKUP(B108,catalogos!$A$2:$A$13,catalogos!$B$2:$B$13)</f>
        <v>January</v>
      </c>
      <c r="D108" t="s">
        <v>10</v>
      </c>
      <c r="E108" t="s">
        <v>11</v>
      </c>
      <c r="F108">
        <v>56</v>
      </c>
      <c r="G108">
        <v>78</v>
      </c>
      <c r="H108">
        <v>4368</v>
      </c>
    </row>
    <row r="109" spans="1:8" x14ac:dyDescent="0.35">
      <c r="A109" s="2">
        <v>45296</v>
      </c>
      <c r="B109" s="7">
        <f t="shared" si="1"/>
        <v>1</v>
      </c>
      <c r="C109" s="7" t="str">
        <f>_xlfn.XLOOKUP(B109,catalogos!$A$2:$A$13,catalogos!$B$2:$B$13)</f>
        <v>January</v>
      </c>
      <c r="D109" t="s">
        <v>9</v>
      </c>
      <c r="E109" t="s">
        <v>15</v>
      </c>
      <c r="F109">
        <v>21</v>
      </c>
      <c r="G109">
        <v>371</v>
      </c>
      <c r="H109">
        <v>7791</v>
      </c>
    </row>
    <row r="110" spans="1:8" x14ac:dyDescent="0.35">
      <c r="A110" s="2">
        <v>45296</v>
      </c>
      <c r="B110" s="7">
        <f t="shared" si="1"/>
        <v>1</v>
      </c>
      <c r="C110" s="7" t="str">
        <f>_xlfn.XLOOKUP(B110,catalogos!$A$2:$A$13,catalogos!$B$2:$B$13)</f>
        <v>January</v>
      </c>
      <c r="D110" t="s">
        <v>6</v>
      </c>
      <c r="E110" t="s">
        <v>12</v>
      </c>
      <c r="F110">
        <v>32</v>
      </c>
      <c r="G110">
        <v>346</v>
      </c>
      <c r="H110">
        <v>11072</v>
      </c>
    </row>
    <row r="111" spans="1:8" x14ac:dyDescent="0.35">
      <c r="A111" s="2">
        <v>45296</v>
      </c>
      <c r="B111" s="7">
        <f t="shared" si="1"/>
        <v>1</v>
      </c>
      <c r="C111" s="7" t="str">
        <f>_xlfn.XLOOKUP(B111,catalogos!$A$2:$A$13,catalogos!$B$2:$B$13)</f>
        <v>January</v>
      </c>
      <c r="D111" t="s">
        <v>9</v>
      </c>
      <c r="E111" t="s">
        <v>15</v>
      </c>
      <c r="F111">
        <v>88</v>
      </c>
      <c r="G111">
        <v>294</v>
      </c>
      <c r="H111">
        <v>25872</v>
      </c>
    </row>
    <row r="112" spans="1:8" x14ac:dyDescent="0.35">
      <c r="A112" s="2">
        <v>45296</v>
      </c>
      <c r="B112" s="7">
        <f t="shared" si="1"/>
        <v>1</v>
      </c>
      <c r="C112" s="7" t="str">
        <f>_xlfn.XLOOKUP(B112,catalogos!$A$2:$A$13,catalogos!$B$2:$B$13)</f>
        <v>January</v>
      </c>
      <c r="D112" t="s">
        <v>10</v>
      </c>
      <c r="E112" t="s">
        <v>12</v>
      </c>
      <c r="F112">
        <v>99</v>
      </c>
      <c r="G112">
        <v>175</v>
      </c>
      <c r="H112">
        <v>17325</v>
      </c>
    </row>
    <row r="113" spans="1:8" x14ac:dyDescent="0.35">
      <c r="A113" s="2">
        <v>45296</v>
      </c>
      <c r="B113" s="7">
        <f t="shared" si="1"/>
        <v>1</v>
      </c>
      <c r="C113" s="7" t="str">
        <f>_xlfn.XLOOKUP(B113,catalogos!$A$2:$A$13,catalogos!$B$2:$B$13)</f>
        <v>January</v>
      </c>
      <c r="D113" t="s">
        <v>10</v>
      </c>
      <c r="E113" t="s">
        <v>11</v>
      </c>
      <c r="F113">
        <v>98</v>
      </c>
      <c r="G113">
        <v>179</v>
      </c>
      <c r="H113">
        <v>17542</v>
      </c>
    </row>
    <row r="114" spans="1:8" x14ac:dyDescent="0.35">
      <c r="A114" s="2">
        <v>45296</v>
      </c>
      <c r="B114" s="7">
        <f t="shared" si="1"/>
        <v>1</v>
      </c>
      <c r="C114" s="7" t="str">
        <f>_xlfn.XLOOKUP(B114,catalogos!$A$2:$A$13,catalogos!$B$2:$B$13)</f>
        <v>January</v>
      </c>
      <c r="D114" t="s">
        <v>10</v>
      </c>
      <c r="E114" t="s">
        <v>12</v>
      </c>
      <c r="F114">
        <v>40</v>
      </c>
      <c r="G114">
        <v>166</v>
      </c>
      <c r="H114">
        <v>6640</v>
      </c>
    </row>
    <row r="115" spans="1:8" x14ac:dyDescent="0.35">
      <c r="A115" s="2">
        <v>45296</v>
      </c>
      <c r="B115" s="7">
        <f t="shared" si="1"/>
        <v>1</v>
      </c>
      <c r="C115" s="7" t="str">
        <f>_xlfn.XLOOKUP(B115,catalogos!$A$2:$A$13,catalogos!$B$2:$B$13)</f>
        <v>January</v>
      </c>
      <c r="D115" t="s">
        <v>10</v>
      </c>
      <c r="E115" t="s">
        <v>14</v>
      </c>
      <c r="F115">
        <v>38</v>
      </c>
      <c r="G115">
        <v>470</v>
      </c>
      <c r="H115">
        <v>17860</v>
      </c>
    </row>
    <row r="116" spans="1:8" x14ac:dyDescent="0.35">
      <c r="A116" s="2">
        <v>45296</v>
      </c>
      <c r="B116" s="7">
        <f t="shared" si="1"/>
        <v>1</v>
      </c>
      <c r="C116" s="7" t="str">
        <f>_xlfn.XLOOKUP(B116,catalogos!$A$2:$A$13,catalogos!$B$2:$B$13)</f>
        <v>January</v>
      </c>
      <c r="D116" t="s">
        <v>6</v>
      </c>
      <c r="E116" t="s">
        <v>15</v>
      </c>
      <c r="F116">
        <v>31</v>
      </c>
      <c r="G116">
        <v>127</v>
      </c>
      <c r="H116">
        <v>3937</v>
      </c>
    </row>
    <row r="117" spans="1:8" x14ac:dyDescent="0.35">
      <c r="A117" s="2">
        <v>45296</v>
      </c>
      <c r="B117" s="7">
        <f t="shared" si="1"/>
        <v>1</v>
      </c>
      <c r="C117" s="7" t="str">
        <f>_xlfn.XLOOKUP(B117,catalogos!$A$2:$A$13,catalogos!$B$2:$B$13)</f>
        <v>January</v>
      </c>
      <c r="D117" t="s">
        <v>7</v>
      </c>
      <c r="E117" t="s">
        <v>11</v>
      </c>
      <c r="F117">
        <v>35</v>
      </c>
      <c r="G117">
        <v>189</v>
      </c>
      <c r="H117">
        <v>6615</v>
      </c>
    </row>
    <row r="118" spans="1:8" x14ac:dyDescent="0.35">
      <c r="A118" s="2">
        <v>45296</v>
      </c>
      <c r="B118" s="7">
        <f t="shared" si="1"/>
        <v>1</v>
      </c>
      <c r="C118" s="7" t="str">
        <f>_xlfn.XLOOKUP(B118,catalogos!$A$2:$A$13,catalogos!$B$2:$B$13)</f>
        <v>January</v>
      </c>
      <c r="D118" t="s">
        <v>9</v>
      </c>
      <c r="E118" t="s">
        <v>11</v>
      </c>
      <c r="F118">
        <v>82</v>
      </c>
      <c r="G118">
        <v>375</v>
      </c>
      <c r="H118">
        <v>30750</v>
      </c>
    </row>
    <row r="119" spans="1:8" x14ac:dyDescent="0.35">
      <c r="A119" s="2">
        <v>45296</v>
      </c>
      <c r="B119" s="7">
        <f t="shared" si="1"/>
        <v>1</v>
      </c>
      <c r="C119" s="7" t="str">
        <f>_xlfn.XLOOKUP(B119,catalogos!$A$2:$A$13,catalogos!$B$2:$B$13)</f>
        <v>January</v>
      </c>
      <c r="D119" t="s">
        <v>6</v>
      </c>
      <c r="E119" t="s">
        <v>14</v>
      </c>
      <c r="F119">
        <v>4</v>
      </c>
      <c r="G119">
        <v>196</v>
      </c>
      <c r="H119">
        <v>784</v>
      </c>
    </row>
    <row r="120" spans="1:8" x14ac:dyDescent="0.35">
      <c r="A120" s="2">
        <v>45296</v>
      </c>
      <c r="B120" s="7">
        <f t="shared" si="1"/>
        <v>1</v>
      </c>
      <c r="C120" s="7" t="str">
        <f>_xlfn.XLOOKUP(B120,catalogos!$A$2:$A$13,catalogos!$B$2:$B$13)</f>
        <v>January</v>
      </c>
      <c r="D120" t="s">
        <v>8</v>
      </c>
      <c r="E120" t="s">
        <v>12</v>
      </c>
      <c r="F120">
        <v>41</v>
      </c>
      <c r="G120">
        <v>111</v>
      </c>
      <c r="H120">
        <v>4551</v>
      </c>
    </row>
    <row r="121" spans="1:8" x14ac:dyDescent="0.35">
      <c r="A121" s="2">
        <v>45296</v>
      </c>
      <c r="B121" s="7">
        <f t="shared" si="1"/>
        <v>1</v>
      </c>
      <c r="C121" s="7" t="str">
        <f>_xlfn.XLOOKUP(B121,catalogos!$A$2:$A$13,catalogos!$B$2:$B$13)</f>
        <v>January</v>
      </c>
      <c r="D121" t="s">
        <v>10</v>
      </c>
      <c r="E121" t="s">
        <v>13</v>
      </c>
      <c r="F121">
        <v>3</v>
      </c>
      <c r="G121">
        <v>386</v>
      </c>
      <c r="H121">
        <v>1158</v>
      </c>
    </row>
    <row r="122" spans="1:8" x14ac:dyDescent="0.35">
      <c r="A122" s="2">
        <v>45297</v>
      </c>
      <c r="B122" s="7">
        <f t="shared" si="1"/>
        <v>1</v>
      </c>
      <c r="C122" s="7" t="str">
        <f>_xlfn.XLOOKUP(B122,catalogos!$A$2:$A$13,catalogos!$B$2:$B$13)</f>
        <v>January</v>
      </c>
      <c r="D122" t="s">
        <v>9</v>
      </c>
      <c r="E122" t="s">
        <v>11</v>
      </c>
      <c r="F122">
        <v>6</v>
      </c>
      <c r="G122">
        <v>405</v>
      </c>
      <c r="H122">
        <v>2430</v>
      </c>
    </row>
    <row r="123" spans="1:8" x14ac:dyDescent="0.35">
      <c r="A123" s="2">
        <v>45297</v>
      </c>
      <c r="B123" s="7">
        <f t="shared" si="1"/>
        <v>1</v>
      </c>
      <c r="C123" s="7" t="str">
        <f>_xlfn.XLOOKUP(B123,catalogos!$A$2:$A$13,catalogos!$B$2:$B$13)</f>
        <v>January</v>
      </c>
      <c r="D123" t="s">
        <v>7</v>
      </c>
      <c r="E123" t="s">
        <v>15</v>
      </c>
      <c r="F123">
        <v>89</v>
      </c>
      <c r="G123">
        <v>340</v>
      </c>
      <c r="H123">
        <v>30260</v>
      </c>
    </row>
    <row r="124" spans="1:8" x14ac:dyDescent="0.35">
      <c r="A124" s="2">
        <v>45297</v>
      </c>
      <c r="B124" s="7">
        <f t="shared" si="1"/>
        <v>1</v>
      </c>
      <c r="C124" s="7" t="str">
        <f>_xlfn.XLOOKUP(B124,catalogos!$A$2:$A$13,catalogos!$B$2:$B$13)</f>
        <v>January</v>
      </c>
      <c r="D124" t="s">
        <v>6</v>
      </c>
      <c r="E124" t="s">
        <v>11</v>
      </c>
      <c r="F124">
        <v>40</v>
      </c>
      <c r="G124">
        <v>311</v>
      </c>
      <c r="H124">
        <v>12440</v>
      </c>
    </row>
    <row r="125" spans="1:8" x14ac:dyDescent="0.35">
      <c r="A125" s="2">
        <v>45297</v>
      </c>
      <c r="B125" s="7">
        <f t="shared" si="1"/>
        <v>1</v>
      </c>
      <c r="C125" s="7" t="str">
        <f>_xlfn.XLOOKUP(B125,catalogos!$A$2:$A$13,catalogos!$B$2:$B$13)</f>
        <v>January</v>
      </c>
      <c r="D125" t="s">
        <v>7</v>
      </c>
      <c r="E125" t="s">
        <v>14</v>
      </c>
      <c r="F125">
        <v>60</v>
      </c>
      <c r="G125">
        <v>37</v>
      </c>
      <c r="H125">
        <v>2220</v>
      </c>
    </row>
    <row r="126" spans="1:8" x14ac:dyDescent="0.35">
      <c r="A126" s="2">
        <v>45297</v>
      </c>
      <c r="B126" s="7">
        <f t="shared" si="1"/>
        <v>1</v>
      </c>
      <c r="C126" s="7" t="str">
        <f>_xlfn.XLOOKUP(B126,catalogos!$A$2:$A$13,catalogos!$B$2:$B$13)</f>
        <v>January</v>
      </c>
      <c r="D126" t="s">
        <v>9</v>
      </c>
      <c r="E126" t="s">
        <v>14</v>
      </c>
      <c r="F126">
        <v>76</v>
      </c>
      <c r="G126">
        <v>359</v>
      </c>
      <c r="H126">
        <v>27284</v>
      </c>
    </row>
    <row r="127" spans="1:8" x14ac:dyDescent="0.35">
      <c r="A127" s="2">
        <v>45297</v>
      </c>
      <c r="B127" s="7">
        <f t="shared" si="1"/>
        <v>1</v>
      </c>
      <c r="C127" s="7" t="str">
        <f>_xlfn.XLOOKUP(B127,catalogos!$A$2:$A$13,catalogos!$B$2:$B$13)</f>
        <v>January</v>
      </c>
      <c r="D127" t="s">
        <v>7</v>
      </c>
      <c r="E127" t="s">
        <v>11</v>
      </c>
      <c r="F127">
        <v>61</v>
      </c>
      <c r="G127">
        <v>479</v>
      </c>
      <c r="H127">
        <v>29219</v>
      </c>
    </row>
    <row r="128" spans="1:8" x14ac:dyDescent="0.35">
      <c r="A128" s="2">
        <v>45297</v>
      </c>
      <c r="B128" s="7">
        <f t="shared" si="1"/>
        <v>1</v>
      </c>
      <c r="C128" s="7" t="str">
        <f>_xlfn.XLOOKUP(B128,catalogos!$A$2:$A$13,catalogos!$B$2:$B$13)</f>
        <v>January</v>
      </c>
      <c r="D128" t="s">
        <v>6</v>
      </c>
      <c r="E128" t="s">
        <v>11</v>
      </c>
      <c r="F128">
        <v>54</v>
      </c>
      <c r="G128">
        <v>181</v>
      </c>
      <c r="H128">
        <v>9774</v>
      </c>
    </row>
    <row r="129" spans="1:8" x14ac:dyDescent="0.35">
      <c r="A129" s="2">
        <v>45297</v>
      </c>
      <c r="B129" s="7">
        <f t="shared" si="1"/>
        <v>1</v>
      </c>
      <c r="C129" s="7" t="str">
        <f>_xlfn.XLOOKUP(B129,catalogos!$A$2:$A$13,catalogos!$B$2:$B$13)</f>
        <v>January</v>
      </c>
      <c r="D129" t="s">
        <v>6</v>
      </c>
      <c r="E129" t="s">
        <v>12</v>
      </c>
      <c r="F129">
        <v>56</v>
      </c>
      <c r="G129">
        <v>367</v>
      </c>
      <c r="H129">
        <v>20552</v>
      </c>
    </row>
    <row r="130" spans="1:8" x14ac:dyDescent="0.35">
      <c r="A130" s="2">
        <v>45297</v>
      </c>
      <c r="B130" s="7">
        <f t="shared" si="1"/>
        <v>1</v>
      </c>
      <c r="C130" s="7" t="str">
        <f>_xlfn.XLOOKUP(B130,catalogos!$A$2:$A$13,catalogos!$B$2:$B$13)</f>
        <v>January</v>
      </c>
      <c r="D130" t="s">
        <v>6</v>
      </c>
      <c r="E130" t="s">
        <v>15</v>
      </c>
      <c r="F130">
        <v>55</v>
      </c>
      <c r="G130">
        <v>405</v>
      </c>
      <c r="H130">
        <v>22275</v>
      </c>
    </row>
    <row r="131" spans="1:8" x14ac:dyDescent="0.35">
      <c r="A131" s="2">
        <v>45297</v>
      </c>
      <c r="B131" s="7">
        <f t="shared" ref="B131:B194" si="2">MONTH(A131)</f>
        <v>1</v>
      </c>
      <c r="C131" s="7" t="str">
        <f>_xlfn.XLOOKUP(B131,catalogos!$A$2:$A$13,catalogos!$B$2:$B$13)</f>
        <v>January</v>
      </c>
      <c r="D131" t="s">
        <v>10</v>
      </c>
      <c r="E131" t="s">
        <v>13</v>
      </c>
      <c r="F131">
        <v>36</v>
      </c>
      <c r="G131">
        <v>380</v>
      </c>
      <c r="H131">
        <v>13680</v>
      </c>
    </row>
    <row r="132" spans="1:8" x14ac:dyDescent="0.35">
      <c r="A132" s="2">
        <v>45297</v>
      </c>
      <c r="B132" s="7">
        <f t="shared" si="2"/>
        <v>1</v>
      </c>
      <c r="C132" s="7" t="str">
        <f>_xlfn.XLOOKUP(B132,catalogos!$A$2:$A$13,catalogos!$B$2:$B$13)</f>
        <v>January</v>
      </c>
      <c r="D132" t="s">
        <v>9</v>
      </c>
      <c r="E132" t="s">
        <v>14</v>
      </c>
      <c r="F132">
        <v>34</v>
      </c>
      <c r="G132">
        <v>118</v>
      </c>
      <c r="H132">
        <v>4012</v>
      </c>
    </row>
    <row r="133" spans="1:8" x14ac:dyDescent="0.35">
      <c r="A133" s="2">
        <v>45297</v>
      </c>
      <c r="B133" s="7">
        <f t="shared" si="2"/>
        <v>1</v>
      </c>
      <c r="C133" s="7" t="str">
        <f>_xlfn.XLOOKUP(B133,catalogos!$A$2:$A$13,catalogos!$B$2:$B$13)</f>
        <v>January</v>
      </c>
      <c r="D133" t="s">
        <v>7</v>
      </c>
      <c r="E133" t="s">
        <v>13</v>
      </c>
      <c r="F133">
        <v>42</v>
      </c>
      <c r="G133">
        <v>491</v>
      </c>
      <c r="H133">
        <v>20622</v>
      </c>
    </row>
    <row r="134" spans="1:8" x14ac:dyDescent="0.35">
      <c r="A134" s="2">
        <v>45297</v>
      </c>
      <c r="B134" s="7">
        <f t="shared" si="2"/>
        <v>1</v>
      </c>
      <c r="C134" s="7" t="str">
        <f>_xlfn.XLOOKUP(B134,catalogos!$A$2:$A$13,catalogos!$B$2:$B$13)</f>
        <v>January</v>
      </c>
      <c r="D134" t="s">
        <v>9</v>
      </c>
      <c r="E134" t="s">
        <v>12</v>
      </c>
      <c r="F134">
        <v>95</v>
      </c>
      <c r="G134">
        <v>303</v>
      </c>
      <c r="H134">
        <v>28785</v>
      </c>
    </row>
    <row r="135" spans="1:8" x14ac:dyDescent="0.35">
      <c r="A135" s="2">
        <v>45297</v>
      </c>
      <c r="B135" s="7">
        <f t="shared" si="2"/>
        <v>1</v>
      </c>
      <c r="C135" s="7" t="str">
        <f>_xlfn.XLOOKUP(B135,catalogos!$A$2:$A$13,catalogos!$B$2:$B$13)</f>
        <v>January</v>
      </c>
      <c r="D135" t="s">
        <v>6</v>
      </c>
      <c r="E135" t="s">
        <v>11</v>
      </c>
      <c r="F135">
        <v>7</v>
      </c>
      <c r="G135">
        <v>52</v>
      </c>
      <c r="H135">
        <v>364</v>
      </c>
    </row>
    <row r="136" spans="1:8" x14ac:dyDescent="0.35">
      <c r="A136" s="2">
        <v>45297</v>
      </c>
      <c r="B136" s="7">
        <f t="shared" si="2"/>
        <v>1</v>
      </c>
      <c r="C136" s="7" t="str">
        <f>_xlfn.XLOOKUP(B136,catalogos!$A$2:$A$13,catalogos!$B$2:$B$13)</f>
        <v>January</v>
      </c>
      <c r="D136" t="s">
        <v>6</v>
      </c>
      <c r="E136" t="s">
        <v>15</v>
      </c>
      <c r="F136">
        <v>68</v>
      </c>
      <c r="G136">
        <v>77</v>
      </c>
      <c r="H136">
        <v>5236</v>
      </c>
    </row>
    <row r="137" spans="1:8" x14ac:dyDescent="0.35">
      <c r="A137" s="2">
        <v>45297</v>
      </c>
      <c r="B137" s="7">
        <f t="shared" si="2"/>
        <v>1</v>
      </c>
      <c r="C137" s="7" t="str">
        <f>_xlfn.XLOOKUP(B137,catalogos!$A$2:$A$13,catalogos!$B$2:$B$13)</f>
        <v>January</v>
      </c>
      <c r="D137" t="s">
        <v>9</v>
      </c>
      <c r="E137" t="s">
        <v>11</v>
      </c>
      <c r="F137">
        <v>93</v>
      </c>
      <c r="G137">
        <v>153</v>
      </c>
      <c r="H137">
        <v>14229</v>
      </c>
    </row>
    <row r="138" spans="1:8" x14ac:dyDescent="0.35">
      <c r="A138" s="2">
        <v>45297</v>
      </c>
      <c r="B138" s="7">
        <f t="shared" si="2"/>
        <v>1</v>
      </c>
      <c r="C138" s="7" t="str">
        <f>_xlfn.XLOOKUP(B138,catalogos!$A$2:$A$13,catalogos!$B$2:$B$13)</f>
        <v>January</v>
      </c>
      <c r="D138" t="s">
        <v>9</v>
      </c>
      <c r="E138" t="s">
        <v>15</v>
      </c>
      <c r="F138">
        <v>67</v>
      </c>
      <c r="G138">
        <v>350</v>
      </c>
      <c r="H138">
        <v>23450</v>
      </c>
    </row>
    <row r="139" spans="1:8" x14ac:dyDescent="0.35">
      <c r="A139" s="2">
        <v>45297</v>
      </c>
      <c r="B139" s="7">
        <f t="shared" si="2"/>
        <v>1</v>
      </c>
      <c r="C139" s="7" t="str">
        <f>_xlfn.XLOOKUP(B139,catalogos!$A$2:$A$13,catalogos!$B$2:$B$13)</f>
        <v>January</v>
      </c>
      <c r="D139" t="s">
        <v>7</v>
      </c>
      <c r="E139" t="s">
        <v>12</v>
      </c>
      <c r="F139">
        <v>10</v>
      </c>
      <c r="G139">
        <v>477</v>
      </c>
      <c r="H139">
        <v>4770</v>
      </c>
    </row>
    <row r="140" spans="1:8" x14ac:dyDescent="0.35">
      <c r="A140" s="2">
        <v>45297</v>
      </c>
      <c r="B140" s="7">
        <f t="shared" si="2"/>
        <v>1</v>
      </c>
      <c r="C140" s="7" t="str">
        <f>_xlfn.XLOOKUP(B140,catalogos!$A$2:$A$13,catalogos!$B$2:$B$13)</f>
        <v>January</v>
      </c>
      <c r="D140" t="s">
        <v>10</v>
      </c>
      <c r="E140" t="s">
        <v>11</v>
      </c>
      <c r="F140">
        <v>82</v>
      </c>
      <c r="G140">
        <v>186</v>
      </c>
      <c r="H140">
        <v>15252</v>
      </c>
    </row>
    <row r="141" spans="1:8" x14ac:dyDescent="0.35">
      <c r="A141" s="2">
        <v>45297</v>
      </c>
      <c r="B141" s="7">
        <f t="shared" si="2"/>
        <v>1</v>
      </c>
      <c r="C141" s="7" t="str">
        <f>_xlfn.XLOOKUP(B141,catalogos!$A$2:$A$13,catalogos!$B$2:$B$13)</f>
        <v>January</v>
      </c>
      <c r="D141" t="s">
        <v>6</v>
      </c>
      <c r="E141" t="s">
        <v>11</v>
      </c>
      <c r="F141">
        <v>45</v>
      </c>
      <c r="G141">
        <v>311</v>
      </c>
      <c r="H141">
        <v>13995</v>
      </c>
    </row>
    <row r="142" spans="1:8" x14ac:dyDescent="0.35">
      <c r="A142" s="2">
        <v>45297</v>
      </c>
      <c r="B142" s="7">
        <f t="shared" si="2"/>
        <v>1</v>
      </c>
      <c r="C142" s="7" t="str">
        <f>_xlfn.XLOOKUP(B142,catalogos!$A$2:$A$13,catalogos!$B$2:$B$13)</f>
        <v>January</v>
      </c>
      <c r="D142" t="s">
        <v>6</v>
      </c>
      <c r="E142" t="s">
        <v>14</v>
      </c>
      <c r="F142">
        <v>35</v>
      </c>
      <c r="G142">
        <v>273</v>
      </c>
      <c r="H142">
        <v>9555</v>
      </c>
    </row>
    <row r="143" spans="1:8" x14ac:dyDescent="0.35">
      <c r="A143" s="2">
        <v>45297</v>
      </c>
      <c r="B143" s="7">
        <f t="shared" si="2"/>
        <v>1</v>
      </c>
      <c r="C143" s="7" t="str">
        <f>_xlfn.XLOOKUP(B143,catalogos!$A$2:$A$13,catalogos!$B$2:$B$13)</f>
        <v>January</v>
      </c>
      <c r="D143" t="s">
        <v>6</v>
      </c>
      <c r="E143" t="s">
        <v>11</v>
      </c>
      <c r="F143">
        <v>42</v>
      </c>
      <c r="G143">
        <v>375</v>
      </c>
      <c r="H143">
        <v>15750</v>
      </c>
    </row>
    <row r="144" spans="1:8" x14ac:dyDescent="0.35">
      <c r="A144" s="2">
        <v>45297</v>
      </c>
      <c r="B144" s="7">
        <f t="shared" si="2"/>
        <v>1</v>
      </c>
      <c r="C144" s="7" t="str">
        <f>_xlfn.XLOOKUP(B144,catalogos!$A$2:$A$13,catalogos!$B$2:$B$13)</f>
        <v>January</v>
      </c>
      <c r="D144" t="s">
        <v>6</v>
      </c>
      <c r="E144" t="s">
        <v>15</v>
      </c>
      <c r="F144">
        <v>40</v>
      </c>
      <c r="G144">
        <v>206</v>
      </c>
      <c r="H144">
        <v>8240</v>
      </c>
    </row>
    <row r="145" spans="1:8" x14ac:dyDescent="0.35">
      <c r="A145" s="2">
        <v>45297</v>
      </c>
      <c r="B145" s="7">
        <f t="shared" si="2"/>
        <v>1</v>
      </c>
      <c r="C145" s="7" t="str">
        <f>_xlfn.XLOOKUP(B145,catalogos!$A$2:$A$13,catalogos!$B$2:$B$13)</f>
        <v>January</v>
      </c>
      <c r="D145" t="s">
        <v>9</v>
      </c>
      <c r="E145" t="s">
        <v>11</v>
      </c>
      <c r="F145">
        <v>82</v>
      </c>
      <c r="G145">
        <v>291</v>
      </c>
      <c r="H145">
        <v>23862</v>
      </c>
    </row>
    <row r="146" spans="1:8" x14ac:dyDescent="0.35">
      <c r="A146" s="2">
        <v>45298</v>
      </c>
      <c r="B146" s="7">
        <f t="shared" si="2"/>
        <v>1</v>
      </c>
      <c r="C146" s="7" t="str">
        <f>_xlfn.XLOOKUP(B146,catalogos!$A$2:$A$13,catalogos!$B$2:$B$13)</f>
        <v>January</v>
      </c>
      <c r="D146" t="s">
        <v>10</v>
      </c>
      <c r="E146" t="s">
        <v>12</v>
      </c>
      <c r="F146">
        <v>40</v>
      </c>
      <c r="G146">
        <v>469</v>
      </c>
      <c r="H146">
        <v>18760</v>
      </c>
    </row>
    <row r="147" spans="1:8" x14ac:dyDescent="0.35">
      <c r="A147" s="2">
        <v>45298</v>
      </c>
      <c r="B147" s="7">
        <f t="shared" si="2"/>
        <v>1</v>
      </c>
      <c r="C147" s="7" t="str">
        <f>_xlfn.XLOOKUP(B147,catalogos!$A$2:$A$13,catalogos!$B$2:$B$13)</f>
        <v>January</v>
      </c>
      <c r="D147" t="s">
        <v>9</v>
      </c>
      <c r="E147" t="s">
        <v>15</v>
      </c>
      <c r="F147">
        <v>31</v>
      </c>
      <c r="G147">
        <v>144</v>
      </c>
      <c r="H147">
        <v>4464</v>
      </c>
    </row>
    <row r="148" spans="1:8" x14ac:dyDescent="0.35">
      <c r="A148" s="2">
        <v>45298</v>
      </c>
      <c r="B148" s="7">
        <f t="shared" si="2"/>
        <v>1</v>
      </c>
      <c r="C148" s="7" t="str">
        <f>_xlfn.XLOOKUP(B148,catalogos!$A$2:$A$13,catalogos!$B$2:$B$13)</f>
        <v>January</v>
      </c>
      <c r="D148" t="s">
        <v>9</v>
      </c>
      <c r="E148" t="s">
        <v>15</v>
      </c>
      <c r="F148">
        <v>34</v>
      </c>
      <c r="G148">
        <v>355</v>
      </c>
      <c r="H148">
        <v>12070</v>
      </c>
    </row>
    <row r="149" spans="1:8" x14ac:dyDescent="0.35">
      <c r="A149" s="2">
        <v>45298</v>
      </c>
      <c r="B149" s="7">
        <f t="shared" si="2"/>
        <v>1</v>
      </c>
      <c r="C149" s="7" t="str">
        <f>_xlfn.XLOOKUP(B149,catalogos!$A$2:$A$13,catalogos!$B$2:$B$13)</f>
        <v>January</v>
      </c>
      <c r="D149" t="s">
        <v>6</v>
      </c>
      <c r="E149" t="s">
        <v>13</v>
      </c>
      <c r="F149">
        <v>42</v>
      </c>
      <c r="G149">
        <v>82</v>
      </c>
      <c r="H149">
        <v>3444</v>
      </c>
    </row>
    <row r="150" spans="1:8" x14ac:dyDescent="0.35">
      <c r="A150" s="2">
        <v>45298</v>
      </c>
      <c r="B150" s="7">
        <f t="shared" si="2"/>
        <v>1</v>
      </c>
      <c r="C150" s="7" t="str">
        <f>_xlfn.XLOOKUP(B150,catalogos!$A$2:$A$13,catalogos!$B$2:$B$13)</f>
        <v>January</v>
      </c>
      <c r="D150" t="s">
        <v>6</v>
      </c>
      <c r="E150" t="s">
        <v>15</v>
      </c>
      <c r="F150">
        <v>30</v>
      </c>
      <c r="G150">
        <v>376</v>
      </c>
      <c r="H150">
        <v>11280</v>
      </c>
    </row>
    <row r="151" spans="1:8" x14ac:dyDescent="0.35">
      <c r="A151" s="2">
        <v>45298</v>
      </c>
      <c r="B151" s="7">
        <f t="shared" si="2"/>
        <v>1</v>
      </c>
      <c r="C151" s="7" t="str">
        <f>_xlfn.XLOOKUP(B151,catalogos!$A$2:$A$13,catalogos!$B$2:$B$13)</f>
        <v>January</v>
      </c>
      <c r="D151" t="s">
        <v>6</v>
      </c>
      <c r="E151" t="s">
        <v>11</v>
      </c>
      <c r="F151">
        <v>18</v>
      </c>
      <c r="G151">
        <v>60</v>
      </c>
      <c r="H151">
        <v>1080</v>
      </c>
    </row>
    <row r="152" spans="1:8" x14ac:dyDescent="0.35">
      <c r="A152" s="2">
        <v>45298</v>
      </c>
      <c r="B152" s="7">
        <f t="shared" si="2"/>
        <v>1</v>
      </c>
      <c r="C152" s="7" t="str">
        <f>_xlfn.XLOOKUP(B152,catalogos!$A$2:$A$13,catalogos!$B$2:$B$13)</f>
        <v>January</v>
      </c>
      <c r="D152" t="s">
        <v>9</v>
      </c>
      <c r="E152" t="s">
        <v>12</v>
      </c>
      <c r="F152">
        <v>55</v>
      </c>
      <c r="G152">
        <v>23</v>
      </c>
      <c r="H152">
        <v>1265</v>
      </c>
    </row>
    <row r="153" spans="1:8" x14ac:dyDescent="0.35">
      <c r="A153" s="2">
        <v>45298</v>
      </c>
      <c r="B153" s="7">
        <f t="shared" si="2"/>
        <v>1</v>
      </c>
      <c r="C153" s="7" t="str">
        <f>_xlfn.XLOOKUP(B153,catalogos!$A$2:$A$13,catalogos!$B$2:$B$13)</f>
        <v>January</v>
      </c>
      <c r="D153" t="s">
        <v>6</v>
      </c>
      <c r="E153" t="s">
        <v>11</v>
      </c>
      <c r="F153">
        <v>94</v>
      </c>
      <c r="G153">
        <v>115</v>
      </c>
      <c r="H153">
        <v>10810</v>
      </c>
    </row>
    <row r="154" spans="1:8" x14ac:dyDescent="0.35">
      <c r="A154" s="2">
        <v>45298</v>
      </c>
      <c r="B154" s="7">
        <f t="shared" si="2"/>
        <v>1</v>
      </c>
      <c r="C154" s="7" t="str">
        <f>_xlfn.XLOOKUP(B154,catalogos!$A$2:$A$13,catalogos!$B$2:$B$13)</f>
        <v>January</v>
      </c>
      <c r="D154" t="s">
        <v>7</v>
      </c>
      <c r="E154" t="s">
        <v>11</v>
      </c>
      <c r="F154">
        <v>29</v>
      </c>
      <c r="G154">
        <v>119</v>
      </c>
      <c r="H154">
        <v>3451</v>
      </c>
    </row>
    <row r="155" spans="1:8" x14ac:dyDescent="0.35">
      <c r="A155" s="2">
        <v>45298</v>
      </c>
      <c r="B155" s="7">
        <f t="shared" si="2"/>
        <v>1</v>
      </c>
      <c r="C155" s="7" t="str">
        <f>_xlfn.XLOOKUP(B155,catalogos!$A$2:$A$13,catalogos!$B$2:$B$13)</f>
        <v>January</v>
      </c>
      <c r="D155" t="s">
        <v>7</v>
      </c>
      <c r="E155" t="s">
        <v>11</v>
      </c>
      <c r="F155">
        <v>85</v>
      </c>
      <c r="G155">
        <v>396</v>
      </c>
      <c r="H155">
        <v>33660</v>
      </c>
    </row>
    <row r="156" spans="1:8" x14ac:dyDescent="0.35">
      <c r="A156" s="2">
        <v>45298</v>
      </c>
      <c r="B156" s="7">
        <f t="shared" si="2"/>
        <v>1</v>
      </c>
      <c r="C156" s="7" t="str">
        <f>_xlfn.XLOOKUP(B156,catalogos!$A$2:$A$13,catalogos!$B$2:$B$13)</f>
        <v>January</v>
      </c>
      <c r="D156" t="s">
        <v>8</v>
      </c>
      <c r="E156" t="s">
        <v>13</v>
      </c>
      <c r="F156">
        <v>43</v>
      </c>
      <c r="G156">
        <v>167</v>
      </c>
      <c r="H156">
        <v>7181</v>
      </c>
    </row>
    <row r="157" spans="1:8" x14ac:dyDescent="0.35">
      <c r="A157" s="2">
        <v>45298</v>
      </c>
      <c r="B157" s="7">
        <f t="shared" si="2"/>
        <v>1</v>
      </c>
      <c r="C157" s="7" t="str">
        <f>_xlfn.XLOOKUP(B157,catalogos!$A$2:$A$13,catalogos!$B$2:$B$13)</f>
        <v>January</v>
      </c>
      <c r="D157" t="s">
        <v>8</v>
      </c>
      <c r="E157" t="s">
        <v>15</v>
      </c>
      <c r="F157">
        <v>25</v>
      </c>
      <c r="G157">
        <v>492</v>
      </c>
      <c r="H157">
        <v>12300</v>
      </c>
    </row>
    <row r="158" spans="1:8" x14ac:dyDescent="0.35">
      <c r="A158" s="2">
        <v>45298</v>
      </c>
      <c r="B158" s="7">
        <f t="shared" si="2"/>
        <v>1</v>
      </c>
      <c r="C158" s="7" t="str">
        <f>_xlfn.XLOOKUP(B158,catalogos!$A$2:$A$13,catalogos!$B$2:$B$13)</f>
        <v>January</v>
      </c>
      <c r="D158" t="s">
        <v>10</v>
      </c>
      <c r="E158" t="s">
        <v>13</v>
      </c>
      <c r="F158">
        <v>64</v>
      </c>
      <c r="G158">
        <v>495</v>
      </c>
      <c r="H158">
        <v>31680</v>
      </c>
    </row>
    <row r="159" spans="1:8" x14ac:dyDescent="0.35">
      <c r="A159" s="2">
        <v>45298</v>
      </c>
      <c r="B159" s="7">
        <f t="shared" si="2"/>
        <v>1</v>
      </c>
      <c r="C159" s="7" t="str">
        <f>_xlfn.XLOOKUP(B159,catalogos!$A$2:$A$13,catalogos!$B$2:$B$13)</f>
        <v>January</v>
      </c>
      <c r="D159" t="s">
        <v>8</v>
      </c>
      <c r="E159" t="s">
        <v>14</v>
      </c>
      <c r="F159">
        <v>26</v>
      </c>
      <c r="G159">
        <v>60</v>
      </c>
      <c r="H159">
        <v>1560</v>
      </c>
    </row>
    <row r="160" spans="1:8" x14ac:dyDescent="0.35">
      <c r="A160" s="2">
        <v>45298</v>
      </c>
      <c r="B160" s="7">
        <f t="shared" si="2"/>
        <v>1</v>
      </c>
      <c r="C160" s="7" t="str">
        <f>_xlfn.XLOOKUP(B160,catalogos!$A$2:$A$13,catalogos!$B$2:$B$13)</f>
        <v>January</v>
      </c>
      <c r="D160" t="s">
        <v>7</v>
      </c>
      <c r="E160" t="s">
        <v>15</v>
      </c>
      <c r="F160">
        <v>14</v>
      </c>
      <c r="G160">
        <v>228</v>
      </c>
      <c r="H160">
        <v>3192</v>
      </c>
    </row>
    <row r="161" spans="1:8" x14ac:dyDescent="0.35">
      <c r="A161" s="2">
        <v>45298</v>
      </c>
      <c r="B161" s="7">
        <f t="shared" si="2"/>
        <v>1</v>
      </c>
      <c r="C161" s="7" t="str">
        <f>_xlfn.XLOOKUP(B161,catalogos!$A$2:$A$13,catalogos!$B$2:$B$13)</f>
        <v>January</v>
      </c>
      <c r="D161" t="s">
        <v>10</v>
      </c>
      <c r="E161" t="s">
        <v>13</v>
      </c>
      <c r="F161">
        <v>1</v>
      </c>
      <c r="G161">
        <v>142</v>
      </c>
      <c r="H161">
        <v>142</v>
      </c>
    </row>
    <row r="162" spans="1:8" x14ac:dyDescent="0.35">
      <c r="A162" s="2">
        <v>45298</v>
      </c>
      <c r="B162" s="7">
        <f t="shared" si="2"/>
        <v>1</v>
      </c>
      <c r="C162" s="7" t="str">
        <f>_xlfn.XLOOKUP(B162,catalogos!$A$2:$A$13,catalogos!$B$2:$B$13)</f>
        <v>January</v>
      </c>
      <c r="D162" t="s">
        <v>6</v>
      </c>
      <c r="E162" t="s">
        <v>11</v>
      </c>
      <c r="F162">
        <v>48</v>
      </c>
      <c r="G162">
        <v>101</v>
      </c>
      <c r="H162">
        <v>4848</v>
      </c>
    </row>
    <row r="163" spans="1:8" x14ac:dyDescent="0.35">
      <c r="A163" s="2">
        <v>45298</v>
      </c>
      <c r="B163" s="7">
        <f t="shared" si="2"/>
        <v>1</v>
      </c>
      <c r="C163" s="7" t="str">
        <f>_xlfn.XLOOKUP(B163,catalogos!$A$2:$A$13,catalogos!$B$2:$B$13)</f>
        <v>January</v>
      </c>
      <c r="D163" t="s">
        <v>9</v>
      </c>
      <c r="E163" t="s">
        <v>14</v>
      </c>
      <c r="F163">
        <v>1</v>
      </c>
      <c r="G163">
        <v>403</v>
      </c>
      <c r="H163">
        <v>403</v>
      </c>
    </row>
    <row r="164" spans="1:8" x14ac:dyDescent="0.35">
      <c r="A164" s="2">
        <v>45298</v>
      </c>
      <c r="B164" s="7">
        <f t="shared" si="2"/>
        <v>1</v>
      </c>
      <c r="C164" s="7" t="str">
        <f>_xlfn.XLOOKUP(B164,catalogos!$A$2:$A$13,catalogos!$B$2:$B$13)</f>
        <v>January</v>
      </c>
      <c r="D164" t="s">
        <v>9</v>
      </c>
      <c r="E164" t="s">
        <v>15</v>
      </c>
      <c r="F164">
        <v>5</v>
      </c>
      <c r="G164">
        <v>440</v>
      </c>
      <c r="H164">
        <v>2200</v>
      </c>
    </row>
    <row r="165" spans="1:8" x14ac:dyDescent="0.35">
      <c r="A165" s="2">
        <v>45298</v>
      </c>
      <c r="B165" s="7">
        <f t="shared" si="2"/>
        <v>1</v>
      </c>
      <c r="C165" s="7" t="str">
        <f>_xlfn.XLOOKUP(B165,catalogos!$A$2:$A$13,catalogos!$B$2:$B$13)</f>
        <v>January</v>
      </c>
      <c r="D165" t="s">
        <v>9</v>
      </c>
      <c r="E165" t="s">
        <v>11</v>
      </c>
      <c r="F165">
        <v>64</v>
      </c>
      <c r="G165">
        <v>241</v>
      </c>
      <c r="H165">
        <v>15424</v>
      </c>
    </row>
    <row r="166" spans="1:8" x14ac:dyDescent="0.35">
      <c r="A166" s="2">
        <v>45298</v>
      </c>
      <c r="B166" s="7">
        <f t="shared" si="2"/>
        <v>1</v>
      </c>
      <c r="C166" s="7" t="str">
        <f>_xlfn.XLOOKUP(B166,catalogos!$A$2:$A$13,catalogos!$B$2:$B$13)</f>
        <v>January</v>
      </c>
      <c r="D166" t="s">
        <v>9</v>
      </c>
      <c r="E166" t="s">
        <v>13</v>
      </c>
      <c r="F166">
        <v>29</v>
      </c>
      <c r="G166">
        <v>23</v>
      </c>
      <c r="H166">
        <v>667</v>
      </c>
    </row>
    <row r="167" spans="1:8" x14ac:dyDescent="0.35">
      <c r="A167" s="2">
        <v>45298</v>
      </c>
      <c r="B167" s="7">
        <f t="shared" si="2"/>
        <v>1</v>
      </c>
      <c r="C167" s="7" t="str">
        <f>_xlfn.XLOOKUP(B167,catalogos!$A$2:$A$13,catalogos!$B$2:$B$13)</f>
        <v>January</v>
      </c>
      <c r="D167" t="s">
        <v>9</v>
      </c>
      <c r="E167" t="s">
        <v>11</v>
      </c>
      <c r="F167">
        <v>54</v>
      </c>
      <c r="G167">
        <v>324</v>
      </c>
      <c r="H167">
        <v>17496</v>
      </c>
    </row>
    <row r="168" spans="1:8" x14ac:dyDescent="0.35">
      <c r="A168" s="2">
        <v>45298</v>
      </c>
      <c r="B168" s="7">
        <f t="shared" si="2"/>
        <v>1</v>
      </c>
      <c r="C168" s="7" t="str">
        <f>_xlfn.XLOOKUP(B168,catalogos!$A$2:$A$13,catalogos!$B$2:$B$13)</f>
        <v>January</v>
      </c>
      <c r="D168" t="s">
        <v>9</v>
      </c>
      <c r="E168" t="s">
        <v>11</v>
      </c>
      <c r="F168">
        <v>3</v>
      </c>
      <c r="G168">
        <v>121</v>
      </c>
      <c r="H168">
        <v>363</v>
      </c>
    </row>
    <row r="169" spans="1:8" x14ac:dyDescent="0.35">
      <c r="A169" s="2">
        <v>45298</v>
      </c>
      <c r="B169" s="7">
        <f t="shared" si="2"/>
        <v>1</v>
      </c>
      <c r="C169" s="7" t="str">
        <f>_xlfn.XLOOKUP(B169,catalogos!$A$2:$A$13,catalogos!$B$2:$B$13)</f>
        <v>January</v>
      </c>
      <c r="D169" t="s">
        <v>6</v>
      </c>
      <c r="E169" t="s">
        <v>11</v>
      </c>
      <c r="F169">
        <v>4</v>
      </c>
      <c r="G169">
        <v>498</v>
      </c>
      <c r="H169">
        <v>1992</v>
      </c>
    </row>
    <row r="170" spans="1:8" x14ac:dyDescent="0.35">
      <c r="A170" s="2">
        <v>45299</v>
      </c>
      <c r="B170" s="7">
        <f t="shared" si="2"/>
        <v>1</v>
      </c>
      <c r="C170" s="7" t="str">
        <f>_xlfn.XLOOKUP(B170,catalogos!$A$2:$A$13,catalogos!$B$2:$B$13)</f>
        <v>January</v>
      </c>
      <c r="D170" t="s">
        <v>8</v>
      </c>
      <c r="E170" t="s">
        <v>15</v>
      </c>
      <c r="F170">
        <v>98</v>
      </c>
      <c r="G170">
        <v>172</v>
      </c>
      <c r="H170">
        <v>16856</v>
      </c>
    </row>
    <row r="171" spans="1:8" x14ac:dyDescent="0.35">
      <c r="A171" s="2">
        <v>45299</v>
      </c>
      <c r="B171" s="7">
        <f t="shared" si="2"/>
        <v>1</v>
      </c>
      <c r="C171" s="7" t="str">
        <f>_xlfn.XLOOKUP(B171,catalogos!$A$2:$A$13,catalogos!$B$2:$B$13)</f>
        <v>January</v>
      </c>
      <c r="D171" t="s">
        <v>6</v>
      </c>
      <c r="E171" t="s">
        <v>15</v>
      </c>
      <c r="F171">
        <v>22</v>
      </c>
      <c r="G171">
        <v>167</v>
      </c>
      <c r="H171">
        <v>3674</v>
      </c>
    </row>
    <row r="172" spans="1:8" x14ac:dyDescent="0.35">
      <c r="A172" s="2">
        <v>45299</v>
      </c>
      <c r="B172" s="7">
        <f t="shared" si="2"/>
        <v>1</v>
      </c>
      <c r="C172" s="7" t="str">
        <f>_xlfn.XLOOKUP(B172,catalogos!$A$2:$A$13,catalogos!$B$2:$B$13)</f>
        <v>January</v>
      </c>
      <c r="D172" t="s">
        <v>10</v>
      </c>
      <c r="E172" t="s">
        <v>12</v>
      </c>
      <c r="F172">
        <v>58</v>
      </c>
      <c r="G172">
        <v>39</v>
      </c>
      <c r="H172">
        <v>2262</v>
      </c>
    </row>
    <row r="173" spans="1:8" x14ac:dyDescent="0.35">
      <c r="A173" s="2">
        <v>45299</v>
      </c>
      <c r="B173" s="7">
        <f t="shared" si="2"/>
        <v>1</v>
      </c>
      <c r="C173" s="7" t="str">
        <f>_xlfn.XLOOKUP(B173,catalogos!$A$2:$A$13,catalogos!$B$2:$B$13)</f>
        <v>January</v>
      </c>
      <c r="D173" t="s">
        <v>7</v>
      </c>
      <c r="E173" t="s">
        <v>13</v>
      </c>
      <c r="F173">
        <v>94</v>
      </c>
      <c r="G173">
        <v>135</v>
      </c>
      <c r="H173">
        <v>12690</v>
      </c>
    </row>
    <row r="174" spans="1:8" x14ac:dyDescent="0.35">
      <c r="A174" s="2">
        <v>45299</v>
      </c>
      <c r="B174" s="7">
        <f t="shared" si="2"/>
        <v>1</v>
      </c>
      <c r="C174" s="7" t="str">
        <f>_xlfn.XLOOKUP(B174,catalogos!$A$2:$A$13,catalogos!$B$2:$B$13)</f>
        <v>January</v>
      </c>
      <c r="D174" t="s">
        <v>9</v>
      </c>
      <c r="E174" t="s">
        <v>12</v>
      </c>
      <c r="F174">
        <v>42</v>
      </c>
      <c r="G174">
        <v>272</v>
      </c>
      <c r="H174">
        <v>11424</v>
      </c>
    </row>
    <row r="175" spans="1:8" x14ac:dyDescent="0.35">
      <c r="A175" s="2">
        <v>45299</v>
      </c>
      <c r="B175" s="7">
        <f t="shared" si="2"/>
        <v>1</v>
      </c>
      <c r="C175" s="7" t="str">
        <f>_xlfn.XLOOKUP(B175,catalogos!$A$2:$A$13,catalogos!$B$2:$B$13)</f>
        <v>January</v>
      </c>
      <c r="D175" t="s">
        <v>6</v>
      </c>
      <c r="E175" t="s">
        <v>12</v>
      </c>
      <c r="F175">
        <v>80</v>
      </c>
      <c r="G175">
        <v>353</v>
      </c>
      <c r="H175">
        <v>28240</v>
      </c>
    </row>
    <row r="176" spans="1:8" x14ac:dyDescent="0.35">
      <c r="A176" s="2">
        <v>45299</v>
      </c>
      <c r="B176" s="7">
        <f t="shared" si="2"/>
        <v>1</v>
      </c>
      <c r="C176" s="7" t="str">
        <f>_xlfn.XLOOKUP(B176,catalogos!$A$2:$A$13,catalogos!$B$2:$B$13)</f>
        <v>January</v>
      </c>
      <c r="D176" t="s">
        <v>9</v>
      </c>
      <c r="E176" t="s">
        <v>14</v>
      </c>
      <c r="F176">
        <v>60</v>
      </c>
      <c r="G176">
        <v>341</v>
      </c>
      <c r="H176">
        <v>20460</v>
      </c>
    </row>
    <row r="177" spans="1:8" x14ac:dyDescent="0.35">
      <c r="A177" s="2">
        <v>45299</v>
      </c>
      <c r="B177" s="7">
        <f t="shared" si="2"/>
        <v>1</v>
      </c>
      <c r="C177" s="7" t="str">
        <f>_xlfn.XLOOKUP(B177,catalogos!$A$2:$A$13,catalogos!$B$2:$B$13)</f>
        <v>January</v>
      </c>
      <c r="D177" t="s">
        <v>8</v>
      </c>
      <c r="E177" t="s">
        <v>13</v>
      </c>
      <c r="F177">
        <v>64</v>
      </c>
      <c r="G177">
        <v>386</v>
      </c>
      <c r="H177">
        <v>24704</v>
      </c>
    </row>
    <row r="178" spans="1:8" x14ac:dyDescent="0.35">
      <c r="A178" s="2">
        <v>45299</v>
      </c>
      <c r="B178" s="7">
        <f t="shared" si="2"/>
        <v>1</v>
      </c>
      <c r="C178" s="7" t="str">
        <f>_xlfn.XLOOKUP(B178,catalogos!$A$2:$A$13,catalogos!$B$2:$B$13)</f>
        <v>January</v>
      </c>
      <c r="D178" t="s">
        <v>10</v>
      </c>
      <c r="E178" t="s">
        <v>11</v>
      </c>
      <c r="F178">
        <v>25</v>
      </c>
      <c r="G178">
        <v>56</v>
      </c>
      <c r="H178">
        <v>1400</v>
      </c>
    </row>
    <row r="179" spans="1:8" x14ac:dyDescent="0.35">
      <c r="A179" s="2">
        <v>45299</v>
      </c>
      <c r="B179" s="7">
        <f t="shared" si="2"/>
        <v>1</v>
      </c>
      <c r="C179" s="7" t="str">
        <f>_xlfn.XLOOKUP(B179,catalogos!$A$2:$A$13,catalogos!$B$2:$B$13)</f>
        <v>January</v>
      </c>
      <c r="D179" t="s">
        <v>8</v>
      </c>
      <c r="E179" t="s">
        <v>13</v>
      </c>
      <c r="F179">
        <v>60</v>
      </c>
      <c r="G179">
        <v>349</v>
      </c>
      <c r="H179">
        <v>20940</v>
      </c>
    </row>
    <row r="180" spans="1:8" x14ac:dyDescent="0.35">
      <c r="A180" s="2">
        <v>45299</v>
      </c>
      <c r="B180" s="7">
        <f t="shared" si="2"/>
        <v>1</v>
      </c>
      <c r="C180" s="7" t="str">
        <f>_xlfn.XLOOKUP(B180,catalogos!$A$2:$A$13,catalogos!$B$2:$B$13)</f>
        <v>January</v>
      </c>
      <c r="D180" t="s">
        <v>6</v>
      </c>
      <c r="E180" t="s">
        <v>13</v>
      </c>
      <c r="F180">
        <v>31</v>
      </c>
      <c r="G180">
        <v>270</v>
      </c>
      <c r="H180">
        <v>8370</v>
      </c>
    </row>
    <row r="181" spans="1:8" x14ac:dyDescent="0.35">
      <c r="A181" s="2">
        <v>45299</v>
      </c>
      <c r="B181" s="7">
        <f t="shared" si="2"/>
        <v>1</v>
      </c>
      <c r="C181" s="7" t="str">
        <f>_xlfn.XLOOKUP(B181,catalogos!$A$2:$A$13,catalogos!$B$2:$B$13)</f>
        <v>January</v>
      </c>
      <c r="D181" t="s">
        <v>7</v>
      </c>
      <c r="E181" t="s">
        <v>11</v>
      </c>
      <c r="F181">
        <v>3</v>
      </c>
      <c r="G181">
        <v>31</v>
      </c>
      <c r="H181">
        <v>93</v>
      </c>
    </row>
    <row r="182" spans="1:8" x14ac:dyDescent="0.35">
      <c r="A182" s="2">
        <v>45299</v>
      </c>
      <c r="B182" s="7">
        <f t="shared" si="2"/>
        <v>1</v>
      </c>
      <c r="C182" s="7" t="str">
        <f>_xlfn.XLOOKUP(B182,catalogos!$A$2:$A$13,catalogos!$B$2:$B$13)</f>
        <v>January</v>
      </c>
      <c r="D182" t="s">
        <v>6</v>
      </c>
      <c r="E182" t="s">
        <v>14</v>
      </c>
      <c r="F182">
        <v>3</v>
      </c>
      <c r="G182">
        <v>416</v>
      </c>
      <c r="H182">
        <v>1248</v>
      </c>
    </row>
    <row r="183" spans="1:8" x14ac:dyDescent="0.35">
      <c r="A183" s="2">
        <v>45299</v>
      </c>
      <c r="B183" s="7">
        <f t="shared" si="2"/>
        <v>1</v>
      </c>
      <c r="C183" s="7" t="str">
        <f>_xlfn.XLOOKUP(B183,catalogos!$A$2:$A$13,catalogos!$B$2:$B$13)</f>
        <v>January</v>
      </c>
      <c r="D183" t="s">
        <v>10</v>
      </c>
      <c r="E183" t="s">
        <v>11</v>
      </c>
      <c r="F183">
        <v>92</v>
      </c>
      <c r="G183">
        <v>371</v>
      </c>
      <c r="H183">
        <v>34132</v>
      </c>
    </row>
    <row r="184" spans="1:8" x14ac:dyDescent="0.35">
      <c r="A184" s="2">
        <v>45299</v>
      </c>
      <c r="B184" s="7">
        <f t="shared" si="2"/>
        <v>1</v>
      </c>
      <c r="C184" s="7" t="str">
        <f>_xlfn.XLOOKUP(B184,catalogos!$A$2:$A$13,catalogos!$B$2:$B$13)</f>
        <v>January</v>
      </c>
      <c r="D184" t="s">
        <v>10</v>
      </c>
      <c r="E184" t="s">
        <v>15</v>
      </c>
      <c r="F184">
        <v>69</v>
      </c>
      <c r="G184">
        <v>370</v>
      </c>
      <c r="H184">
        <v>25530</v>
      </c>
    </row>
    <row r="185" spans="1:8" x14ac:dyDescent="0.35">
      <c r="A185" s="2">
        <v>45299</v>
      </c>
      <c r="B185" s="7">
        <f t="shared" si="2"/>
        <v>1</v>
      </c>
      <c r="C185" s="7" t="str">
        <f>_xlfn.XLOOKUP(B185,catalogos!$A$2:$A$13,catalogos!$B$2:$B$13)</f>
        <v>January</v>
      </c>
      <c r="D185" t="s">
        <v>6</v>
      </c>
      <c r="E185" t="s">
        <v>14</v>
      </c>
      <c r="F185">
        <v>81</v>
      </c>
      <c r="G185">
        <v>318</v>
      </c>
      <c r="H185">
        <v>25758</v>
      </c>
    </row>
    <row r="186" spans="1:8" x14ac:dyDescent="0.35">
      <c r="A186" s="2">
        <v>45299</v>
      </c>
      <c r="B186" s="7">
        <f t="shared" si="2"/>
        <v>1</v>
      </c>
      <c r="C186" s="7" t="str">
        <f>_xlfn.XLOOKUP(B186,catalogos!$A$2:$A$13,catalogos!$B$2:$B$13)</f>
        <v>January</v>
      </c>
      <c r="D186" t="s">
        <v>8</v>
      </c>
      <c r="E186" t="s">
        <v>15</v>
      </c>
      <c r="F186">
        <v>5</v>
      </c>
      <c r="G186">
        <v>12</v>
      </c>
      <c r="H186">
        <v>60</v>
      </c>
    </row>
    <row r="187" spans="1:8" x14ac:dyDescent="0.35">
      <c r="A187" s="2">
        <v>45299</v>
      </c>
      <c r="B187" s="7">
        <f t="shared" si="2"/>
        <v>1</v>
      </c>
      <c r="C187" s="7" t="str">
        <f>_xlfn.XLOOKUP(B187,catalogos!$A$2:$A$13,catalogos!$B$2:$B$13)</f>
        <v>January</v>
      </c>
      <c r="D187" t="s">
        <v>6</v>
      </c>
      <c r="E187" t="s">
        <v>13</v>
      </c>
      <c r="F187">
        <v>95</v>
      </c>
      <c r="G187">
        <v>133</v>
      </c>
      <c r="H187">
        <v>12635</v>
      </c>
    </row>
    <row r="188" spans="1:8" x14ac:dyDescent="0.35">
      <c r="A188" s="2">
        <v>45299</v>
      </c>
      <c r="B188" s="7">
        <f t="shared" si="2"/>
        <v>1</v>
      </c>
      <c r="C188" s="7" t="str">
        <f>_xlfn.XLOOKUP(B188,catalogos!$A$2:$A$13,catalogos!$B$2:$B$13)</f>
        <v>January</v>
      </c>
      <c r="D188" t="s">
        <v>6</v>
      </c>
      <c r="E188" t="s">
        <v>14</v>
      </c>
      <c r="F188">
        <v>32</v>
      </c>
      <c r="G188">
        <v>370</v>
      </c>
      <c r="H188">
        <v>11840</v>
      </c>
    </row>
    <row r="189" spans="1:8" x14ac:dyDescent="0.35">
      <c r="A189" s="2">
        <v>45299</v>
      </c>
      <c r="B189" s="7">
        <f t="shared" si="2"/>
        <v>1</v>
      </c>
      <c r="C189" s="7" t="str">
        <f>_xlfn.XLOOKUP(B189,catalogos!$A$2:$A$13,catalogos!$B$2:$B$13)</f>
        <v>January</v>
      </c>
      <c r="D189" t="s">
        <v>8</v>
      </c>
      <c r="E189" t="s">
        <v>12</v>
      </c>
      <c r="F189">
        <v>93</v>
      </c>
      <c r="G189">
        <v>309</v>
      </c>
      <c r="H189">
        <v>28737</v>
      </c>
    </row>
    <row r="190" spans="1:8" x14ac:dyDescent="0.35">
      <c r="A190" s="2">
        <v>45299</v>
      </c>
      <c r="B190" s="7">
        <f t="shared" si="2"/>
        <v>1</v>
      </c>
      <c r="C190" s="7" t="str">
        <f>_xlfn.XLOOKUP(B190,catalogos!$A$2:$A$13,catalogos!$B$2:$B$13)</f>
        <v>January</v>
      </c>
      <c r="D190" t="s">
        <v>7</v>
      </c>
      <c r="E190" t="s">
        <v>12</v>
      </c>
      <c r="F190">
        <v>92</v>
      </c>
      <c r="G190">
        <v>233</v>
      </c>
      <c r="H190">
        <v>21436</v>
      </c>
    </row>
    <row r="191" spans="1:8" x14ac:dyDescent="0.35">
      <c r="A191" s="2">
        <v>45299</v>
      </c>
      <c r="B191" s="7">
        <f t="shared" si="2"/>
        <v>1</v>
      </c>
      <c r="C191" s="7" t="str">
        <f>_xlfn.XLOOKUP(B191,catalogos!$A$2:$A$13,catalogos!$B$2:$B$13)</f>
        <v>January</v>
      </c>
      <c r="D191" t="s">
        <v>9</v>
      </c>
      <c r="E191" t="s">
        <v>15</v>
      </c>
      <c r="F191">
        <v>23</v>
      </c>
      <c r="G191">
        <v>124</v>
      </c>
      <c r="H191">
        <v>2852</v>
      </c>
    </row>
    <row r="192" spans="1:8" x14ac:dyDescent="0.35">
      <c r="A192" s="2">
        <v>45299</v>
      </c>
      <c r="B192" s="7">
        <f t="shared" si="2"/>
        <v>1</v>
      </c>
      <c r="C192" s="7" t="str">
        <f>_xlfn.XLOOKUP(B192,catalogos!$A$2:$A$13,catalogos!$B$2:$B$13)</f>
        <v>January</v>
      </c>
      <c r="D192" t="s">
        <v>7</v>
      </c>
      <c r="E192" t="s">
        <v>11</v>
      </c>
      <c r="F192">
        <v>53</v>
      </c>
      <c r="G192">
        <v>54</v>
      </c>
      <c r="H192">
        <v>2862</v>
      </c>
    </row>
    <row r="193" spans="1:8" x14ac:dyDescent="0.35">
      <c r="A193" s="2">
        <v>45299</v>
      </c>
      <c r="B193" s="7">
        <f t="shared" si="2"/>
        <v>1</v>
      </c>
      <c r="C193" s="7" t="str">
        <f>_xlfn.XLOOKUP(B193,catalogos!$A$2:$A$13,catalogos!$B$2:$B$13)</f>
        <v>January</v>
      </c>
      <c r="D193" t="s">
        <v>10</v>
      </c>
      <c r="E193" t="s">
        <v>13</v>
      </c>
      <c r="F193">
        <v>71</v>
      </c>
      <c r="G193">
        <v>71</v>
      </c>
      <c r="H193">
        <v>5041</v>
      </c>
    </row>
    <row r="194" spans="1:8" x14ac:dyDescent="0.35">
      <c r="A194" s="2">
        <v>45300</v>
      </c>
      <c r="B194" s="7">
        <f t="shared" si="2"/>
        <v>1</v>
      </c>
      <c r="C194" s="7" t="str">
        <f>_xlfn.XLOOKUP(B194,catalogos!$A$2:$A$13,catalogos!$B$2:$B$13)</f>
        <v>January</v>
      </c>
      <c r="D194" t="s">
        <v>10</v>
      </c>
      <c r="E194" t="s">
        <v>14</v>
      </c>
      <c r="F194">
        <v>98</v>
      </c>
      <c r="G194">
        <v>444</v>
      </c>
      <c r="H194">
        <v>43512</v>
      </c>
    </row>
    <row r="195" spans="1:8" x14ac:dyDescent="0.35">
      <c r="A195" s="2">
        <v>45300</v>
      </c>
      <c r="B195" s="7">
        <f t="shared" ref="B195:B258" si="3">MONTH(A195)</f>
        <v>1</v>
      </c>
      <c r="C195" s="7" t="str">
        <f>_xlfn.XLOOKUP(B195,catalogos!$A$2:$A$13,catalogos!$B$2:$B$13)</f>
        <v>January</v>
      </c>
      <c r="D195" t="s">
        <v>7</v>
      </c>
      <c r="E195" t="s">
        <v>15</v>
      </c>
      <c r="F195">
        <v>70</v>
      </c>
      <c r="G195">
        <v>174</v>
      </c>
      <c r="H195">
        <v>12180</v>
      </c>
    </row>
    <row r="196" spans="1:8" x14ac:dyDescent="0.35">
      <c r="A196" s="2">
        <v>45300</v>
      </c>
      <c r="B196" s="7">
        <f t="shared" si="3"/>
        <v>1</v>
      </c>
      <c r="C196" s="7" t="str">
        <f>_xlfn.XLOOKUP(B196,catalogos!$A$2:$A$13,catalogos!$B$2:$B$13)</f>
        <v>January</v>
      </c>
      <c r="D196" t="s">
        <v>6</v>
      </c>
      <c r="E196" t="s">
        <v>11</v>
      </c>
      <c r="F196">
        <v>54</v>
      </c>
      <c r="G196">
        <v>383</v>
      </c>
      <c r="H196">
        <v>20682</v>
      </c>
    </row>
    <row r="197" spans="1:8" x14ac:dyDescent="0.35">
      <c r="A197" s="2">
        <v>45300</v>
      </c>
      <c r="B197" s="7">
        <f t="shared" si="3"/>
        <v>1</v>
      </c>
      <c r="C197" s="7" t="str">
        <f>_xlfn.XLOOKUP(B197,catalogos!$A$2:$A$13,catalogos!$B$2:$B$13)</f>
        <v>January</v>
      </c>
      <c r="D197" t="s">
        <v>9</v>
      </c>
      <c r="E197" t="s">
        <v>15</v>
      </c>
      <c r="F197">
        <v>51</v>
      </c>
      <c r="G197">
        <v>241</v>
      </c>
      <c r="H197">
        <v>12291</v>
      </c>
    </row>
    <row r="198" spans="1:8" x14ac:dyDescent="0.35">
      <c r="A198" s="2">
        <v>45300</v>
      </c>
      <c r="B198" s="7">
        <f t="shared" si="3"/>
        <v>1</v>
      </c>
      <c r="C198" s="7" t="str">
        <f>_xlfn.XLOOKUP(B198,catalogos!$A$2:$A$13,catalogos!$B$2:$B$13)</f>
        <v>January</v>
      </c>
      <c r="D198" t="s">
        <v>6</v>
      </c>
      <c r="E198" t="s">
        <v>11</v>
      </c>
      <c r="F198">
        <v>40</v>
      </c>
      <c r="G198">
        <v>179</v>
      </c>
      <c r="H198">
        <v>7160</v>
      </c>
    </row>
    <row r="199" spans="1:8" x14ac:dyDescent="0.35">
      <c r="A199" s="2">
        <v>45300</v>
      </c>
      <c r="B199" s="7">
        <f t="shared" si="3"/>
        <v>1</v>
      </c>
      <c r="C199" s="7" t="str">
        <f>_xlfn.XLOOKUP(B199,catalogos!$A$2:$A$13,catalogos!$B$2:$B$13)</f>
        <v>January</v>
      </c>
      <c r="D199" t="s">
        <v>7</v>
      </c>
      <c r="E199" t="s">
        <v>14</v>
      </c>
      <c r="F199">
        <v>10</v>
      </c>
      <c r="G199">
        <v>42</v>
      </c>
      <c r="H199">
        <v>420</v>
      </c>
    </row>
    <row r="200" spans="1:8" x14ac:dyDescent="0.35">
      <c r="A200" s="2">
        <v>45300</v>
      </c>
      <c r="B200" s="7">
        <f t="shared" si="3"/>
        <v>1</v>
      </c>
      <c r="C200" s="7" t="str">
        <f>_xlfn.XLOOKUP(B200,catalogos!$A$2:$A$13,catalogos!$B$2:$B$13)</f>
        <v>January</v>
      </c>
      <c r="D200" t="s">
        <v>9</v>
      </c>
      <c r="E200" t="s">
        <v>11</v>
      </c>
      <c r="F200">
        <v>36</v>
      </c>
      <c r="G200">
        <v>84</v>
      </c>
      <c r="H200">
        <v>3024</v>
      </c>
    </row>
    <row r="201" spans="1:8" x14ac:dyDescent="0.35">
      <c r="A201" s="2">
        <v>45300</v>
      </c>
      <c r="B201" s="7">
        <f t="shared" si="3"/>
        <v>1</v>
      </c>
      <c r="C201" s="7" t="str">
        <f>_xlfn.XLOOKUP(B201,catalogos!$A$2:$A$13,catalogos!$B$2:$B$13)</f>
        <v>January</v>
      </c>
      <c r="D201" t="s">
        <v>8</v>
      </c>
      <c r="E201" t="s">
        <v>11</v>
      </c>
      <c r="F201">
        <v>21</v>
      </c>
      <c r="G201">
        <v>409</v>
      </c>
      <c r="H201">
        <v>8589</v>
      </c>
    </row>
    <row r="202" spans="1:8" x14ac:dyDescent="0.35">
      <c r="A202" s="2">
        <v>45300</v>
      </c>
      <c r="B202" s="7">
        <f t="shared" si="3"/>
        <v>1</v>
      </c>
      <c r="C202" s="7" t="str">
        <f>_xlfn.XLOOKUP(B202,catalogos!$A$2:$A$13,catalogos!$B$2:$B$13)</f>
        <v>January</v>
      </c>
      <c r="D202" t="s">
        <v>9</v>
      </c>
      <c r="E202" t="s">
        <v>15</v>
      </c>
      <c r="F202">
        <v>25</v>
      </c>
      <c r="G202">
        <v>458</v>
      </c>
      <c r="H202">
        <v>11450</v>
      </c>
    </row>
    <row r="203" spans="1:8" x14ac:dyDescent="0.35">
      <c r="A203" s="2">
        <v>45300</v>
      </c>
      <c r="B203" s="7">
        <f t="shared" si="3"/>
        <v>1</v>
      </c>
      <c r="C203" s="7" t="str">
        <f>_xlfn.XLOOKUP(B203,catalogos!$A$2:$A$13,catalogos!$B$2:$B$13)</f>
        <v>January</v>
      </c>
      <c r="D203" t="s">
        <v>9</v>
      </c>
      <c r="E203" t="s">
        <v>11</v>
      </c>
      <c r="F203">
        <v>49</v>
      </c>
      <c r="G203">
        <v>216</v>
      </c>
      <c r="H203">
        <v>10584</v>
      </c>
    </row>
    <row r="204" spans="1:8" x14ac:dyDescent="0.35">
      <c r="A204" s="2">
        <v>45300</v>
      </c>
      <c r="B204" s="7">
        <f t="shared" si="3"/>
        <v>1</v>
      </c>
      <c r="C204" s="7" t="str">
        <f>_xlfn.XLOOKUP(B204,catalogos!$A$2:$A$13,catalogos!$B$2:$B$13)</f>
        <v>January</v>
      </c>
      <c r="D204" t="s">
        <v>9</v>
      </c>
      <c r="E204" t="s">
        <v>13</v>
      </c>
      <c r="F204">
        <v>77</v>
      </c>
      <c r="G204">
        <v>164</v>
      </c>
      <c r="H204">
        <v>12628</v>
      </c>
    </row>
    <row r="205" spans="1:8" x14ac:dyDescent="0.35">
      <c r="A205" s="2">
        <v>45300</v>
      </c>
      <c r="B205" s="7">
        <f t="shared" si="3"/>
        <v>1</v>
      </c>
      <c r="C205" s="7" t="str">
        <f>_xlfn.XLOOKUP(B205,catalogos!$A$2:$A$13,catalogos!$B$2:$B$13)</f>
        <v>January</v>
      </c>
      <c r="D205" t="s">
        <v>8</v>
      </c>
      <c r="E205" t="s">
        <v>15</v>
      </c>
      <c r="F205">
        <v>11</v>
      </c>
      <c r="G205">
        <v>281</v>
      </c>
      <c r="H205">
        <v>3091</v>
      </c>
    </row>
    <row r="206" spans="1:8" x14ac:dyDescent="0.35">
      <c r="A206" s="2">
        <v>45300</v>
      </c>
      <c r="B206" s="7">
        <f t="shared" si="3"/>
        <v>1</v>
      </c>
      <c r="C206" s="7" t="str">
        <f>_xlfn.XLOOKUP(B206,catalogos!$A$2:$A$13,catalogos!$B$2:$B$13)</f>
        <v>January</v>
      </c>
      <c r="D206" t="s">
        <v>6</v>
      </c>
      <c r="E206" t="s">
        <v>15</v>
      </c>
      <c r="F206">
        <v>89</v>
      </c>
      <c r="G206">
        <v>213</v>
      </c>
      <c r="H206">
        <v>18957</v>
      </c>
    </row>
    <row r="207" spans="1:8" x14ac:dyDescent="0.35">
      <c r="A207" s="2">
        <v>45300</v>
      </c>
      <c r="B207" s="7">
        <f t="shared" si="3"/>
        <v>1</v>
      </c>
      <c r="C207" s="7" t="str">
        <f>_xlfn.XLOOKUP(B207,catalogos!$A$2:$A$13,catalogos!$B$2:$B$13)</f>
        <v>January</v>
      </c>
      <c r="D207" t="s">
        <v>10</v>
      </c>
      <c r="E207" t="s">
        <v>15</v>
      </c>
      <c r="F207">
        <v>5</v>
      </c>
      <c r="G207">
        <v>476</v>
      </c>
      <c r="H207">
        <v>2380</v>
      </c>
    </row>
    <row r="208" spans="1:8" x14ac:dyDescent="0.35">
      <c r="A208" s="2">
        <v>45300</v>
      </c>
      <c r="B208" s="7">
        <f t="shared" si="3"/>
        <v>1</v>
      </c>
      <c r="C208" s="7" t="str">
        <f>_xlfn.XLOOKUP(B208,catalogos!$A$2:$A$13,catalogos!$B$2:$B$13)</f>
        <v>January</v>
      </c>
      <c r="D208" t="s">
        <v>8</v>
      </c>
      <c r="E208" t="s">
        <v>11</v>
      </c>
      <c r="F208">
        <v>84</v>
      </c>
      <c r="G208">
        <v>499</v>
      </c>
      <c r="H208">
        <v>41916</v>
      </c>
    </row>
    <row r="209" spans="1:8" x14ac:dyDescent="0.35">
      <c r="A209" s="2">
        <v>45300</v>
      </c>
      <c r="B209" s="7">
        <f t="shared" si="3"/>
        <v>1</v>
      </c>
      <c r="C209" s="7" t="str">
        <f>_xlfn.XLOOKUP(B209,catalogos!$A$2:$A$13,catalogos!$B$2:$B$13)</f>
        <v>January</v>
      </c>
      <c r="D209" t="s">
        <v>7</v>
      </c>
      <c r="E209" t="s">
        <v>11</v>
      </c>
      <c r="F209">
        <v>17</v>
      </c>
      <c r="G209">
        <v>333</v>
      </c>
      <c r="H209">
        <v>5661</v>
      </c>
    </row>
    <row r="210" spans="1:8" x14ac:dyDescent="0.35">
      <c r="A210" s="2">
        <v>45300</v>
      </c>
      <c r="B210" s="7">
        <f t="shared" si="3"/>
        <v>1</v>
      </c>
      <c r="C210" s="7" t="str">
        <f>_xlfn.XLOOKUP(B210,catalogos!$A$2:$A$13,catalogos!$B$2:$B$13)</f>
        <v>January</v>
      </c>
      <c r="D210" t="s">
        <v>10</v>
      </c>
      <c r="E210" t="s">
        <v>13</v>
      </c>
      <c r="F210">
        <v>98</v>
      </c>
      <c r="G210">
        <v>375</v>
      </c>
      <c r="H210">
        <v>36750</v>
      </c>
    </row>
    <row r="211" spans="1:8" x14ac:dyDescent="0.35">
      <c r="A211" s="2">
        <v>45300</v>
      </c>
      <c r="B211" s="7">
        <f t="shared" si="3"/>
        <v>1</v>
      </c>
      <c r="C211" s="7" t="str">
        <f>_xlfn.XLOOKUP(B211,catalogos!$A$2:$A$13,catalogos!$B$2:$B$13)</f>
        <v>January</v>
      </c>
      <c r="D211" t="s">
        <v>6</v>
      </c>
      <c r="E211" t="s">
        <v>15</v>
      </c>
      <c r="F211">
        <v>2</v>
      </c>
      <c r="G211">
        <v>30</v>
      </c>
      <c r="H211">
        <v>60</v>
      </c>
    </row>
    <row r="212" spans="1:8" x14ac:dyDescent="0.35">
      <c r="A212" s="2">
        <v>45300</v>
      </c>
      <c r="B212" s="7">
        <f t="shared" si="3"/>
        <v>1</v>
      </c>
      <c r="C212" s="7" t="str">
        <f>_xlfn.XLOOKUP(B212,catalogos!$A$2:$A$13,catalogos!$B$2:$B$13)</f>
        <v>January</v>
      </c>
      <c r="D212" t="s">
        <v>9</v>
      </c>
      <c r="E212" t="s">
        <v>13</v>
      </c>
      <c r="F212">
        <v>92</v>
      </c>
      <c r="G212">
        <v>272</v>
      </c>
      <c r="H212">
        <v>25024</v>
      </c>
    </row>
    <row r="213" spans="1:8" x14ac:dyDescent="0.35">
      <c r="A213" s="2">
        <v>45300</v>
      </c>
      <c r="B213" s="7">
        <f t="shared" si="3"/>
        <v>1</v>
      </c>
      <c r="C213" s="7" t="str">
        <f>_xlfn.XLOOKUP(B213,catalogos!$A$2:$A$13,catalogos!$B$2:$B$13)</f>
        <v>January</v>
      </c>
      <c r="D213" t="s">
        <v>9</v>
      </c>
      <c r="E213" t="s">
        <v>15</v>
      </c>
      <c r="F213">
        <v>76</v>
      </c>
      <c r="G213">
        <v>422</v>
      </c>
      <c r="H213">
        <v>32072</v>
      </c>
    </row>
    <row r="214" spans="1:8" x14ac:dyDescent="0.35">
      <c r="A214" s="2">
        <v>45300</v>
      </c>
      <c r="B214" s="7">
        <f t="shared" si="3"/>
        <v>1</v>
      </c>
      <c r="C214" s="7" t="str">
        <f>_xlfn.XLOOKUP(B214,catalogos!$A$2:$A$13,catalogos!$B$2:$B$13)</f>
        <v>January</v>
      </c>
      <c r="D214" t="s">
        <v>9</v>
      </c>
      <c r="E214" t="s">
        <v>13</v>
      </c>
      <c r="F214">
        <v>27</v>
      </c>
      <c r="G214">
        <v>152</v>
      </c>
      <c r="H214">
        <v>4104</v>
      </c>
    </row>
    <row r="215" spans="1:8" x14ac:dyDescent="0.35">
      <c r="A215" s="2">
        <v>45300</v>
      </c>
      <c r="B215" s="7">
        <f t="shared" si="3"/>
        <v>1</v>
      </c>
      <c r="C215" s="7" t="str">
        <f>_xlfn.XLOOKUP(B215,catalogos!$A$2:$A$13,catalogos!$B$2:$B$13)</f>
        <v>January</v>
      </c>
      <c r="D215" t="s">
        <v>7</v>
      </c>
      <c r="E215" t="s">
        <v>14</v>
      </c>
      <c r="F215">
        <v>4</v>
      </c>
      <c r="G215">
        <v>27</v>
      </c>
      <c r="H215">
        <v>108</v>
      </c>
    </row>
    <row r="216" spans="1:8" x14ac:dyDescent="0.35">
      <c r="A216" s="2">
        <v>45300</v>
      </c>
      <c r="B216" s="7">
        <f t="shared" si="3"/>
        <v>1</v>
      </c>
      <c r="C216" s="7" t="str">
        <f>_xlfn.XLOOKUP(B216,catalogos!$A$2:$A$13,catalogos!$B$2:$B$13)</f>
        <v>January</v>
      </c>
      <c r="D216" t="s">
        <v>10</v>
      </c>
      <c r="E216" t="s">
        <v>13</v>
      </c>
      <c r="F216">
        <v>46</v>
      </c>
      <c r="G216">
        <v>204</v>
      </c>
      <c r="H216">
        <v>9384</v>
      </c>
    </row>
    <row r="217" spans="1:8" x14ac:dyDescent="0.35">
      <c r="A217" s="2">
        <v>45300</v>
      </c>
      <c r="B217" s="7">
        <f t="shared" si="3"/>
        <v>1</v>
      </c>
      <c r="C217" s="7" t="str">
        <f>_xlfn.XLOOKUP(B217,catalogos!$A$2:$A$13,catalogos!$B$2:$B$13)</f>
        <v>January</v>
      </c>
      <c r="D217" t="s">
        <v>7</v>
      </c>
      <c r="E217" t="s">
        <v>15</v>
      </c>
      <c r="F217">
        <v>98</v>
      </c>
      <c r="G217">
        <v>65</v>
      </c>
      <c r="H217">
        <v>6370</v>
      </c>
    </row>
    <row r="218" spans="1:8" x14ac:dyDescent="0.35">
      <c r="A218" s="2">
        <v>45301</v>
      </c>
      <c r="B218" s="7">
        <f t="shared" si="3"/>
        <v>1</v>
      </c>
      <c r="C218" s="7" t="str">
        <f>_xlfn.XLOOKUP(B218,catalogos!$A$2:$A$13,catalogos!$B$2:$B$13)</f>
        <v>January</v>
      </c>
      <c r="D218" t="s">
        <v>7</v>
      </c>
      <c r="E218" t="s">
        <v>14</v>
      </c>
      <c r="F218">
        <v>87</v>
      </c>
      <c r="G218">
        <v>265</v>
      </c>
      <c r="H218">
        <v>23055</v>
      </c>
    </row>
    <row r="219" spans="1:8" x14ac:dyDescent="0.35">
      <c r="A219" s="2">
        <v>45301</v>
      </c>
      <c r="B219" s="7">
        <f t="shared" si="3"/>
        <v>1</v>
      </c>
      <c r="C219" s="7" t="str">
        <f>_xlfn.XLOOKUP(B219,catalogos!$A$2:$A$13,catalogos!$B$2:$B$13)</f>
        <v>January</v>
      </c>
      <c r="D219" t="s">
        <v>7</v>
      </c>
      <c r="E219" t="s">
        <v>13</v>
      </c>
      <c r="F219">
        <v>2</v>
      </c>
      <c r="G219">
        <v>64</v>
      </c>
      <c r="H219">
        <v>128</v>
      </c>
    </row>
    <row r="220" spans="1:8" x14ac:dyDescent="0.35">
      <c r="A220" s="2">
        <v>45301</v>
      </c>
      <c r="B220" s="7">
        <f t="shared" si="3"/>
        <v>1</v>
      </c>
      <c r="C220" s="7" t="str">
        <f>_xlfn.XLOOKUP(B220,catalogos!$A$2:$A$13,catalogos!$B$2:$B$13)</f>
        <v>January</v>
      </c>
      <c r="D220" t="s">
        <v>10</v>
      </c>
      <c r="E220" t="s">
        <v>14</v>
      </c>
      <c r="F220">
        <v>27</v>
      </c>
      <c r="G220">
        <v>256</v>
      </c>
      <c r="H220">
        <v>6912</v>
      </c>
    </row>
    <row r="221" spans="1:8" x14ac:dyDescent="0.35">
      <c r="A221" s="2">
        <v>45301</v>
      </c>
      <c r="B221" s="7">
        <f t="shared" si="3"/>
        <v>1</v>
      </c>
      <c r="C221" s="7" t="str">
        <f>_xlfn.XLOOKUP(B221,catalogos!$A$2:$A$13,catalogos!$B$2:$B$13)</f>
        <v>January</v>
      </c>
      <c r="D221" t="s">
        <v>6</v>
      </c>
      <c r="E221" t="s">
        <v>13</v>
      </c>
      <c r="F221">
        <v>22</v>
      </c>
      <c r="G221">
        <v>319</v>
      </c>
      <c r="H221">
        <v>7018</v>
      </c>
    </row>
    <row r="222" spans="1:8" x14ac:dyDescent="0.35">
      <c r="A222" s="2">
        <v>45301</v>
      </c>
      <c r="B222" s="7">
        <f t="shared" si="3"/>
        <v>1</v>
      </c>
      <c r="C222" s="7" t="str">
        <f>_xlfn.XLOOKUP(B222,catalogos!$A$2:$A$13,catalogos!$B$2:$B$13)</f>
        <v>January</v>
      </c>
      <c r="D222" t="s">
        <v>7</v>
      </c>
      <c r="E222" t="s">
        <v>11</v>
      </c>
      <c r="F222">
        <v>40</v>
      </c>
      <c r="G222">
        <v>477</v>
      </c>
      <c r="H222">
        <v>19080</v>
      </c>
    </row>
    <row r="223" spans="1:8" x14ac:dyDescent="0.35">
      <c r="A223" s="2">
        <v>45301</v>
      </c>
      <c r="B223" s="7">
        <f t="shared" si="3"/>
        <v>1</v>
      </c>
      <c r="C223" s="7" t="str">
        <f>_xlfn.XLOOKUP(B223,catalogos!$A$2:$A$13,catalogos!$B$2:$B$13)</f>
        <v>January</v>
      </c>
      <c r="D223" t="s">
        <v>10</v>
      </c>
      <c r="E223" t="s">
        <v>15</v>
      </c>
      <c r="F223">
        <v>64</v>
      </c>
      <c r="G223">
        <v>24</v>
      </c>
      <c r="H223">
        <v>1536</v>
      </c>
    </row>
    <row r="224" spans="1:8" x14ac:dyDescent="0.35">
      <c r="A224" s="2">
        <v>45301</v>
      </c>
      <c r="B224" s="7">
        <f t="shared" si="3"/>
        <v>1</v>
      </c>
      <c r="C224" s="7" t="str">
        <f>_xlfn.XLOOKUP(B224,catalogos!$A$2:$A$13,catalogos!$B$2:$B$13)</f>
        <v>January</v>
      </c>
      <c r="D224" t="s">
        <v>8</v>
      </c>
      <c r="E224" t="s">
        <v>13</v>
      </c>
      <c r="F224">
        <v>12</v>
      </c>
      <c r="G224">
        <v>139</v>
      </c>
      <c r="H224">
        <v>1668</v>
      </c>
    </row>
    <row r="225" spans="1:8" x14ac:dyDescent="0.35">
      <c r="A225" s="2">
        <v>45301</v>
      </c>
      <c r="B225" s="7">
        <f t="shared" si="3"/>
        <v>1</v>
      </c>
      <c r="C225" s="7" t="str">
        <f>_xlfn.XLOOKUP(B225,catalogos!$A$2:$A$13,catalogos!$B$2:$B$13)</f>
        <v>January</v>
      </c>
      <c r="D225" t="s">
        <v>9</v>
      </c>
      <c r="E225" t="s">
        <v>15</v>
      </c>
      <c r="F225">
        <v>11</v>
      </c>
      <c r="G225">
        <v>196</v>
      </c>
      <c r="H225">
        <v>2156</v>
      </c>
    </row>
    <row r="226" spans="1:8" x14ac:dyDescent="0.35">
      <c r="A226" s="2">
        <v>45301</v>
      </c>
      <c r="B226" s="7">
        <f t="shared" si="3"/>
        <v>1</v>
      </c>
      <c r="C226" s="7" t="str">
        <f>_xlfn.XLOOKUP(B226,catalogos!$A$2:$A$13,catalogos!$B$2:$B$13)</f>
        <v>January</v>
      </c>
      <c r="D226" t="s">
        <v>10</v>
      </c>
      <c r="E226" t="s">
        <v>14</v>
      </c>
      <c r="F226">
        <v>61</v>
      </c>
      <c r="G226">
        <v>85</v>
      </c>
      <c r="H226">
        <v>5185</v>
      </c>
    </row>
    <row r="227" spans="1:8" x14ac:dyDescent="0.35">
      <c r="A227" s="2">
        <v>45301</v>
      </c>
      <c r="B227" s="7">
        <f t="shared" si="3"/>
        <v>1</v>
      </c>
      <c r="C227" s="7" t="str">
        <f>_xlfn.XLOOKUP(B227,catalogos!$A$2:$A$13,catalogos!$B$2:$B$13)</f>
        <v>January</v>
      </c>
      <c r="D227" t="s">
        <v>9</v>
      </c>
      <c r="E227" t="s">
        <v>13</v>
      </c>
      <c r="F227">
        <v>38</v>
      </c>
      <c r="G227">
        <v>300</v>
      </c>
      <c r="H227">
        <v>11400</v>
      </c>
    </row>
    <row r="228" spans="1:8" x14ac:dyDescent="0.35">
      <c r="A228" s="2">
        <v>45301</v>
      </c>
      <c r="B228" s="7">
        <f t="shared" si="3"/>
        <v>1</v>
      </c>
      <c r="C228" s="7" t="str">
        <f>_xlfn.XLOOKUP(B228,catalogos!$A$2:$A$13,catalogos!$B$2:$B$13)</f>
        <v>January</v>
      </c>
      <c r="D228" t="s">
        <v>9</v>
      </c>
      <c r="E228" t="s">
        <v>11</v>
      </c>
      <c r="F228">
        <v>32</v>
      </c>
      <c r="G228">
        <v>284</v>
      </c>
      <c r="H228">
        <v>9088</v>
      </c>
    </row>
    <row r="229" spans="1:8" x14ac:dyDescent="0.35">
      <c r="A229" s="2">
        <v>45301</v>
      </c>
      <c r="B229" s="7">
        <f t="shared" si="3"/>
        <v>1</v>
      </c>
      <c r="C229" s="7" t="str">
        <f>_xlfn.XLOOKUP(B229,catalogos!$A$2:$A$13,catalogos!$B$2:$B$13)</f>
        <v>January</v>
      </c>
      <c r="D229" t="s">
        <v>9</v>
      </c>
      <c r="E229" t="s">
        <v>13</v>
      </c>
      <c r="F229">
        <v>92</v>
      </c>
      <c r="G229">
        <v>122</v>
      </c>
      <c r="H229">
        <v>11224</v>
      </c>
    </row>
    <row r="230" spans="1:8" x14ac:dyDescent="0.35">
      <c r="A230" s="2">
        <v>45301</v>
      </c>
      <c r="B230" s="7">
        <f t="shared" si="3"/>
        <v>1</v>
      </c>
      <c r="C230" s="7" t="str">
        <f>_xlfn.XLOOKUP(B230,catalogos!$A$2:$A$13,catalogos!$B$2:$B$13)</f>
        <v>January</v>
      </c>
      <c r="D230" t="s">
        <v>6</v>
      </c>
      <c r="E230" t="s">
        <v>15</v>
      </c>
      <c r="F230">
        <v>37</v>
      </c>
      <c r="G230">
        <v>69</v>
      </c>
      <c r="H230">
        <v>2553</v>
      </c>
    </row>
    <row r="231" spans="1:8" x14ac:dyDescent="0.35">
      <c r="A231" s="2">
        <v>45301</v>
      </c>
      <c r="B231" s="7">
        <f t="shared" si="3"/>
        <v>1</v>
      </c>
      <c r="C231" s="7" t="str">
        <f>_xlfn.XLOOKUP(B231,catalogos!$A$2:$A$13,catalogos!$B$2:$B$13)</f>
        <v>January</v>
      </c>
      <c r="D231" t="s">
        <v>9</v>
      </c>
      <c r="E231" t="s">
        <v>14</v>
      </c>
      <c r="F231">
        <v>1</v>
      </c>
      <c r="G231">
        <v>325</v>
      </c>
      <c r="H231">
        <v>325</v>
      </c>
    </row>
    <row r="232" spans="1:8" x14ac:dyDescent="0.35">
      <c r="A232" s="2">
        <v>45301</v>
      </c>
      <c r="B232" s="7">
        <f t="shared" si="3"/>
        <v>1</v>
      </c>
      <c r="C232" s="7" t="str">
        <f>_xlfn.XLOOKUP(B232,catalogos!$A$2:$A$13,catalogos!$B$2:$B$13)</f>
        <v>January</v>
      </c>
      <c r="D232" t="s">
        <v>6</v>
      </c>
      <c r="E232" t="s">
        <v>14</v>
      </c>
      <c r="F232">
        <v>46</v>
      </c>
      <c r="G232">
        <v>232</v>
      </c>
      <c r="H232">
        <v>10672</v>
      </c>
    </row>
    <row r="233" spans="1:8" x14ac:dyDescent="0.35">
      <c r="A233" s="2">
        <v>45301</v>
      </c>
      <c r="B233" s="7">
        <f t="shared" si="3"/>
        <v>1</v>
      </c>
      <c r="C233" s="7" t="str">
        <f>_xlfn.XLOOKUP(B233,catalogos!$A$2:$A$13,catalogos!$B$2:$B$13)</f>
        <v>January</v>
      </c>
      <c r="D233" t="s">
        <v>7</v>
      </c>
      <c r="E233" t="s">
        <v>15</v>
      </c>
      <c r="F233">
        <v>92</v>
      </c>
      <c r="G233">
        <v>190</v>
      </c>
      <c r="H233">
        <v>17480</v>
      </c>
    </row>
    <row r="234" spans="1:8" x14ac:dyDescent="0.35">
      <c r="A234" s="2">
        <v>45301</v>
      </c>
      <c r="B234" s="7">
        <f t="shared" si="3"/>
        <v>1</v>
      </c>
      <c r="C234" s="7" t="str">
        <f>_xlfn.XLOOKUP(B234,catalogos!$A$2:$A$13,catalogos!$B$2:$B$13)</f>
        <v>January</v>
      </c>
      <c r="D234" t="s">
        <v>7</v>
      </c>
      <c r="E234" t="s">
        <v>15</v>
      </c>
      <c r="F234">
        <v>70</v>
      </c>
      <c r="G234">
        <v>218</v>
      </c>
      <c r="H234">
        <v>15260</v>
      </c>
    </row>
    <row r="235" spans="1:8" x14ac:dyDescent="0.35">
      <c r="A235" s="2">
        <v>45301</v>
      </c>
      <c r="B235" s="7">
        <f t="shared" si="3"/>
        <v>1</v>
      </c>
      <c r="C235" s="7" t="str">
        <f>_xlfn.XLOOKUP(B235,catalogos!$A$2:$A$13,catalogos!$B$2:$B$13)</f>
        <v>January</v>
      </c>
      <c r="D235" t="s">
        <v>8</v>
      </c>
      <c r="E235" t="s">
        <v>12</v>
      </c>
      <c r="F235">
        <v>37</v>
      </c>
      <c r="G235">
        <v>295</v>
      </c>
      <c r="H235">
        <v>10915</v>
      </c>
    </row>
    <row r="236" spans="1:8" x14ac:dyDescent="0.35">
      <c r="A236" s="2">
        <v>45301</v>
      </c>
      <c r="B236" s="7">
        <f t="shared" si="3"/>
        <v>1</v>
      </c>
      <c r="C236" s="7" t="str">
        <f>_xlfn.XLOOKUP(B236,catalogos!$A$2:$A$13,catalogos!$B$2:$B$13)</f>
        <v>January</v>
      </c>
      <c r="D236" t="s">
        <v>6</v>
      </c>
      <c r="E236" t="s">
        <v>15</v>
      </c>
      <c r="F236">
        <v>76</v>
      </c>
      <c r="G236">
        <v>137</v>
      </c>
      <c r="H236">
        <v>10412</v>
      </c>
    </row>
    <row r="237" spans="1:8" x14ac:dyDescent="0.35">
      <c r="A237" s="2">
        <v>45301</v>
      </c>
      <c r="B237" s="7">
        <f t="shared" si="3"/>
        <v>1</v>
      </c>
      <c r="C237" s="7" t="str">
        <f>_xlfn.XLOOKUP(B237,catalogos!$A$2:$A$13,catalogos!$B$2:$B$13)</f>
        <v>January</v>
      </c>
      <c r="D237" t="s">
        <v>6</v>
      </c>
      <c r="E237" t="s">
        <v>13</v>
      </c>
      <c r="F237">
        <v>35</v>
      </c>
      <c r="G237">
        <v>56</v>
      </c>
      <c r="H237">
        <v>1960</v>
      </c>
    </row>
    <row r="238" spans="1:8" x14ac:dyDescent="0.35">
      <c r="A238" s="2">
        <v>45301</v>
      </c>
      <c r="B238" s="7">
        <f t="shared" si="3"/>
        <v>1</v>
      </c>
      <c r="C238" s="7" t="str">
        <f>_xlfn.XLOOKUP(B238,catalogos!$A$2:$A$13,catalogos!$B$2:$B$13)</f>
        <v>January</v>
      </c>
      <c r="D238" t="s">
        <v>10</v>
      </c>
      <c r="E238" t="s">
        <v>13</v>
      </c>
      <c r="F238">
        <v>45</v>
      </c>
      <c r="G238">
        <v>146</v>
      </c>
      <c r="H238">
        <v>6570</v>
      </c>
    </row>
    <row r="239" spans="1:8" x14ac:dyDescent="0.35">
      <c r="A239" s="2">
        <v>45301</v>
      </c>
      <c r="B239" s="7">
        <f t="shared" si="3"/>
        <v>1</v>
      </c>
      <c r="C239" s="7" t="str">
        <f>_xlfn.XLOOKUP(B239,catalogos!$A$2:$A$13,catalogos!$B$2:$B$13)</f>
        <v>January</v>
      </c>
      <c r="D239" t="s">
        <v>6</v>
      </c>
      <c r="E239" t="s">
        <v>11</v>
      </c>
      <c r="F239">
        <v>83</v>
      </c>
      <c r="G239">
        <v>213</v>
      </c>
      <c r="H239">
        <v>17679</v>
      </c>
    </row>
    <row r="240" spans="1:8" x14ac:dyDescent="0.35">
      <c r="A240" s="2">
        <v>45301</v>
      </c>
      <c r="B240" s="7">
        <f t="shared" si="3"/>
        <v>1</v>
      </c>
      <c r="C240" s="7" t="str">
        <f>_xlfn.XLOOKUP(B240,catalogos!$A$2:$A$13,catalogos!$B$2:$B$13)</f>
        <v>January</v>
      </c>
      <c r="D240" t="s">
        <v>10</v>
      </c>
      <c r="E240" t="s">
        <v>12</v>
      </c>
      <c r="F240">
        <v>9</v>
      </c>
      <c r="G240">
        <v>194</v>
      </c>
      <c r="H240">
        <v>1746</v>
      </c>
    </row>
    <row r="241" spans="1:8" x14ac:dyDescent="0.35">
      <c r="A241" s="2">
        <v>45301</v>
      </c>
      <c r="B241" s="7">
        <f t="shared" si="3"/>
        <v>1</v>
      </c>
      <c r="C241" s="7" t="str">
        <f>_xlfn.XLOOKUP(B241,catalogos!$A$2:$A$13,catalogos!$B$2:$B$13)</f>
        <v>January</v>
      </c>
      <c r="D241" t="s">
        <v>10</v>
      </c>
      <c r="E241" t="s">
        <v>11</v>
      </c>
      <c r="F241">
        <v>31</v>
      </c>
      <c r="G241">
        <v>241</v>
      </c>
      <c r="H241">
        <v>7471</v>
      </c>
    </row>
    <row r="242" spans="1:8" x14ac:dyDescent="0.35">
      <c r="A242" s="2">
        <v>45302</v>
      </c>
      <c r="B242" s="7">
        <f t="shared" si="3"/>
        <v>1</v>
      </c>
      <c r="C242" s="7" t="str">
        <f>_xlfn.XLOOKUP(B242,catalogos!$A$2:$A$13,catalogos!$B$2:$B$13)</f>
        <v>January</v>
      </c>
      <c r="D242" t="s">
        <v>8</v>
      </c>
      <c r="E242" t="s">
        <v>13</v>
      </c>
      <c r="F242">
        <v>10</v>
      </c>
      <c r="G242">
        <v>458</v>
      </c>
      <c r="H242">
        <v>4580</v>
      </c>
    </row>
    <row r="243" spans="1:8" x14ac:dyDescent="0.35">
      <c r="A243" s="2">
        <v>45302</v>
      </c>
      <c r="B243" s="7">
        <f t="shared" si="3"/>
        <v>1</v>
      </c>
      <c r="C243" s="7" t="str">
        <f>_xlfn.XLOOKUP(B243,catalogos!$A$2:$A$13,catalogos!$B$2:$B$13)</f>
        <v>January</v>
      </c>
      <c r="D243" t="s">
        <v>9</v>
      </c>
      <c r="E243" t="s">
        <v>14</v>
      </c>
      <c r="F243">
        <v>40</v>
      </c>
      <c r="G243">
        <v>446</v>
      </c>
      <c r="H243">
        <v>17840</v>
      </c>
    </row>
    <row r="244" spans="1:8" x14ac:dyDescent="0.35">
      <c r="A244" s="2">
        <v>45302</v>
      </c>
      <c r="B244" s="7">
        <f t="shared" si="3"/>
        <v>1</v>
      </c>
      <c r="C244" s="7" t="str">
        <f>_xlfn.XLOOKUP(B244,catalogos!$A$2:$A$13,catalogos!$B$2:$B$13)</f>
        <v>January</v>
      </c>
      <c r="D244" t="s">
        <v>8</v>
      </c>
      <c r="E244" t="s">
        <v>13</v>
      </c>
      <c r="F244">
        <v>64</v>
      </c>
      <c r="G244">
        <v>259</v>
      </c>
      <c r="H244">
        <v>16576</v>
      </c>
    </row>
    <row r="245" spans="1:8" x14ac:dyDescent="0.35">
      <c r="A245" s="2">
        <v>45302</v>
      </c>
      <c r="B245" s="7">
        <f t="shared" si="3"/>
        <v>1</v>
      </c>
      <c r="C245" s="7" t="str">
        <f>_xlfn.XLOOKUP(B245,catalogos!$A$2:$A$13,catalogos!$B$2:$B$13)</f>
        <v>January</v>
      </c>
      <c r="D245" t="s">
        <v>9</v>
      </c>
      <c r="E245" t="s">
        <v>14</v>
      </c>
      <c r="F245">
        <v>78</v>
      </c>
      <c r="G245">
        <v>254</v>
      </c>
      <c r="H245">
        <v>19812</v>
      </c>
    </row>
    <row r="246" spans="1:8" x14ac:dyDescent="0.35">
      <c r="A246" s="2">
        <v>45302</v>
      </c>
      <c r="B246" s="7">
        <f t="shared" si="3"/>
        <v>1</v>
      </c>
      <c r="C246" s="7" t="str">
        <f>_xlfn.XLOOKUP(B246,catalogos!$A$2:$A$13,catalogos!$B$2:$B$13)</f>
        <v>January</v>
      </c>
      <c r="D246" t="s">
        <v>6</v>
      </c>
      <c r="E246" t="s">
        <v>13</v>
      </c>
      <c r="F246">
        <v>26</v>
      </c>
      <c r="G246">
        <v>87</v>
      </c>
      <c r="H246">
        <v>2262</v>
      </c>
    </row>
    <row r="247" spans="1:8" x14ac:dyDescent="0.35">
      <c r="A247" s="2">
        <v>45302</v>
      </c>
      <c r="B247" s="7">
        <f t="shared" si="3"/>
        <v>1</v>
      </c>
      <c r="C247" s="7" t="str">
        <f>_xlfn.XLOOKUP(B247,catalogos!$A$2:$A$13,catalogos!$B$2:$B$13)</f>
        <v>January</v>
      </c>
      <c r="D247" t="s">
        <v>7</v>
      </c>
      <c r="E247" t="s">
        <v>12</v>
      </c>
      <c r="F247">
        <v>36</v>
      </c>
      <c r="G247">
        <v>425</v>
      </c>
      <c r="H247">
        <v>15300</v>
      </c>
    </row>
    <row r="248" spans="1:8" x14ac:dyDescent="0.35">
      <c r="A248" s="2">
        <v>45302</v>
      </c>
      <c r="B248" s="7">
        <f t="shared" si="3"/>
        <v>1</v>
      </c>
      <c r="C248" s="7" t="str">
        <f>_xlfn.XLOOKUP(B248,catalogos!$A$2:$A$13,catalogos!$B$2:$B$13)</f>
        <v>January</v>
      </c>
      <c r="D248" t="s">
        <v>6</v>
      </c>
      <c r="E248" t="s">
        <v>15</v>
      </c>
      <c r="F248">
        <v>24</v>
      </c>
      <c r="G248">
        <v>137</v>
      </c>
      <c r="H248">
        <v>3288</v>
      </c>
    </row>
    <row r="249" spans="1:8" x14ac:dyDescent="0.35">
      <c r="A249" s="2">
        <v>45302</v>
      </c>
      <c r="B249" s="7">
        <f t="shared" si="3"/>
        <v>1</v>
      </c>
      <c r="C249" s="7" t="str">
        <f>_xlfn.XLOOKUP(B249,catalogos!$A$2:$A$13,catalogos!$B$2:$B$13)</f>
        <v>January</v>
      </c>
      <c r="D249" t="s">
        <v>10</v>
      </c>
      <c r="E249" t="s">
        <v>15</v>
      </c>
      <c r="F249">
        <v>46</v>
      </c>
      <c r="G249">
        <v>120</v>
      </c>
      <c r="H249">
        <v>5520</v>
      </c>
    </row>
    <row r="250" spans="1:8" x14ac:dyDescent="0.35">
      <c r="A250" s="2">
        <v>45302</v>
      </c>
      <c r="B250" s="7">
        <f t="shared" si="3"/>
        <v>1</v>
      </c>
      <c r="C250" s="7" t="str">
        <f>_xlfn.XLOOKUP(B250,catalogos!$A$2:$A$13,catalogos!$B$2:$B$13)</f>
        <v>January</v>
      </c>
      <c r="D250" t="s">
        <v>7</v>
      </c>
      <c r="E250" t="s">
        <v>13</v>
      </c>
      <c r="F250">
        <v>88</v>
      </c>
      <c r="G250">
        <v>390</v>
      </c>
      <c r="H250">
        <v>34320</v>
      </c>
    </row>
    <row r="251" spans="1:8" x14ac:dyDescent="0.35">
      <c r="A251" s="2">
        <v>45302</v>
      </c>
      <c r="B251" s="7">
        <f t="shared" si="3"/>
        <v>1</v>
      </c>
      <c r="C251" s="7" t="str">
        <f>_xlfn.XLOOKUP(B251,catalogos!$A$2:$A$13,catalogos!$B$2:$B$13)</f>
        <v>January</v>
      </c>
      <c r="D251" t="s">
        <v>9</v>
      </c>
      <c r="E251" t="s">
        <v>11</v>
      </c>
      <c r="F251">
        <v>23</v>
      </c>
      <c r="G251">
        <v>454</v>
      </c>
      <c r="H251">
        <v>10442</v>
      </c>
    </row>
    <row r="252" spans="1:8" x14ac:dyDescent="0.35">
      <c r="A252" s="2">
        <v>45302</v>
      </c>
      <c r="B252" s="7">
        <f t="shared" si="3"/>
        <v>1</v>
      </c>
      <c r="C252" s="7" t="str">
        <f>_xlfn.XLOOKUP(B252,catalogos!$A$2:$A$13,catalogos!$B$2:$B$13)</f>
        <v>January</v>
      </c>
      <c r="D252" t="s">
        <v>9</v>
      </c>
      <c r="E252" t="s">
        <v>14</v>
      </c>
      <c r="F252">
        <v>43</v>
      </c>
      <c r="G252">
        <v>125</v>
      </c>
      <c r="H252">
        <v>5375</v>
      </c>
    </row>
    <row r="253" spans="1:8" x14ac:dyDescent="0.35">
      <c r="A253" s="2">
        <v>45302</v>
      </c>
      <c r="B253" s="7">
        <f t="shared" si="3"/>
        <v>1</v>
      </c>
      <c r="C253" s="7" t="str">
        <f>_xlfn.XLOOKUP(B253,catalogos!$A$2:$A$13,catalogos!$B$2:$B$13)</f>
        <v>January</v>
      </c>
      <c r="D253" t="s">
        <v>9</v>
      </c>
      <c r="E253" t="s">
        <v>15</v>
      </c>
      <c r="F253">
        <v>62</v>
      </c>
      <c r="G253">
        <v>301</v>
      </c>
      <c r="H253">
        <v>18662</v>
      </c>
    </row>
    <row r="254" spans="1:8" x14ac:dyDescent="0.35">
      <c r="A254" s="2">
        <v>45302</v>
      </c>
      <c r="B254" s="7">
        <f t="shared" si="3"/>
        <v>1</v>
      </c>
      <c r="C254" s="7" t="str">
        <f>_xlfn.XLOOKUP(B254,catalogos!$A$2:$A$13,catalogos!$B$2:$B$13)</f>
        <v>January</v>
      </c>
      <c r="D254" t="s">
        <v>9</v>
      </c>
      <c r="E254" t="s">
        <v>13</v>
      </c>
      <c r="F254">
        <v>74</v>
      </c>
      <c r="G254">
        <v>485</v>
      </c>
      <c r="H254">
        <v>35890</v>
      </c>
    </row>
    <row r="255" spans="1:8" x14ac:dyDescent="0.35">
      <c r="A255" s="2">
        <v>45302</v>
      </c>
      <c r="B255" s="7">
        <f t="shared" si="3"/>
        <v>1</v>
      </c>
      <c r="C255" s="7" t="str">
        <f>_xlfn.XLOOKUP(B255,catalogos!$A$2:$A$13,catalogos!$B$2:$B$13)</f>
        <v>January</v>
      </c>
      <c r="D255" t="s">
        <v>7</v>
      </c>
      <c r="E255" t="s">
        <v>13</v>
      </c>
      <c r="F255">
        <v>10</v>
      </c>
      <c r="G255">
        <v>9</v>
      </c>
      <c r="H255">
        <v>90</v>
      </c>
    </row>
    <row r="256" spans="1:8" x14ac:dyDescent="0.35">
      <c r="A256" s="2">
        <v>45302</v>
      </c>
      <c r="B256" s="7">
        <f t="shared" si="3"/>
        <v>1</v>
      </c>
      <c r="C256" s="7" t="str">
        <f>_xlfn.XLOOKUP(B256,catalogos!$A$2:$A$13,catalogos!$B$2:$B$13)</f>
        <v>January</v>
      </c>
      <c r="D256" t="s">
        <v>6</v>
      </c>
      <c r="E256" t="s">
        <v>14</v>
      </c>
      <c r="F256">
        <v>69</v>
      </c>
      <c r="G256">
        <v>467</v>
      </c>
      <c r="H256">
        <v>32223</v>
      </c>
    </row>
    <row r="257" spans="1:8" x14ac:dyDescent="0.35">
      <c r="A257" s="2">
        <v>45302</v>
      </c>
      <c r="B257" s="7">
        <f t="shared" si="3"/>
        <v>1</v>
      </c>
      <c r="C257" s="7" t="str">
        <f>_xlfn.XLOOKUP(B257,catalogos!$A$2:$A$13,catalogos!$B$2:$B$13)</f>
        <v>January</v>
      </c>
      <c r="D257" t="s">
        <v>6</v>
      </c>
      <c r="E257" t="s">
        <v>15</v>
      </c>
      <c r="F257">
        <v>56</v>
      </c>
      <c r="G257">
        <v>367</v>
      </c>
      <c r="H257">
        <v>20552</v>
      </c>
    </row>
    <row r="258" spans="1:8" x14ac:dyDescent="0.35">
      <c r="A258" s="2">
        <v>45302</v>
      </c>
      <c r="B258" s="7">
        <f t="shared" si="3"/>
        <v>1</v>
      </c>
      <c r="C258" s="7" t="str">
        <f>_xlfn.XLOOKUP(B258,catalogos!$A$2:$A$13,catalogos!$B$2:$B$13)</f>
        <v>January</v>
      </c>
      <c r="D258" t="s">
        <v>9</v>
      </c>
      <c r="E258" t="s">
        <v>15</v>
      </c>
      <c r="F258">
        <v>66</v>
      </c>
      <c r="G258">
        <v>215</v>
      </c>
      <c r="H258">
        <v>14190</v>
      </c>
    </row>
    <row r="259" spans="1:8" x14ac:dyDescent="0.35">
      <c r="A259" s="2">
        <v>45302</v>
      </c>
      <c r="B259" s="7">
        <f t="shared" ref="B259:B322" si="4">MONTH(A259)</f>
        <v>1</v>
      </c>
      <c r="C259" s="7" t="str">
        <f>_xlfn.XLOOKUP(B259,catalogos!$A$2:$A$13,catalogos!$B$2:$B$13)</f>
        <v>January</v>
      </c>
      <c r="D259" t="s">
        <v>8</v>
      </c>
      <c r="E259" t="s">
        <v>11</v>
      </c>
      <c r="F259">
        <v>81</v>
      </c>
      <c r="G259">
        <v>327</v>
      </c>
      <c r="H259">
        <v>26487</v>
      </c>
    </row>
    <row r="260" spans="1:8" x14ac:dyDescent="0.35">
      <c r="A260" s="2">
        <v>45302</v>
      </c>
      <c r="B260" s="7">
        <f t="shared" si="4"/>
        <v>1</v>
      </c>
      <c r="C260" s="7" t="str">
        <f>_xlfn.XLOOKUP(B260,catalogos!$A$2:$A$13,catalogos!$B$2:$B$13)</f>
        <v>January</v>
      </c>
      <c r="D260" t="s">
        <v>7</v>
      </c>
      <c r="E260" t="s">
        <v>11</v>
      </c>
      <c r="F260">
        <v>10</v>
      </c>
      <c r="G260">
        <v>427</v>
      </c>
      <c r="H260">
        <v>4270</v>
      </c>
    </row>
    <row r="261" spans="1:8" x14ac:dyDescent="0.35">
      <c r="A261" s="2">
        <v>45302</v>
      </c>
      <c r="B261" s="7">
        <f t="shared" si="4"/>
        <v>1</v>
      </c>
      <c r="C261" s="7" t="str">
        <f>_xlfn.XLOOKUP(B261,catalogos!$A$2:$A$13,catalogos!$B$2:$B$13)</f>
        <v>January</v>
      </c>
      <c r="D261" t="s">
        <v>9</v>
      </c>
      <c r="E261" t="s">
        <v>15</v>
      </c>
      <c r="F261">
        <v>80</v>
      </c>
      <c r="G261">
        <v>418</v>
      </c>
      <c r="H261">
        <v>33440</v>
      </c>
    </row>
    <row r="262" spans="1:8" x14ac:dyDescent="0.35">
      <c r="A262" s="2">
        <v>45302</v>
      </c>
      <c r="B262" s="7">
        <f t="shared" si="4"/>
        <v>1</v>
      </c>
      <c r="C262" s="7" t="str">
        <f>_xlfn.XLOOKUP(B262,catalogos!$A$2:$A$13,catalogos!$B$2:$B$13)</f>
        <v>January</v>
      </c>
      <c r="D262" t="s">
        <v>8</v>
      </c>
      <c r="E262" t="s">
        <v>12</v>
      </c>
      <c r="F262">
        <v>30</v>
      </c>
      <c r="G262">
        <v>481</v>
      </c>
      <c r="H262">
        <v>14430</v>
      </c>
    </row>
    <row r="263" spans="1:8" x14ac:dyDescent="0.35">
      <c r="A263" s="2">
        <v>45302</v>
      </c>
      <c r="B263" s="7">
        <f t="shared" si="4"/>
        <v>1</v>
      </c>
      <c r="C263" s="7" t="str">
        <f>_xlfn.XLOOKUP(B263,catalogos!$A$2:$A$13,catalogos!$B$2:$B$13)</f>
        <v>January</v>
      </c>
      <c r="D263" t="s">
        <v>8</v>
      </c>
      <c r="E263" t="s">
        <v>14</v>
      </c>
      <c r="F263">
        <v>83</v>
      </c>
      <c r="G263">
        <v>327</v>
      </c>
      <c r="H263">
        <v>27141</v>
      </c>
    </row>
    <row r="264" spans="1:8" x14ac:dyDescent="0.35">
      <c r="A264" s="2">
        <v>45302</v>
      </c>
      <c r="B264" s="7">
        <f t="shared" si="4"/>
        <v>1</v>
      </c>
      <c r="C264" s="7" t="str">
        <f>_xlfn.XLOOKUP(B264,catalogos!$A$2:$A$13,catalogos!$B$2:$B$13)</f>
        <v>January</v>
      </c>
      <c r="D264" t="s">
        <v>8</v>
      </c>
      <c r="E264" t="s">
        <v>13</v>
      </c>
      <c r="F264">
        <v>87</v>
      </c>
      <c r="G264">
        <v>451</v>
      </c>
      <c r="H264">
        <v>39237</v>
      </c>
    </row>
    <row r="265" spans="1:8" x14ac:dyDescent="0.35">
      <c r="A265" s="2">
        <v>45302</v>
      </c>
      <c r="B265" s="7">
        <f t="shared" si="4"/>
        <v>1</v>
      </c>
      <c r="C265" s="7" t="str">
        <f>_xlfn.XLOOKUP(B265,catalogos!$A$2:$A$13,catalogos!$B$2:$B$13)</f>
        <v>January</v>
      </c>
      <c r="D265" t="s">
        <v>8</v>
      </c>
      <c r="E265" t="s">
        <v>13</v>
      </c>
      <c r="F265">
        <v>57</v>
      </c>
      <c r="G265">
        <v>492</v>
      </c>
      <c r="H265">
        <v>28044</v>
      </c>
    </row>
    <row r="266" spans="1:8" x14ac:dyDescent="0.35">
      <c r="A266" s="2">
        <v>45303</v>
      </c>
      <c r="B266" s="7">
        <f t="shared" si="4"/>
        <v>1</v>
      </c>
      <c r="C266" s="7" t="str">
        <f>_xlfn.XLOOKUP(B266,catalogos!$A$2:$A$13,catalogos!$B$2:$B$13)</f>
        <v>January</v>
      </c>
      <c r="D266" t="s">
        <v>8</v>
      </c>
      <c r="E266" t="s">
        <v>11</v>
      </c>
      <c r="F266">
        <v>37</v>
      </c>
      <c r="G266">
        <v>311</v>
      </c>
      <c r="H266">
        <v>11507</v>
      </c>
    </row>
    <row r="267" spans="1:8" x14ac:dyDescent="0.35">
      <c r="A267" s="2">
        <v>45303</v>
      </c>
      <c r="B267" s="7">
        <f t="shared" si="4"/>
        <v>1</v>
      </c>
      <c r="C267" s="7" t="str">
        <f>_xlfn.XLOOKUP(B267,catalogos!$A$2:$A$13,catalogos!$B$2:$B$13)</f>
        <v>January</v>
      </c>
      <c r="D267" t="s">
        <v>6</v>
      </c>
      <c r="E267" t="s">
        <v>13</v>
      </c>
      <c r="F267">
        <v>17</v>
      </c>
      <c r="G267">
        <v>14</v>
      </c>
      <c r="H267">
        <v>238</v>
      </c>
    </row>
    <row r="268" spans="1:8" x14ac:dyDescent="0.35">
      <c r="A268" s="2">
        <v>45303</v>
      </c>
      <c r="B268" s="7">
        <f t="shared" si="4"/>
        <v>1</v>
      </c>
      <c r="C268" s="7" t="str">
        <f>_xlfn.XLOOKUP(B268,catalogos!$A$2:$A$13,catalogos!$B$2:$B$13)</f>
        <v>January</v>
      </c>
      <c r="D268" t="s">
        <v>6</v>
      </c>
      <c r="E268" t="s">
        <v>14</v>
      </c>
      <c r="F268">
        <v>67</v>
      </c>
      <c r="G268">
        <v>211</v>
      </c>
      <c r="H268">
        <v>14137</v>
      </c>
    </row>
    <row r="269" spans="1:8" x14ac:dyDescent="0.35">
      <c r="A269" s="2">
        <v>45303</v>
      </c>
      <c r="B269" s="7">
        <f t="shared" si="4"/>
        <v>1</v>
      </c>
      <c r="C269" s="7" t="str">
        <f>_xlfn.XLOOKUP(B269,catalogos!$A$2:$A$13,catalogos!$B$2:$B$13)</f>
        <v>January</v>
      </c>
      <c r="D269" t="s">
        <v>6</v>
      </c>
      <c r="E269" t="s">
        <v>11</v>
      </c>
      <c r="F269">
        <v>14</v>
      </c>
      <c r="G269">
        <v>247</v>
      </c>
      <c r="H269">
        <v>3458</v>
      </c>
    </row>
    <row r="270" spans="1:8" x14ac:dyDescent="0.35">
      <c r="A270" s="2">
        <v>45303</v>
      </c>
      <c r="B270" s="7">
        <f t="shared" si="4"/>
        <v>1</v>
      </c>
      <c r="C270" s="7" t="str">
        <f>_xlfn.XLOOKUP(B270,catalogos!$A$2:$A$13,catalogos!$B$2:$B$13)</f>
        <v>January</v>
      </c>
      <c r="D270" t="s">
        <v>6</v>
      </c>
      <c r="E270" t="s">
        <v>15</v>
      </c>
      <c r="F270">
        <v>73</v>
      </c>
      <c r="G270">
        <v>78</v>
      </c>
      <c r="H270">
        <v>5694</v>
      </c>
    </row>
    <row r="271" spans="1:8" x14ac:dyDescent="0.35">
      <c r="A271" s="2">
        <v>45303</v>
      </c>
      <c r="B271" s="7">
        <f t="shared" si="4"/>
        <v>1</v>
      </c>
      <c r="C271" s="7" t="str">
        <f>_xlfn.XLOOKUP(B271,catalogos!$A$2:$A$13,catalogos!$B$2:$B$13)</f>
        <v>January</v>
      </c>
      <c r="D271" t="s">
        <v>9</v>
      </c>
      <c r="E271" t="s">
        <v>15</v>
      </c>
      <c r="F271">
        <v>54</v>
      </c>
      <c r="G271">
        <v>202</v>
      </c>
      <c r="H271">
        <v>10908</v>
      </c>
    </row>
    <row r="272" spans="1:8" x14ac:dyDescent="0.35">
      <c r="A272" s="2">
        <v>45303</v>
      </c>
      <c r="B272" s="7">
        <f t="shared" si="4"/>
        <v>1</v>
      </c>
      <c r="C272" s="7" t="str">
        <f>_xlfn.XLOOKUP(B272,catalogos!$A$2:$A$13,catalogos!$B$2:$B$13)</f>
        <v>January</v>
      </c>
      <c r="D272" t="s">
        <v>7</v>
      </c>
      <c r="E272" t="s">
        <v>14</v>
      </c>
      <c r="F272">
        <v>56</v>
      </c>
      <c r="G272">
        <v>465</v>
      </c>
      <c r="H272">
        <v>26040</v>
      </c>
    </row>
    <row r="273" spans="1:8" x14ac:dyDescent="0.35">
      <c r="A273" s="2">
        <v>45303</v>
      </c>
      <c r="B273" s="7">
        <f t="shared" si="4"/>
        <v>1</v>
      </c>
      <c r="C273" s="7" t="str">
        <f>_xlfn.XLOOKUP(B273,catalogos!$A$2:$A$13,catalogos!$B$2:$B$13)</f>
        <v>January</v>
      </c>
      <c r="D273" t="s">
        <v>6</v>
      </c>
      <c r="E273" t="s">
        <v>14</v>
      </c>
      <c r="F273">
        <v>59</v>
      </c>
      <c r="G273">
        <v>271</v>
      </c>
      <c r="H273">
        <v>15989</v>
      </c>
    </row>
    <row r="274" spans="1:8" x14ac:dyDescent="0.35">
      <c r="A274" s="2">
        <v>45303</v>
      </c>
      <c r="B274" s="7">
        <f t="shared" si="4"/>
        <v>1</v>
      </c>
      <c r="C274" s="7" t="str">
        <f>_xlfn.XLOOKUP(B274,catalogos!$A$2:$A$13,catalogos!$B$2:$B$13)</f>
        <v>January</v>
      </c>
      <c r="D274" t="s">
        <v>10</v>
      </c>
      <c r="E274" t="s">
        <v>14</v>
      </c>
      <c r="F274">
        <v>2</v>
      </c>
      <c r="G274">
        <v>481</v>
      </c>
      <c r="H274">
        <v>962</v>
      </c>
    </row>
    <row r="275" spans="1:8" x14ac:dyDescent="0.35">
      <c r="A275" s="2">
        <v>45303</v>
      </c>
      <c r="B275" s="7">
        <f t="shared" si="4"/>
        <v>1</v>
      </c>
      <c r="C275" s="7" t="str">
        <f>_xlfn.XLOOKUP(B275,catalogos!$A$2:$A$13,catalogos!$B$2:$B$13)</f>
        <v>January</v>
      </c>
      <c r="D275" t="s">
        <v>10</v>
      </c>
      <c r="E275" t="s">
        <v>12</v>
      </c>
      <c r="F275">
        <v>64</v>
      </c>
      <c r="G275">
        <v>312</v>
      </c>
      <c r="H275">
        <v>19968</v>
      </c>
    </row>
    <row r="276" spans="1:8" x14ac:dyDescent="0.35">
      <c r="A276" s="2">
        <v>45303</v>
      </c>
      <c r="B276" s="7">
        <f t="shared" si="4"/>
        <v>1</v>
      </c>
      <c r="C276" s="7" t="str">
        <f>_xlfn.XLOOKUP(B276,catalogos!$A$2:$A$13,catalogos!$B$2:$B$13)</f>
        <v>January</v>
      </c>
      <c r="D276" t="s">
        <v>10</v>
      </c>
      <c r="E276" t="s">
        <v>15</v>
      </c>
      <c r="F276">
        <v>9</v>
      </c>
      <c r="G276">
        <v>79</v>
      </c>
      <c r="H276">
        <v>711</v>
      </c>
    </row>
    <row r="277" spans="1:8" x14ac:dyDescent="0.35">
      <c r="A277" s="2">
        <v>45303</v>
      </c>
      <c r="B277" s="7">
        <f t="shared" si="4"/>
        <v>1</v>
      </c>
      <c r="C277" s="7" t="str">
        <f>_xlfn.XLOOKUP(B277,catalogos!$A$2:$A$13,catalogos!$B$2:$B$13)</f>
        <v>January</v>
      </c>
      <c r="D277" t="s">
        <v>6</v>
      </c>
      <c r="E277" t="s">
        <v>15</v>
      </c>
      <c r="F277">
        <v>45</v>
      </c>
      <c r="G277">
        <v>179</v>
      </c>
      <c r="H277">
        <v>8055</v>
      </c>
    </row>
    <row r="278" spans="1:8" x14ac:dyDescent="0.35">
      <c r="A278" s="2">
        <v>45303</v>
      </c>
      <c r="B278" s="7">
        <f t="shared" si="4"/>
        <v>1</v>
      </c>
      <c r="C278" s="7" t="str">
        <f>_xlfn.XLOOKUP(B278,catalogos!$A$2:$A$13,catalogos!$B$2:$B$13)</f>
        <v>January</v>
      </c>
      <c r="D278" t="s">
        <v>10</v>
      </c>
      <c r="E278" t="s">
        <v>12</v>
      </c>
      <c r="F278">
        <v>92</v>
      </c>
      <c r="G278">
        <v>12</v>
      </c>
      <c r="H278">
        <v>1104</v>
      </c>
    </row>
    <row r="279" spans="1:8" x14ac:dyDescent="0.35">
      <c r="A279" s="2">
        <v>45303</v>
      </c>
      <c r="B279" s="7">
        <f t="shared" si="4"/>
        <v>1</v>
      </c>
      <c r="C279" s="7" t="str">
        <f>_xlfn.XLOOKUP(B279,catalogos!$A$2:$A$13,catalogos!$B$2:$B$13)</f>
        <v>January</v>
      </c>
      <c r="D279" t="s">
        <v>9</v>
      </c>
      <c r="E279" t="s">
        <v>13</v>
      </c>
      <c r="F279">
        <v>10</v>
      </c>
      <c r="G279">
        <v>424</v>
      </c>
      <c r="H279">
        <v>4240</v>
      </c>
    </row>
    <row r="280" spans="1:8" x14ac:dyDescent="0.35">
      <c r="A280" s="2">
        <v>45303</v>
      </c>
      <c r="B280" s="7">
        <f t="shared" si="4"/>
        <v>1</v>
      </c>
      <c r="C280" s="7" t="str">
        <f>_xlfn.XLOOKUP(B280,catalogos!$A$2:$A$13,catalogos!$B$2:$B$13)</f>
        <v>January</v>
      </c>
      <c r="D280" t="s">
        <v>8</v>
      </c>
      <c r="E280" t="s">
        <v>13</v>
      </c>
      <c r="F280">
        <v>94</v>
      </c>
      <c r="G280">
        <v>432</v>
      </c>
      <c r="H280">
        <v>40608</v>
      </c>
    </row>
    <row r="281" spans="1:8" x14ac:dyDescent="0.35">
      <c r="A281" s="2">
        <v>45303</v>
      </c>
      <c r="B281" s="7">
        <f t="shared" si="4"/>
        <v>1</v>
      </c>
      <c r="C281" s="7" t="str">
        <f>_xlfn.XLOOKUP(B281,catalogos!$A$2:$A$13,catalogos!$B$2:$B$13)</f>
        <v>January</v>
      </c>
      <c r="D281" t="s">
        <v>6</v>
      </c>
      <c r="E281" t="s">
        <v>11</v>
      </c>
      <c r="F281">
        <v>40</v>
      </c>
      <c r="G281">
        <v>102</v>
      </c>
      <c r="H281">
        <v>4080</v>
      </c>
    </row>
    <row r="282" spans="1:8" x14ac:dyDescent="0.35">
      <c r="A282" s="2">
        <v>45303</v>
      </c>
      <c r="B282" s="7">
        <f t="shared" si="4"/>
        <v>1</v>
      </c>
      <c r="C282" s="7" t="str">
        <f>_xlfn.XLOOKUP(B282,catalogos!$A$2:$A$13,catalogos!$B$2:$B$13)</f>
        <v>January</v>
      </c>
      <c r="D282" t="s">
        <v>6</v>
      </c>
      <c r="E282" t="s">
        <v>14</v>
      </c>
      <c r="F282">
        <v>3</v>
      </c>
      <c r="G282">
        <v>319</v>
      </c>
      <c r="H282">
        <v>957</v>
      </c>
    </row>
    <row r="283" spans="1:8" x14ac:dyDescent="0.35">
      <c r="A283" s="2">
        <v>45303</v>
      </c>
      <c r="B283" s="7">
        <f t="shared" si="4"/>
        <v>1</v>
      </c>
      <c r="C283" s="7" t="str">
        <f>_xlfn.XLOOKUP(B283,catalogos!$A$2:$A$13,catalogos!$B$2:$B$13)</f>
        <v>January</v>
      </c>
      <c r="D283" t="s">
        <v>10</v>
      </c>
      <c r="E283" t="s">
        <v>12</v>
      </c>
      <c r="F283">
        <v>4</v>
      </c>
      <c r="G283">
        <v>405</v>
      </c>
      <c r="H283">
        <v>1620</v>
      </c>
    </row>
    <row r="284" spans="1:8" x14ac:dyDescent="0.35">
      <c r="A284" s="2">
        <v>45303</v>
      </c>
      <c r="B284" s="7">
        <f t="shared" si="4"/>
        <v>1</v>
      </c>
      <c r="C284" s="7" t="str">
        <f>_xlfn.XLOOKUP(B284,catalogos!$A$2:$A$13,catalogos!$B$2:$B$13)</f>
        <v>January</v>
      </c>
      <c r="D284" t="s">
        <v>9</v>
      </c>
      <c r="E284" t="s">
        <v>11</v>
      </c>
      <c r="F284">
        <v>27</v>
      </c>
      <c r="G284">
        <v>289</v>
      </c>
      <c r="H284">
        <v>7803</v>
      </c>
    </row>
    <row r="285" spans="1:8" x14ac:dyDescent="0.35">
      <c r="A285" s="2">
        <v>45303</v>
      </c>
      <c r="B285" s="7">
        <f t="shared" si="4"/>
        <v>1</v>
      </c>
      <c r="C285" s="7" t="str">
        <f>_xlfn.XLOOKUP(B285,catalogos!$A$2:$A$13,catalogos!$B$2:$B$13)</f>
        <v>January</v>
      </c>
      <c r="D285" t="s">
        <v>7</v>
      </c>
      <c r="E285" t="s">
        <v>15</v>
      </c>
      <c r="F285">
        <v>60</v>
      </c>
      <c r="G285">
        <v>18</v>
      </c>
      <c r="H285">
        <v>1080</v>
      </c>
    </row>
    <row r="286" spans="1:8" x14ac:dyDescent="0.35">
      <c r="A286" s="2">
        <v>45303</v>
      </c>
      <c r="B286" s="7">
        <f t="shared" si="4"/>
        <v>1</v>
      </c>
      <c r="C286" s="7" t="str">
        <f>_xlfn.XLOOKUP(B286,catalogos!$A$2:$A$13,catalogos!$B$2:$B$13)</f>
        <v>January</v>
      </c>
      <c r="D286" t="s">
        <v>8</v>
      </c>
      <c r="E286" t="s">
        <v>13</v>
      </c>
      <c r="F286">
        <v>15</v>
      </c>
      <c r="G286">
        <v>26</v>
      </c>
      <c r="H286">
        <v>390</v>
      </c>
    </row>
    <row r="287" spans="1:8" x14ac:dyDescent="0.35">
      <c r="A287" s="2">
        <v>45303</v>
      </c>
      <c r="B287" s="7">
        <f t="shared" si="4"/>
        <v>1</v>
      </c>
      <c r="C287" s="7" t="str">
        <f>_xlfn.XLOOKUP(B287,catalogos!$A$2:$A$13,catalogos!$B$2:$B$13)</f>
        <v>January</v>
      </c>
      <c r="D287" t="s">
        <v>6</v>
      </c>
      <c r="E287" t="s">
        <v>12</v>
      </c>
      <c r="F287">
        <v>38</v>
      </c>
      <c r="G287">
        <v>83</v>
      </c>
      <c r="H287">
        <v>3154</v>
      </c>
    </row>
    <row r="288" spans="1:8" x14ac:dyDescent="0.35">
      <c r="A288" s="2">
        <v>45303</v>
      </c>
      <c r="B288" s="7">
        <f t="shared" si="4"/>
        <v>1</v>
      </c>
      <c r="C288" s="7" t="str">
        <f>_xlfn.XLOOKUP(B288,catalogos!$A$2:$A$13,catalogos!$B$2:$B$13)</f>
        <v>January</v>
      </c>
      <c r="D288" t="s">
        <v>7</v>
      </c>
      <c r="E288" t="s">
        <v>13</v>
      </c>
      <c r="F288">
        <v>42</v>
      </c>
      <c r="G288">
        <v>216</v>
      </c>
      <c r="H288">
        <v>9072</v>
      </c>
    </row>
    <row r="289" spans="1:8" x14ac:dyDescent="0.35">
      <c r="A289" s="2">
        <v>45303</v>
      </c>
      <c r="B289" s="7">
        <f t="shared" si="4"/>
        <v>1</v>
      </c>
      <c r="C289" s="7" t="str">
        <f>_xlfn.XLOOKUP(B289,catalogos!$A$2:$A$13,catalogos!$B$2:$B$13)</f>
        <v>January</v>
      </c>
      <c r="D289" t="s">
        <v>7</v>
      </c>
      <c r="E289" t="s">
        <v>12</v>
      </c>
      <c r="F289">
        <v>41</v>
      </c>
      <c r="G289">
        <v>499</v>
      </c>
      <c r="H289">
        <v>20459</v>
      </c>
    </row>
    <row r="290" spans="1:8" x14ac:dyDescent="0.35">
      <c r="A290" s="2">
        <v>45304</v>
      </c>
      <c r="B290" s="7">
        <f t="shared" si="4"/>
        <v>1</v>
      </c>
      <c r="C290" s="7" t="str">
        <f>_xlfn.XLOOKUP(B290,catalogos!$A$2:$A$13,catalogos!$B$2:$B$13)</f>
        <v>January</v>
      </c>
      <c r="D290" t="s">
        <v>8</v>
      </c>
      <c r="E290" t="s">
        <v>13</v>
      </c>
      <c r="F290">
        <v>81</v>
      </c>
      <c r="G290">
        <v>424</v>
      </c>
      <c r="H290">
        <v>34344</v>
      </c>
    </row>
    <row r="291" spans="1:8" x14ac:dyDescent="0.35">
      <c r="A291" s="2">
        <v>45304</v>
      </c>
      <c r="B291" s="7">
        <f t="shared" si="4"/>
        <v>1</v>
      </c>
      <c r="C291" s="7" t="str">
        <f>_xlfn.XLOOKUP(B291,catalogos!$A$2:$A$13,catalogos!$B$2:$B$13)</f>
        <v>January</v>
      </c>
      <c r="D291" t="s">
        <v>10</v>
      </c>
      <c r="E291" t="s">
        <v>11</v>
      </c>
      <c r="F291">
        <v>21</v>
      </c>
      <c r="G291">
        <v>307</v>
      </c>
      <c r="H291">
        <v>6447</v>
      </c>
    </row>
    <row r="292" spans="1:8" x14ac:dyDescent="0.35">
      <c r="A292" s="2">
        <v>45304</v>
      </c>
      <c r="B292" s="7">
        <f t="shared" si="4"/>
        <v>1</v>
      </c>
      <c r="C292" s="7" t="str">
        <f>_xlfn.XLOOKUP(B292,catalogos!$A$2:$A$13,catalogos!$B$2:$B$13)</f>
        <v>January</v>
      </c>
      <c r="D292" t="s">
        <v>8</v>
      </c>
      <c r="E292" t="s">
        <v>13</v>
      </c>
      <c r="F292">
        <v>11</v>
      </c>
      <c r="G292">
        <v>422</v>
      </c>
      <c r="H292">
        <v>4642</v>
      </c>
    </row>
    <row r="293" spans="1:8" x14ac:dyDescent="0.35">
      <c r="A293" s="2">
        <v>45304</v>
      </c>
      <c r="B293" s="7">
        <f t="shared" si="4"/>
        <v>1</v>
      </c>
      <c r="C293" s="7" t="str">
        <f>_xlfn.XLOOKUP(B293,catalogos!$A$2:$A$13,catalogos!$B$2:$B$13)</f>
        <v>January</v>
      </c>
      <c r="D293" t="s">
        <v>9</v>
      </c>
      <c r="E293" t="s">
        <v>13</v>
      </c>
      <c r="F293">
        <v>84</v>
      </c>
      <c r="G293">
        <v>17</v>
      </c>
      <c r="H293">
        <v>1428</v>
      </c>
    </row>
    <row r="294" spans="1:8" x14ac:dyDescent="0.35">
      <c r="A294" s="2">
        <v>45304</v>
      </c>
      <c r="B294" s="7">
        <f t="shared" si="4"/>
        <v>1</v>
      </c>
      <c r="C294" s="7" t="str">
        <f>_xlfn.XLOOKUP(B294,catalogos!$A$2:$A$13,catalogos!$B$2:$B$13)</f>
        <v>January</v>
      </c>
      <c r="D294" t="s">
        <v>10</v>
      </c>
      <c r="E294" t="s">
        <v>12</v>
      </c>
      <c r="F294">
        <v>92</v>
      </c>
      <c r="G294">
        <v>108</v>
      </c>
      <c r="H294">
        <v>9936</v>
      </c>
    </row>
    <row r="295" spans="1:8" x14ac:dyDescent="0.35">
      <c r="A295" s="2">
        <v>45304</v>
      </c>
      <c r="B295" s="7">
        <f t="shared" si="4"/>
        <v>1</v>
      </c>
      <c r="C295" s="7" t="str">
        <f>_xlfn.XLOOKUP(B295,catalogos!$A$2:$A$13,catalogos!$B$2:$B$13)</f>
        <v>January</v>
      </c>
      <c r="D295" t="s">
        <v>10</v>
      </c>
      <c r="E295" t="s">
        <v>12</v>
      </c>
      <c r="F295">
        <v>93</v>
      </c>
      <c r="G295">
        <v>297</v>
      </c>
      <c r="H295">
        <v>27621</v>
      </c>
    </row>
    <row r="296" spans="1:8" x14ac:dyDescent="0.35">
      <c r="A296" s="2">
        <v>45304</v>
      </c>
      <c r="B296" s="7">
        <f t="shared" si="4"/>
        <v>1</v>
      </c>
      <c r="C296" s="7" t="str">
        <f>_xlfn.XLOOKUP(B296,catalogos!$A$2:$A$13,catalogos!$B$2:$B$13)</f>
        <v>January</v>
      </c>
      <c r="D296" t="s">
        <v>8</v>
      </c>
      <c r="E296" t="s">
        <v>14</v>
      </c>
      <c r="F296">
        <v>19</v>
      </c>
      <c r="G296">
        <v>144</v>
      </c>
      <c r="H296">
        <v>2736</v>
      </c>
    </row>
    <row r="297" spans="1:8" x14ac:dyDescent="0.35">
      <c r="A297" s="2">
        <v>45304</v>
      </c>
      <c r="B297" s="7">
        <f t="shared" si="4"/>
        <v>1</v>
      </c>
      <c r="C297" s="7" t="str">
        <f>_xlfn.XLOOKUP(B297,catalogos!$A$2:$A$13,catalogos!$B$2:$B$13)</f>
        <v>January</v>
      </c>
      <c r="D297" t="s">
        <v>7</v>
      </c>
      <c r="E297" t="s">
        <v>13</v>
      </c>
      <c r="F297">
        <v>39</v>
      </c>
      <c r="G297">
        <v>322</v>
      </c>
      <c r="H297">
        <v>12558</v>
      </c>
    </row>
    <row r="298" spans="1:8" x14ac:dyDescent="0.35">
      <c r="A298" s="2">
        <v>45304</v>
      </c>
      <c r="B298" s="7">
        <f t="shared" si="4"/>
        <v>1</v>
      </c>
      <c r="C298" s="7" t="str">
        <f>_xlfn.XLOOKUP(B298,catalogos!$A$2:$A$13,catalogos!$B$2:$B$13)</f>
        <v>January</v>
      </c>
      <c r="D298" t="s">
        <v>7</v>
      </c>
      <c r="E298" t="s">
        <v>12</v>
      </c>
      <c r="F298">
        <v>5</v>
      </c>
      <c r="G298">
        <v>383</v>
      </c>
      <c r="H298">
        <v>1915</v>
      </c>
    </row>
    <row r="299" spans="1:8" x14ac:dyDescent="0.35">
      <c r="A299" s="2">
        <v>45304</v>
      </c>
      <c r="B299" s="7">
        <f t="shared" si="4"/>
        <v>1</v>
      </c>
      <c r="C299" s="7" t="str">
        <f>_xlfn.XLOOKUP(B299,catalogos!$A$2:$A$13,catalogos!$B$2:$B$13)</f>
        <v>January</v>
      </c>
      <c r="D299" t="s">
        <v>10</v>
      </c>
      <c r="E299" t="s">
        <v>11</v>
      </c>
      <c r="F299">
        <v>68</v>
      </c>
      <c r="G299">
        <v>85</v>
      </c>
      <c r="H299">
        <v>5780</v>
      </c>
    </row>
    <row r="300" spans="1:8" x14ac:dyDescent="0.35">
      <c r="A300" s="2">
        <v>45304</v>
      </c>
      <c r="B300" s="7">
        <f t="shared" si="4"/>
        <v>1</v>
      </c>
      <c r="C300" s="7" t="str">
        <f>_xlfn.XLOOKUP(B300,catalogos!$A$2:$A$13,catalogos!$B$2:$B$13)</f>
        <v>January</v>
      </c>
      <c r="D300" t="s">
        <v>9</v>
      </c>
      <c r="E300" t="s">
        <v>13</v>
      </c>
      <c r="F300">
        <v>32</v>
      </c>
      <c r="G300">
        <v>159</v>
      </c>
      <c r="H300">
        <v>5088</v>
      </c>
    </row>
    <row r="301" spans="1:8" x14ac:dyDescent="0.35">
      <c r="A301" s="2">
        <v>45304</v>
      </c>
      <c r="B301" s="7">
        <f t="shared" si="4"/>
        <v>1</v>
      </c>
      <c r="C301" s="7" t="str">
        <f>_xlfn.XLOOKUP(B301,catalogos!$A$2:$A$13,catalogos!$B$2:$B$13)</f>
        <v>January</v>
      </c>
      <c r="D301" t="s">
        <v>8</v>
      </c>
      <c r="E301" t="s">
        <v>12</v>
      </c>
      <c r="F301">
        <v>7</v>
      </c>
      <c r="G301">
        <v>23</v>
      </c>
      <c r="H301">
        <v>161</v>
      </c>
    </row>
    <row r="302" spans="1:8" x14ac:dyDescent="0.35">
      <c r="A302" s="2">
        <v>45304</v>
      </c>
      <c r="B302" s="7">
        <f t="shared" si="4"/>
        <v>1</v>
      </c>
      <c r="C302" s="7" t="str">
        <f>_xlfn.XLOOKUP(B302,catalogos!$A$2:$A$13,catalogos!$B$2:$B$13)</f>
        <v>January</v>
      </c>
      <c r="D302" t="s">
        <v>6</v>
      </c>
      <c r="E302" t="s">
        <v>14</v>
      </c>
      <c r="F302">
        <v>27</v>
      </c>
      <c r="G302">
        <v>488</v>
      </c>
      <c r="H302">
        <v>13176</v>
      </c>
    </row>
    <row r="303" spans="1:8" x14ac:dyDescent="0.35">
      <c r="A303" s="2">
        <v>45304</v>
      </c>
      <c r="B303" s="7">
        <f t="shared" si="4"/>
        <v>1</v>
      </c>
      <c r="C303" s="7" t="str">
        <f>_xlfn.XLOOKUP(B303,catalogos!$A$2:$A$13,catalogos!$B$2:$B$13)</f>
        <v>January</v>
      </c>
      <c r="D303" t="s">
        <v>9</v>
      </c>
      <c r="E303" t="s">
        <v>15</v>
      </c>
      <c r="F303">
        <v>15</v>
      </c>
      <c r="G303">
        <v>99</v>
      </c>
      <c r="H303">
        <v>1485</v>
      </c>
    </row>
    <row r="304" spans="1:8" x14ac:dyDescent="0.35">
      <c r="A304" s="2">
        <v>45304</v>
      </c>
      <c r="B304" s="7">
        <f t="shared" si="4"/>
        <v>1</v>
      </c>
      <c r="C304" s="7" t="str">
        <f>_xlfn.XLOOKUP(B304,catalogos!$A$2:$A$13,catalogos!$B$2:$B$13)</f>
        <v>January</v>
      </c>
      <c r="D304" t="s">
        <v>10</v>
      </c>
      <c r="E304" t="s">
        <v>11</v>
      </c>
      <c r="F304">
        <v>65</v>
      </c>
      <c r="G304">
        <v>428</v>
      </c>
      <c r="H304">
        <v>27820</v>
      </c>
    </row>
    <row r="305" spans="1:8" x14ac:dyDescent="0.35">
      <c r="A305" s="2">
        <v>45304</v>
      </c>
      <c r="B305" s="7">
        <f t="shared" si="4"/>
        <v>1</v>
      </c>
      <c r="C305" s="7" t="str">
        <f>_xlfn.XLOOKUP(B305,catalogos!$A$2:$A$13,catalogos!$B$2:$B$13)</f>
        <v>January</v>
      </c>
      <c r="D305" t="s">
        <v>9</v>
      </c>
      <c r="E305" t="s">
        <v>12</v>
      </c>
      <c r="F305">
        <v>20</v>
      </c>
      <c r="G305">
        <v>438</v>
      </c>
      <c r="H305">
        <v>8760</v>
      </c>
    </row>
    <row r="306" spans="1:8" x14ac:dyDescent="0.35">
      <c r="A306" s="2">
        <v>45304</v>
      </c>
      <c r="B306" s="7">
        <f t="shared" si="4"/>
        <v>1</v>
      </c>
      <c r="C306" s="7" t="str">
        <f>_xlfn.XLOOKUP(B306,catalogos!$A$2:$A$13,catalogos!$B$2:$B$13)</f>
        <v>January</v>
      </c>
      <c r="D306" t="s">
        <v>7</v>
      </c>
      <c r="E306" t="s">
        <v>13</v>
      </c>
      <c r="F306">
        <v>45</v>
      </c>
      <c r="G306">
        <v>261</v>
      </c>
      <c r="H306">
        <v>11745</v>
      </c>
    </row>
    <row r="307" spans="1:8" x14ac:dyDescent="0.35">
      <c r="A307" s="2">
        <v>45304</v>
      </c>
      <c r="B307" s="7">
        <f t="shared" si="4"/>
        <v>1</v>
      </c>
      <c r="C307" s="7" t="str">
        <f>_xlfn.XLOOKUP(B307,catalogos!$A$2:$A$13,catalogos!$B$2:$B$13)</f>
        <v>January</v>
      </c>
      <c r="D307" t="s">
        <v>7</v>
      </c>
      <c r="E307" t="s">
        <v>12</v>
      </c>
      <c r="F307">
        <v>16</v>
      </c>
      <c r="G307">
        <v>388</v>
      </c>
      <c r="H307">
        <v>6208</v>
      </c>
    </row>
    <row r="308" spans="1:8" x14ac:dyDescent="0.35">
      <c r="A308" s="2">
        <v>45304</v>
      </c>
      <c r="B308" s="7">
        <f t="shared" si="4"/>
        <v>1</v>
      </c>
      <c r="C308" s="7" t="str">
        <f>_xlfn.XLOOKUP(B308,catalogos!$A$2:$A$13,catalogos!$B$2:$B$13)</f>
        <v>January</v>
      </c>
      <c r="D308" t="s">
        <v>6</v>
      </c>
      <c r="E308" t="s">
        <v>11</v>
      </c>
      <c r="F308">
        <v>35</v>
      </c>
      <c r="G308">
        <v>21</v>
      </c>
      <c r="H308">
        <v>735</v>
      </c>
    </row>
    <row r="309" spans="1:8" x14ac:dyDescent="0.35">
      <c r="A309" s="2">
        <v>45304</v>
      </c>
      <c r="B309" s="7">
        <f t="shared" si="4"/>
        <v>1</v>
      </c>
      <c r="C309" s="7" t="str">
        <f>_xlfn.XLOOKUP(B309,catalogos!$A$2:$A$13,catalogos!$B$2:$B$13)</f>
        <v>January</v>
      </c>
      <c r="D309" t="s">
        <v>6</v>
      </c>
      <c r="E309" t="s">
        <v>13</v>
      </c>
      <c r="F309">
        <v>90</v>
      </c>
      <c r="G309">
        <v>157</v>
      </c>
      <c r="H309">
        <v>14130</v>
      </c>
    </row>
    <row r="310" spans="1:8" x14ac:dyDescent="0.35">
      <c r="A310" s="2">
        <v>45304</v>
      </c>
      <c r="B310" s="7">
        <f t="shared" si="4"/>
        <v>1</v>
      </c>
      <c r="C310" s="7" t="str">
        <f>_xlfn.XLOOKUP(B310,catalogos!$A$2:$A$13,catalogos!$B$2:$B$13)</f>
        <v>January</v>
      </c>
      <c r="D310" t="s">
        <v>8</v>
      </c>
      <c r="E310" t="s">
        <v>12</v>
      </c>
      <c r="F310">
        <v>57</v>
      </c>
      <c r="G310">
        <v>137</v>
      </c>
      <c r="H310">
        <v>7809</v>
      </c>
    </row>
    <row r="311" spans="1:8" x14ac:dyDescent="0.35">
      <c r="A311" s="2">
        <v>45304</v>
      </c>
      <c r="B311" s="7">
        <f t="shared" si="4"/>
        <v>1</v>
      </c>
      <c r="C311" s="7" t="str">
        <f>_xlfn.XLOOKUP(B311,catalogos!$A$2:$A$13,catalogos!$B$2:$B$13)</f>
        <v>January</v>
      </c>
      <c r="D311" t="s">
        <v>7</v>
      </c>
      <c r="E311" t="s">
        <v>13</v>
      </c>
      <c r="F311">
        <v>15</v>
      </c>
      <c r="G311">
        <v>54</v>
      </c>
      <c r="H311">
        <v>810</v>
      </c>
    </row>
    <row r="312" spans="1:8" x14ac:dyDescent="0.35">
      <c r="A312" s="2">
        <v>45304</v>
      </c>
      <c r="B312" s="7">
        <f t="shared" si="4"/>
        <v>1</v>
      </c>
      <c r="C312" s="7" t="str">
        <f>_xlfn.XLOOKUP(B312,catalogos!$A$2:$A$13,catalogos!$B$2:$B$13)</f>
        <v>January</v>
      </c>
      <c r="D312" t="s">
        <v>10</v>
      </c>
      <c r="E312" t="s">
        <v>12</v>
      </c>
      <c r="F312">
        <v>12</v>
      </c>
      <c r="G312">
        <v>97</v>
      </c>
      <c r="H312">
        <v>1164</v>
      </c>
    </row>
    <row r="313" spans="1:8" x14ac:dyDescent="0.35">
      <c r="A313" s="2">
        <v>45304</v>
      </c>
      <c r="B313" s="7">
        <f t="shared" si="4"/>
        <v>1</v>
      </c>
      <c r="C313" s="7" t="str">
        <f>_xlfn.XLOOKUP(B313,catalogos!$A$2:$A$13,catalogos!$B$2:$B$13)</f>
        <v>January</v>
      </c>
      <c r="D313" t="s">
        <v>7</v>
      </c>
      <c r="E313" t="s">
        <v>13</v>
      </c>
      <c r="F313">
        <v>81</v>
      </c>
      <c r="G313">
        <v>158</v>
      </c>
      <c r="H313">
        <v>12798</v>
      </c>
    </row>
    <row r="314" spans="1:8" x14ac:dyDescent="0.35">
      <c r="A314" s="2">
        <v>45305</v>
      </c>
      <c r="B314" s="7">
        <f t="shared" si="4"/>
        <v>1</v>
      </c>
      <c r="C314" s="7" t="str">
        <f>_xlfn.XLOOKUP(B314,catalogos!$A$2:$A$13,catalogos!$B$2:$B$13)</f>
        <v>January</v>
      </c>
      <c r="D314" t="s">
        <v>7</v>
      </c>
      <c r="E314" t="s">
        <v>15</v>
      </c>
      <c r="F314">
        <v>2</v>
      </c>
      <c r="G314">
        <v>422</v>
      </c>
      <c r="H314">
        <v>844</v>
      </c>
    </row>
    <row r="315" spans="1:8" x14ac:dyDescent="0.35">
      <c r="A315" s="2">
        <v>45305</v>
      </c>
      <c r="B315" s="7">
        <f t="shared" si="4"/>
        <v>1</v>
      </c>
      <c r="C315" s="7" t="str">
        <f>_xlfn.XLOOKUP(B315,catalogos!$A$2:$A$13,catalogos!$B$2:$B$13)</f>
        <v>January</v>
      </c>
      <c r="D315" t="s">
        <v>10</v>
      </c>
      <c r="E315" t="s">
        <v>15</v>
      </c>
      <c r="F315">
        <v>47</v>
      </c>
      <c r="G315">
        <v>115</v>
      </c>
      <c r="H315">
        <v>5405</v>
      </c>
    </row>
    <row r="316" spans="1:8" x14ac:dyDescent="0.35">
      <c r="A316" s="2">
        <v>45305</v>
      </c>
      <c r="B316" s="7">
        <f t="shared" si="4"/>
        <v>1</v>
      </c>
      <c r="C316" s="7" t="str">
        <f>_xlfn.XLOOKUP(B316,catalogos!$A$2:$A$13,catalogos!$B$2:$B$13)</f>
        <v>January</v>
      </c>
      <c r="D316" t="s">
        <v>7</v>
      </c>
      <c r="E316" t="s">
        <v>13</v>
      </c>
      <c r="F316">
        <v>24</v>
      </c>
      <c r="G316">
        <v>295</v>
      </c>
      <c r="H316">
        <v>7080</v>
      </c>
    </row>
    <row r="317" spans="1:8" x14ac:dyDescent="0.35">
      <c r="A317" s="2">
        <v>45305</v>
      </c>
      <c r="B317" s="7">
        <f t="shared" si="4"/>
        <v>1</v>
      </c>
      <c r="C317" s="7" t="str">
        <f>_xlfn.XLOOKUP(B317,catalogos!$A$2:$A$13,catalogos!$B$2:$B$13)</f>
        <v>January</v>
      </c>
      <c r="D317" t="s">
        <v>10</v>
      </c>
      <c r="E317" t="s">
        <v>13</v>
      </c>
      <c r="F317">
        <v>97</v>
      </c>
      <c r="G317">
        <v>105</v>
      </c>
      <c r="H317">
        <v>10185</v>
      </c>
    </row>
    <row r="318" spans="1:8" x14ac:dyDescent="0.35">
      <c r="A318" s="2">
        <v>45305</v>
      </c>
      <c r="B318" s="7">
        <f t="shared" si="4"/>
        <v>1</v>
      </c>
      <c r="C318" s="7" t="str">
        <f>_xlfn.XLOOKUP(B318,catalogos!$A$2:$A$13,catalogos!$B$2:$B$13)</f>
        <v>January</v>
      </c>
      <c r="D318" t="s">
        <v>6</v>
      </c>
      <c r="E318" t="s">
        <v>15</v>
      </c>
      <c r="F318">
        <v>75</v>
      </c>
      <c r="G318">
        <v>167</v>
      </c>
      <c r="H318">
        <v>12525</v>
      </c>
    </row>
    <row r="319" spans="1:8" x14ac:dyDescent="0.35">
      <c r="A319" s="2">
        <v>45305</v>
      </c>
      <c r="B319" s="7">
        <f t="shared" si="4"/>
        <v>1</v>
      </c>
      <c r="C319" s="7" t="str">
        <f>_xlfn.XLOOKUP(B319,catalogos!$A$2:$A$13,catalogos!$B$2:$B$13)</f>
        <v>January</v>
      </c>
      <c r="D319" t="s">
        <v>10</v>
      </c>
      <c r="E319" t="s">
        <v>15</v>
      </c>
      <c r="F319">
        <v>80</v>
      </c>
      <c r="G319">
        <v>236</v>
      </c>
      <c r="H319">
        <v>18880</v>
      </c>
    </row>
    <row r="320" spans="1:8" x14ac:dyDescent="0.35">
      <c r="A320" s="2">
        <v>45305</v>
      </c>
      <c r="B320" s="7">
        <f t="shared" si="4"/>
        <v>1</v>
      </c>
      <c r="C320" s="7" t="str">
        <f>_xlfn.XLOOKUP(B320,catalogos!$A$2:$A$13,catalogos!$B$2:$B$13)</f>
        <v>January</v>
      </c>
      <c r="D320" t="s">
        <v>6</v>
      </c>
      <c r="E320" t="s">
        <v>15</v>
      </c>
      <c r="F320">
        <v>79</v>
      </c>
      <c r="G320">
        <v>136</v>
      </c>
      <c r="H320">
        <v>10744</v>
      </c>
    </row>
    <row r="321" spans="1:8" x14ac:dyDescent="0.35">
      <c r="A321" s="2">
        <v>45305</v>
      </c>
      <c r="B321" s="7">
        <f t="shared" si="4"/>
        <v>1</v>
      </c>
      <c r="C321" s="7" t="str">
        <f>_xlfn.XLOOKUP(B321,catalogos!$A$2:$A$13,catalogos!$B$2:$B$13)</f>
        <v>January</v>
      </c>
      <c r="D321" t="s">
        <v>7</v>
      </c>
      <c r="E321" t="s">
        <v>14</v>
      </c>
      <c r="F321">
        <v>10</v>
      </c>
      <c r="G321">
        <v>372</v>
      </c>
      <c r="H321">
        <v>3720</v>
      </c>
    </row>
    <row r="322" spans="1:8" x14ac:dyDescent="0.35">
      <c r="A322" s="2">
        <v>45305</v>
      </c>
      <c r="B322" s="7">
        <f t="shared" si="4"/>
        <v>1</v>
      </c>
      <c r="C322" s="7" t="str">
        <f>_xlfn.XLOOKUP(B322,catalogos!$A$2:$A$13,catalogos!$B$2:$B$13)</f>
        <v>January</v>
      </c>
      <c r="D322" t="s">
        <v>7</v>
      </c>
      <c r="E322" t="s">
        <v>13</v>
      </c>
      <c r="F322">
        <v>33</v>
      </c>
      <c r="G322">
        <v>113</v>
      </c>
      <c r="H322">
        <v>3729</v>
      </c>
    </row>
    <row r="323" spans="1:8" x14ac:dyDescent="0.35">
      <c r="A323" s="2">
        <v>45305</v>
      </c>
      <c r="B323" s="7">
        <f t="shared" ref="B323:B386" si="5">MONTH(A323)</f>
        <v>1</v>
      </c>
      <c r="C323" s="7" t="str">
        <f>_xlfn.XLOOKUP(B323,catalogos!$A$2:$A$13,catalogos!$B$2:$B$13)</f>
        <v>January</v>
      </c>
      <c r="D323" t="s">
        <v>9</v>
      </c>
      <c r="E323" t="s">
        <v>12</v>
      </c>
      <c r="F323">
        <v>66</v>
      </c>
      <c r="G323">
        <v>431</v>
      </c>
      <c r="H323">
        <v>28446</v>
      </c>
    </row>
    <row r="324" spans="1:8" x14ac:dyDescent="0.35">
      <c r="A324" s="2">
        <v>45305</v>
      </c>
      <c r="B324" s="7">
        <f t="shared" si="5"/>
        <v>1</v>
      </c>
      <c r="C324" s="7" t="str">
        <f>_xlfn.XLOOKUP(B324,catalogos!$A$2:$A$13,catalogos!$B$2:$B$13)</f>
        <v>January</v>
      </c>
      <c r="D324" t="s">
        <v>10</v>
      </c>
      <c r="E324" t="s">
        <v>11</v>
      </c>
      <c r="F324">
        <v>13</v>
      </c>
      <c r="G324">
        <v>276</v>
      </c>
      <c r="H324">
        <v>3588</v>
      </c>
    </row>
    <row r="325" spans="1:8" x14ac:dyDescent="0.35">
      <c r="A325" s="2">
        <v>45305</v>
      </c>
      <c r="B325" s="7">
        <f t="shared" si="5"/>
        <v>1</v>
      </c>
      <c r="C325" s="7" t="str">
        <f>_xlfn.XLOOKUP(B325,catalogos!$A$2:$A$13,catalogos!$B$2:$B$13)</f>
        <v>January</v>
      </c>
      <c r="D325" t="s">
        <v>6</v>
      </c>
      <c r="E325" t="s">
        <v>14</v>
      </c>
      <c r="F325">
        <v>54</v>
      </c>
      <c r="G325">
        <v>368</v>
      </c>
      <c r="H325">
        <v>19872</v>
      </c>
    </row>
    <row r="326" spans="1:8" x14ac:dyDescent="0.35">
      <c r="A326" s="2">
        <v>45305</v>
      </c>
      <c r="B326" s="7">
        <f t="shared" si="5"/>
        <v>1</v>
      </c>
      <c r="C326" s="7" t="str">
        <f>_xlfn.XLOOKUP(B326,catalogos!$A$2:$A$13,catalogos!$B$2:$B$13)</f>
        <v>January</v>
      </c>
      <c r="D326" t="s">
        <v>6</v>
      </c>
      <c r="E326" t="s">
        <v>12</v>
      </c>
      <c r="F326">
        <v>22</v>
      </c>
      <c r="G326">
        <v>495</v>
      </c>
      <c r="H326">
        <v>10890</v>
      </c>
    </row>
    <row r="327" spans="1:8" x14ac:dyDescent="0.35">
      <c r="A327" s="2">
        <v>45305</v>
      </c>
      <c r="B327" s="7">
        <f t="shared" si="5"/>
        <v>1</v>
      </c>
      <c r="C327" s="7" t="str">
        <f>_xlfn.XLOOKUP(B327,catalogos!$A$2:$A$13,catalogos!$B$2:$B$13)</f>
        <v>January</v>
      </c>
      <c r="D327" t="s">
        <v>8</v>
      </c>
      <c r="E327" t="s">
        <v>14</v>
      </c>
      <c r="F327">
        <v>33</v>
      </c>
      <c r="G327">
        <v>190</v>
      </c>
      <c r="H327">
        <v>6270</v>
      </c>
    </row>
    <row r="328" spans="1:8" x14ac:dyDescent="0.35">
      <c r="A328" s="2">
        <v>45305</v>
      </c>
      <c r="B328" s="7">
        <f t="shared" si="5"/>
        <v>1</v>
      </c>
      <c r="C328" s="7" t="str">
        <f>_xlfn.XLOOKUP(B328,catalogos!$A$2:$A$13,catalogos!$B$2:$B$13)</f>
        <v>January</v>
      </c>
      <c r="D328" t="s">
        <v>6</v>
      </c>
      <c r="E328" t="s">
        <v>13</v>
      </c>
      <c r="F328">
        <v>47</v>
      </c>
      <c r="G328">
        <v>70</v>
      </c>
      <c r="H328">
        <v>3290</v>
      </c>
    </row>
    <row r="329" spans="1:8" x14ac:dyDescent="0.35">
      <c r="A329" s="2">
        <v>45305</v>
      </c>
      <c r="B329" s="7">
        <f t="shared" si="5"/>
        <v>1</v>
      </c>
      <c r="C329" s="7" t="str">
        <f>_xlfn.XLOOKUP(B329,catalogos!$A$2:$A$13,catalogos!$B$2:$B$13)</f>
        <v>January</v>
      </c>
      <c r="D329" t="s">
        <v>9</v>
      </c>
      <c r="E329" t="s">
        <v>14</v>
      </c>
      <c r="F329">
        <v>43</v>
      </c>
      <c r="G329">
        <v>417</v>
      </c>
      <c r="H329">
        <v>17931</v>
      </c>
    </row>
    <row r="330" spans="1:8" x14ac:dyDescent="0.35">
      <c r="A330" s="2">
        <v>45305</v>
      </c>
      <c r="B330" s="7">
        <f t="shared" si="5"/>
        <v>1</v>
      </c>
      <c r="C330" s="7" t="str">
        <f>_xlfn.XLOOKUP(B330,catalogos!$A$2:$A$13,catalogos!$B$2:$B$13)</f>
        <v>January</v>
      </c>
      <c r="D330" t="s">
        <v>9</v>
      </c>
      <c r="E330" t="s">
        <v>14</v>
      </c>
      <c r="F330">
        <v>70</v>
      </c>
      <c r="G330">
        <v>343</v>
      </c>
      <c r="H330">
        <v>24010</v>
      </c>
    </row>
    <row r="331" spans="1:8" x14ac:dyDescent="0.35">
      <c r="A331" s="2">
        <v>45305</v>
      </c>
      <c r="B331" s="7">
        <f t="shared" si="5"/>
        <v>1</v>
      </c>
      <c r="C331" s="7" t="str">
        <f>_xlfn.XLOOKUP(B331,catalogos!$A$2:$A$13,catalogos!$B$2:$B$13)</f>
        <v>January</v>
      </c>
      <c r="D331" t="s">
        <v>6</v>
      </c>
      <c r="E331" t="s">
        <v>11</v>
      </c>
      <c r="F331">
        <v>29</v>
      </c>
      <c r="G331">
        <v>424</v>
      </c>
      <c r="H331">
        <v>12296</v>
      </c>
    </row>
    <row r="332" spans="1:8" x14ac:dyDescent="0.35">
      <c r="A332" s="2">
        <v>45305</v>
      </c>
      <c r="B332" s="7">
        <f t="shared" si="5"/>
        <v>1</v>
      </c>
      <c r="C332" s="7" t="str">
        <f>_xlfn.XLOOKUP(B332,catalogos!$A$2:$A$13,catalogos!$B$2:$B$13)</f>
        <v>January</v>
      </c>
      <c r="D332" t="s">
        <v>6</v>
      </c>
      <c r="E332" t="s">
        <v>15</v>
      </c>
      <c r="F332">
        <v>97</v>
      </c>
      <c r="G332">
        <v>387</v>
      </c>
      <c r="H332">
        <v>37539</v>
      </c>
    </row>
    <row r="333" spans="1:8" x14ac:dyDescent="0.35">
      <c r="A333" s="2">
        <v>45305</v>
      </c>
      <c r="B333" s="7">
        <f t="shared" si="5"/>
        <v>1</v>
      </c>
      <c r="C333" s="7" t="str">
        <f>_xlfn.XLOOKUP(B333,catalogos!$A$2:$A$13,catalogos!$B$2:$B$13)</f>
        <v>January</v>
      </c>
      <c r="D333" t="s">
        <v>10</v>
      </c>
      <c r="E333" t="s">
        <v>12</v>
      </c>
      <c r="F333">
        <v>37</v>
      </c>
      <c r="G333">
        <v>409</v>
      </c>
      <c r="H333">
        <v>15133</v>
      </c>
    </row>
    <row r="334" spans="1:8" x14ac:dyDescent="0.35">
      <c r="A334" s="2">
        <v>45305</v>
      </c>
      <c r="B334" s="7">
        <f t="shared" si="5"/>
        <v>1</v>
      </c>
      <c r="C334" s="7" t="str">
        <f>_xlfn.XLOOKUP(B334,catalogos!$A$2:$A$13,catalogos!$B$2:$B$13)</f>
        <v>January</v>
      </c>
      <c r="D334" t="s">
        <v>9</v>
      </c>
      <c r="E334" t="s">
        <v>11</v>
      </c>
      <c r="F334">
        <v>18</v>
      </c>
      <c r="G334">
        <v>402</v>
      </c>
      <c r="H334">
        <v>7236</v>
      </c>
    </row>
    <row r="335" spans="1:8" x14ac:dyDescent="0.35">
      <c r="A335" s="2">
        <v>45305</v>
      </c>
      <c r="B335" s="7">
        <f t="shared" si="5"/>
        <v>1</v>
      </c>
      <c r="C335" s="7" t="str">
        <f>_xlfn.XLOOKUP(B335,catalogos!$A$2:$A$13,catalogos!$B$2:$B$13)</f>
        <v>January</v>
      </c>
      <c r="D335" t="s">
        <v>8</v>
      </c>
      <c r="E335" t="s">
        <v>13</v>
      </c>
      <c r="F335">
        <v>26</v>
      </c>
      <c r="G335">
        <v>466</v>
      </c>
      <c r="H335">
        <v>12116</v>
      </c>
    </row>
    <row r="336" spans="1:8" x14ac:dyDescent="0.35">
      <c r="A336" s="2">
        <v>45305</v>
      </c>
      <c r="B336" s="7">
        <f t="shared" si="5"/>
        <v>1</v>
      </c>
      <c r="C336" s="7" t="str">
        <f>_xlfn.XLOOKUP(B336,catalogos!$A$2:$A$13,catalogos!$B$2:$B$13)</f>
        <v>January</v>
      </c>
      <c r="D336" t="s">
        <v>6</v>
      </c>
      <c r="E336" t="s">
        <v>12</v>
      </c>
      <c r="F336">
        <v>24</v>
      </c>
      <c r="G336">
        <v>324</v>
      </c>
      <c r="H336">
        <v>7776</v>
      </c>
    </row>
    <row r="337" spans="1:8" x14ac:dyDescent="0.35">
      <c r="A337" s="2">
        <v>45305</v>
      </c>
      <c r="B337" s="7">
        <f t="shared" si="5"/>
        <v>1</v>
      </c>
      <c r="C337" s="7" t="str">
        <f>_xlfn.XLOOKUP(B337,catalogos!$A$2:$A$13,catalogos!$B$2:$B$13)</f>
        <v>January</v>
      </c>
      <c r="D337" t="s">
        <v>8</v>
      </c>
      <c r="E337" t="s">
        <v>14</v>
      </c>
      <c r="F337">
        <v>20</v>
      </c>
      <c r="G337">
        <v>37</v>
      </c>
      <c r="H337">
        <v>740</v>
      </c>
    </row>
    <row r="338" spans="1:8" x14ac:dyDescent="0.35">
      <c r="A338" s="2">
        <v>45306</v>
      </c>
      <c r="B338" s="7">
        <f t="shared" si="5"/>
        <v>1</v>
      </c>
      <c r="C338" s="7" t="str">
        <f>_xlfn.XLOOKUP(B338,catalogos!$A$2:$A$13,catalogos!$B$2:$B$13)</f>
        <v>January</v>
      </c>
      <c r="D338" t="s">
        <v>10</v>
      </c>
      <c r="E338" t="s">
        <v>14</v>
      </c>
      <c r="F338">
        <v>66</v>
      </c>
      <c r="G338">
        <v>41</v>
      </c>
      <c r="H338">
        <v>2706</v>
      </c>
    </row>
    <row r="339" spans="1:8" x14ac:dyDescent="0.35">
      <c r="A339" s="2">
        <v>45306</v>
      </c>
      <c r="B339" s="7">
        <f t="shared" si="5"/>
        <v>1</v>
      </c>
      <c r="C339" s="7" t="str">
        <f>_xlfn.XLOOKUP(B339,catalogos!$A$2:$A$13,catalogos!$B$2:$B$13)</f>
        <v>January</v>
      </c>
      <c r="D339" t="s">
        <v>10</v>
      </c>
      <c r="E339" t="s">
        <v>15</v>
      </c>
      <c r="F339">
        <v>3</v>
      </c>
      <c r="G339">
        <v>361</v>
      </c>
      <c r="H339">
        <v>1083</v>
      </c>
    </row>
    <row r="340" spans="1:8" x14ac:dyDescent="0.35">
      <c r="A340" s="2">
        <v>45306</v>
      </c>
      <c r="B340" s="7">
        <f t="shared" si="5"/>
        <v>1</v>
      </c>
      <c r="C340" s="7" t="str">
        <f>_xlfn.XLOOKUP(B340,catalogos!$A$2:$A$13,catalogos!$B$2:$B$13)</f>
        <v>January</v>
      </c>
      <c r="D340" t="s">
        <v>9</v>
      </c>
      <c r="E340" t="s">
        <v>14</v>
      </c>
      <c r="F340">
        <v>37</v>
      </c>
      <c r="G340">
        <v>168</v>
      </c>
      <c r="H340">
        <v>6216</v>
      </c>
    </row>
    <row r="341" spans="1:8" x14ac:dyDescent="0.35">
      <c r="A341" s="2">
        <v>45306</v>
      </c>
      <c r="B341" s="7">
        <f t="shared" si="5"/>
        <v>1</v>
      </c>
      <c r="C341" s="7" t="str">
        <f>_xlfn.XLOOKUP(B341,catalogos!$A$2:$A$13,catalogos!$B$2:$B$13)</f>
        <v>January</v>
      </c>
      <c r="D341" t="s">
        <v>10</v>
      </c>
      <c r="E341" t="s">
        <v>13</v>
      </c>
      <c r="F341">
        <v>18</v>
      </c>
      <c r="G341">
        <v>169</v>
      </c>
      <c r="H341">
        <v>3042</v>
      </c>
    </row>
    <row r="342" spans="1:8" x14ac:dyDescent="0.35">
      <c r="A342" s="2">
        <v>45306</v>
      </c>
      <c r="B342" s="7">
        <f t="shared" si="5"/>
        <v>1</v>
      </c>
      <c r="C342" s="7" t="str">
        <f>_xlfn.XLOOKUP(B342,catalogos!$A$2:$A$13,catalogos!$B$2:$B$13)</f>
        <v>January</v>
      </c>
      <c r="D342" t="s">
        <v>7</v>
      </c>
      <c r="E342" t="s">
        <v>11</v>
      </c>
      <c r="F342">
        <v>24</v>
      </c>
      <c r="G342">
        <v>245</v>
      </c>
      <c r="H342">
        <v>5880</v>
      </c>
    </row>
    <row r="343" spans="1:8" x14ac:dyDescent="0.35">
      <c r="A343" s="2">
        <v>45306</v>
      </c>
      <c r="B343" s="7">
        <f t="shared" si="5"/>
        <v>1</v>
      </c>
      <c r="C343" s="7" t="str">
        <f>_xlfn.XLOOKUP(B343,catalogos!$A$2:$A$13,catalogos!$B$2:$B$13)</f>
        <v>January</v>
      </c>
      <c r="D343" t="s">
        <v>8</v>
      </c>
      <c r="E343" t="s">
        <v>11</v>
      </c>
      <c r="F343">
        <v>70</v>
      </c>
      <c r="G343">
        <v>104</v>
      </c>
      <c r="H343">
        <v>7280</v>
      </c>
    </row>
    <row r="344" spans="1:8" x14ac:dyDescent="0.35">
      <c r="A344" s="2">
        <v>45306</v>
      </c>
      <c r="B344" s="7">
        <f t="shared" si="5"/>
        <v>1</v>
      </c>
      <c r="C344" s="7" t="str">
        <f>_xlfn.XLOOKUP(B344,catalogos!$A$2:$A$13,catalogos!$B$2:$B$13)</f>
        <v>January</v>
      </c>
      <c r="D344" t="s">
        <v>6</v>
      </c>
      <c r="E344" t="s">
        <v>15</v>
      </c>
      <c r="F344">
        <v>8</v>
      </c>
      <c r="G344">
        <v>342</v>
      </c>
      <c r="H344">
        <v>2736</v>
      </c>
    </row>
    <row r="345" spans="1:8" x14ac:dyDescent="0.35">
      <c r="A345" s="2">
        <v>45306</v>
      </c>
      <c r="B345" s="7">
        <f t="shared" si="5"/>
        <v>1</v>
      </c>
      <c r="C345" s="7" t="str">
        <f>_xlfn.XLOOKUP(B345,catalogos!$A$2:$A$13,catalogos!$B$2:$B$13)</f>
        <v>January</v>
      </c>
      <c r="D345" t="s">
        <v>8</v>
      </c>
      <c r="E345" t="s">
        <v>11</v>
      </c>
      <c r="F345">
        <v>57</v>
      </c>
      <c r="G345">
        <v>469</v>
      </c>
      <c r="H345">
        <v>26733</v>
      </c>
    </row>
    <row r="346" spans="1:8" x14ac:dyDescent="0.35">
      <c r="A346" s="2">
        <v>45306</v>
      </c>
      <c r="B346" s="7">
        <f t="shared" si="5"/>
        <v>1</v>
      </c>
      <c r="C346" s="7" t="str">
        <f>_xlfn.XLOOKUP(B346,catalogos!$A$2:$A$13,catalogos!$B$2:$B$13)</f>
        <v>January</v>
      </c>
      <c r="D346" t="s">
        <v>9</v>
      </c>
      <c r="E346" t="s">
        <v>11</v>
      </c>
      <c r="F346">
        <v>24</v>
      </c>
      <c r="G346">
        <v>246</v>
      </c>
      <c r="H346">
        <v>5904</v>
      </c>
    </row>
    <row r="347" spans="1:8" x14ac:dyDescent="0.35">
      <c r="A347" s="2">
        <v>45306</v>
      </c>
      <c r="B347" s="7">
        <f t="shared" si="5"/>
        <v>1</v>
      </c>
      <c r="C347" s="7" t="str">
        <f>_xlfn.XLOOKUP(B347,catalogos!$A$2:$A$13,catalogos!$B$2:$B$13)</f>
        <v>January</v>
      </c>
      <c r="D347" t="s">
        <v>6</v>
      </c>
      <c r="E347" t="s">
        <v>14</v>
      </c>
      <c r="F347">
        <v>21</v>
      </c>
      <c r="G347">
        <v>130</v>
      </c>
      <c r="H347">
        <v>2730</v>
      </c>
    </row>
    <row r="348" spans="1:8" x14ac:dyDescent="0.35">
      <c r="A348" s="2">
        <v>45306</v>
      </c>
      <c r="B348" s="7">
        <f t="shared" si="5"/>
        <v>1</v>
      </c>
      <c r="C348" s="7" t="str">
        <f>_xlfn.XLOOKUP(B348,catalogos!$A$2:$A$13,catalogos!$B$2:$B$13)</f>
        <v>January</v>
      </c>
      <c r="D348" t="s">
        <v>9</v>
      </c>
      <c r="E348" t="s">
        <v>13</v>
      </c>
      <c r="F348">
        <v>5</v>
      </c>
      <c r="G348">
        <v>402</v>
      </c>
      <c r="H348">
        <v>2010</v>
      </c>
    </row>
    <row r="349" spans="1:8" x14ac:dyDescent="0.35">
      <c r="A349" s="2">
        <v>45306</v>
      </c>
      <c r="B349" s="7">
        <f t="shared" si="5"/>
        <v>1</v>
      </c>
      <c r="C349" s="7" t="str">
        <f>_xlfn.XLOOKUP(B349,catalogos!$A$2:$A$13,catalogos!$B$2:$B$13)</f>
        <v>January</v>
      </c>
      <c r="D349" t="s">
        <v>10</v>
      </c>
      <c r="E349" t="s">
        <v>14</v>
      </c>
      <c r="F349">
        <v>1</v>
      </c>
      <c r="G349">
        <v>263</v>
      </c>
      <c r="H349">
        <v>263</v>
      </c>
    </row>
    <row r="350" spans="1:8" x14ac:dyDescent="0.35">
      <c r="A350" s="2">
        <v>45306</v>
      </c>
      <c r="B350" s="7">
        <f t="shared" si="5"/>
        <v>1</v>
      </c>
      <c r="C350" s="7" t="str">
        <f>_xlfn.XLOOKUP(B350,catalogos!$A$2:$A$13,catalogos!$B$2:$B$13)</f>
        <v>January</v>
      </c>
      <c r="D350" t="s">
        <v>6</v>
      </c>
      <c r="E350" t="s">
        <v>14</v>
      </c>
      <c r="F350">
        <v>38</v>
      </c>
      <c r="G350">
        <v>135</v>
      </c>
      <c r="H350">
        <v>5130</v>
      </c>
    </row>
    <row r="351" spans="1:8" x14ac:dyDescent="0.35">
      <c r="A351" s="2">
        <v>45306</v>
      </c>
      <c r="B351" s="7">
        <f t="shared" si="5"/>
        <v>1</v>
      </c>
      <c r="C351" s="7" t="str">
        <f>_xlfn.XLOOKUP(B351,catalogos!$A$2:$A$13,catalogos!$B$2:$B$13)</f>
        <v>January</v>
      </c>
      <c r="D351" t="s">
        <v>9</v>
      </c>
      <c r="E351" t="s">
        <v>13</v>
      </c>
      <c r="F351">
        <v>25</v>
      </c>
      <c r="G351">
        <v>162</v>
      </c>
      <c r="H351">
        <v>4050</v>
      </c>
    </row>
    <row r="352" spans="1:8" x14ac:dyDescent="0.35">
      <c r="A352" s="2">
        <v>45306</v>
      </c>
      <c r="B352" s="7">
        <f t="shared" si="5"/>
        <v>1</v>
      </c>
      <c r="C352" s="7" t="str">
        <f>_xlfn.XLOOKUP(B352,catalogos!$A$2:$A$13,catalogos!$B$2:$B$13)</f>
        <v>January</v>
      </c>
      <c r="D352" t="s">
        <v>8</v>
      </c>
      <c r="E352" t="s">
        <v>13</v>
      </c>
      <c r="F352">
        <v>39</v>
      </c>
      <c r="G352">
        <v>422</v>
      </c>
      <c r="H352">
        <v>16458</v>
      </c>
    </row>
    <row r="353" spans="1:8" x14ac:dyDescent="0.35">
      <c r="A353" s="2">
        <v>45306</v>
      </c>
      <c r="B353" s="7">
        <f t="shared" si="5"/>
        <v>1</v>
      </c>
      <c r="C353" s="7" t="str">
        <f>_xlfn.XLOOKUP(B353,catalogos!$A$2:$A$13,catalogos!$B$2:$B$13)</f>
        <v>January</v>
      </c>
      <c r="D353" t="s">
        <v>7</v>
      </c>
      <c r="E353" t="s">
        <v>12</v>
      </c>
      <c r="F353">
        <v>58</v>
      </c>
      <c r="G353">
        <v>225</v>
      </c>
      <c r="H353">
        <v>13050</v>
      </c>
    </row>
    <row r="354" spans="1:8" x14ac:dyDescent="0.35">
      <c r="A354" s="2">
        <v>45306</v>
      </c>
      <c r="B354" s="7">
        <f t="shared" si="5"/>
        <v>1</v>
      </c>
      <c r="C354" s="7" t="str">
        <f>_xlfn.XLOOKUP(B354,catalogos!$A$2:$A$13,catalogos!$B$2:$B$13)</f>
        <v>January</v>
      </c>
      <c r="D354" t="s">
        <v>10</v>
      </c>
      <c r="E354" t="s">
        <v>13</v>
      </c>
      <c r="F354">
        <v>74</v>
      </c>
      <c r="G354">
        <v>449</v>
      </c>
      <c r="H354">
        <v>33226</v>
      </c>
    </row>
    <row r="355" spans="1:8" x14ac:dyDescent="0.35">
      <c r="A355" s="2">
        <v>45306</v>
      </c>
      <c r="B355" s="7">
        <f t="shared" si="5"/>
        <v>1</v>
      </c>
      <c r="C355" s="7" t="str">
        <f>_xlfn.XLOOKUP(B355,catalogos!$A$2:$A$13,catalogos!$B$2:$B$13)</f>
        <v>January</v>
      </c>
      <c r="D355" t="s">
        <v>10</v>
      </c>
      <c r="E355" t="s">
        <v>14</v>
      </c>
      <c r="F355">
        <v>28</v>
      </c>
      <c r="G355">
        <v>66</v>
      </c>
      <c r="H355">
        <v>1848</v>
      </c>
    </row>
    <row r="356" spans="1:8" x14ac:dyDescent="0.35">
      <c r="A356" s="2">
        <v>45306</v>
      </c>
      <c r="B356" s="7">
        <f t="shared" si="5"/>
        <v>1</v>
      </c>
      <c r="C356" s="7" t="str">
        <f>_xlfn.XLOOKUP(B356,catalogos!$A$2:$A$13,catalogos!$B$2:$B$13)</f>
        <v>January</v>
      </c>
      <c r="D356" t="s">
        <v>8</v>
      </c>
      <c r="E356" t="s">
        <v>15</v>
      </c>
      <c r="F356">
        <v>41</v>
      </c>
      <c r="G356">
        <v>430</v>
      </c>
      <c r="H356">
        <v>17630</v>
      </c>
    </row>
    <row r="357" spans="1:8" x14ac:dyDescent="0.35">
      <c r="A357" s="2">
        <v>45306</v>
      </c>
      <c r="B357" s="7">
        <f t="shared" si="5"/>
        <v>1</v>
      </c>
      <c r="C357" s="7" t="str">
        <f>_xlfn.XLOOKUP(B357,catalogos!$A$2:$A$13,catalogos!$B$2:$B$13)</f>
        <v>January</v>
      </c>
      <c r="D357" t="s">
        <v>6</v>
      </c>
      <c r="E357" t="s">
        <v>12</v>
      </c>
      <c r="F357">
        <v>47</v>
      </c>
      <c r="G357">
        <v>409</v>
      </c>
      <c r="H357">
        <v>19223</v>
      </c>
    </row>
    <row r="358" spans="1:8" x14ac:dyDescent="0.35">
      <c r="A358" s="2">
        <v>45306</v>
      </c>
      <c r="B358" s="7">
        <f t="shared" si="5"/>
        <v>1</v>
      </c>
      <c r="C358" s="7" t="str">
        <f>_xlfn.XLOOKUP(B358,catalogos!$A$2:$A$13,catalogos!$B$2:$B$13)</f>
        <v>January</v>
      </c>
      <c r="D358" t="s">
        <v>9</v>
      </c>
      <c r="E358" t="s">
        <v>13</v>
      </c>
      <c r="F358">
        <v>44</v>
      </c>
      <c r="G358">
        <v>45</v>
      </c>
      <c r="H358">
        <v>1980</v>
      </c>
    </row>
    <row r="359" spans="1:8" x14ac:dyDescent="0.35">
      <c r="A359" s="2">
        <v>45306</v>
      </c>
      <c r="B359" s="7">
        <f t="shared" si="5"/>
        <v>1</v>
      </c>
      <c r="C359" s="7" t="str">
        <f>_xlfn.XLOOKUP(B359,catalogos!$A$2:$A$13,catalogos!$B$2:$B$13)</f>
        <v>January</v>
      </c>
      <c r="D359" t="s">
        <v>6</v>
      </c>
      <c r="E359" t="s">
        <v>15</v>
      </c>
      <c r="F359">
        <v>14</v>
      </c>
      <c r="G359">
        <v>411</v>
      </c>
      <c r="H359">
        <v>5754</v>
      </c>
    </row>
    <row r="360" spans="1:8" x14ac:dyDescent="0.35">
      <c r="A360" s="2">
        <v>45306</v>
      </c>
      <c r="B360" s="7">
        <f t="shared" si="5"/>
        <v>1</v>
      </c>
      <c r="C360" s="7" t="str">
        <f>_xlfn.XLOOKUP(B360,catalogos!$A$2:$A$13,catalogos!$B$2:$B$13)</f>
        <v>January</v>
      </c>
      <c r="D360" t="s">
        <v>10</v>
      </c>
      <c r="E360" t="s">
        <v>14</v>
      </c>
      <c r="F360">
        <v>30</v>
      </c>
      <c r="G360">
        <v>499</v>
      </c>
      <c r="H360">
        <v>14970</v>
      </c>
    </row>
    <row r="361" spans="1:8" x14ac:dyDescent="0.35">
      <c r="A361" s="2">
        <v>45306</v>
      </c>
      <c r="B361" s="7">
        <f t="shared" si="5"/>
        <v>1</v>
      </c>
      <c r="C361" s="7" t="str">
        <f>_xlfn.XLOOKUP(B361,catalogos!$A$2:$A$13,catalogos!$B$2:$B$13)</f>
        <v>January</v>
      </c>
      <c r="D361" t="s">
        <v>7</v>
      </c>
      <c r="E361" t="s">
        <v>13</v>
      </c>
      <c r="F361">
        <v>47</v>
      </c>
      <c r="G361">
        <v>421</v>
      </c>
      <c r="H361">
        <v>19787</v>
      </c>
    </row>
    <row r="362" spans="1:8" x14ac:dyDescent="0.35">
      <c r="A362" s="2">
        <v>45307</v>
      </c>
      <c r="B362" s="7">
        <f t="shared" si="5"/>
        <v>1</v>
      </c>
      <c r="C362" s="7" t="str">
        <f>_xlfn.XLOOKUP(B362,catalogos!$A$2:$A$13,catalogos!$B$2:$B$13)</f>
        <v>January</v>
      </c>
      <c r="D362" t="s">
        <v>9</v>
      </c>
      <c r="E362" t="s">
        <v>11</v>
      </c>
      <c r="F362">
        <v>23</v>
      </c>
      <c r="G362">
        <v>345</v>
      </c>
      <c r="H362">
        <v>7935</v>
      </c>
    </row>
    <row r="363" spans="1:8" x14ac:dyDescent="0.35">
      <c r="A363" s="2">
        <v>45307</v>
      </c>
      <c r="B363" s="7">
        <f t="shared" si="5"/>
        <v>1</v>
      </c>
      <c r="C363" s="7" t="str">
        <f>_xlfn.XLOOKUP(B363,catalogos!$A$2:$A$13,catalogos!$B$2:$B$13)</f>
        <v>January</v>
      </c>
      <c r="D363" t="s">
        <v>9</v>
      </c>
      <c r="E363" t="s">
        <v>11</v>
      </c>
      <c r="F363">
        <v>79</v>
      </c>
      <c r="G363">
        <v>305</v>
      </c>
      <c r="H363">
        <v>24095</v>
      </c>
    </row>
    <row r="364" spans="1:8" x14ac:dyDescent="0.35">
      <c r="A364" s="2">
        <v>45307</v>
      </c>
      <c r="B364" s="7">
        <f t="shared" si="5"/>
        <v>1</v>
      </c>
      <c r="C364" s="7" t="str">
        <f>_xlfn.XLOOKUP(B364,catalogos!$A$2:$A$13,catalogos!$B$2:$B$13)</f>
        <v>January</v>
      </c>
      <c r="D364" t="s">
        <v>7</v>
      </c>
      <c r="E364" t="s">
        <v>12</v>
      </c>
      <c r="F364">
        <v>55</v>
      </c>
      <c r="G364">
        <v>148</v>
      </c>
      <c r="H364">
        <v>8140</v>
      </c>
    </row>
    <row r="365" spans="1:8" x14ac:dyDescent="0.35">
      <c r="A365" s="2">
        <v>45307</v>
      </c>
      <c r="B365" s="7">
        <f t="shared" si="5"/>
        <v>1</v>
      </c>
      <c r="C365" s="7" t="str">
        <f>_xlfn.XLOOKUP(B365,catalogos!$A$2:$A$13,catalogos!$B$2:$B$13)</f>
        <v>January</v>
      </c>
      <c r="D365" t="s">
        <v>8</v>
      </c>
      <c r="E365" t="s">
        <v>11</v>
      </c>
      <c r="F365">
        <v>97</v>
      </c>
      <c r="G365">
        <v>325</v>
      </c>
      <c r="H365">
        <v>31525</v>
      </c>
    </row>
    <row r="366" spans="1:8" x14ac:dyDescent="0.35">
      <c r="A366" s="2">
        <v>45307</v>
      </c>
      <c r="B366" s="7">
        <f t="shared" si="5"/>
        <v>1</v>
      </c>
      <c r="C366" s="7" t="str">
        <f>_xlfn.XLOOKUP(B366,catalogos!$A$2:$A$13,catalogos!$B$2:$B$13)</f>
        <v>January</v>
      </c>
      <c r="D366" t="s">
        <v>10</v>
      </c>
      <c r="E366" t="s">
        <v>11</v>
      </c>
      <c r="F366">
        <v>26</v>
      </c>
      <c r="G366">
        <v>172</v>
      </c>
      <c r="H366">
        <v>4472</v>
      </c>
    </row>
    <row r="367" spans="1:8" x14ac:dyDescent="0.35">
      <c r="A367" s="2">
        <v>45307</v>
      </c>
      <c r="B367" s="7">
        <f t="shared" si="5"/>
        <v>1</v>
      </c>
      <c r="C367" s="7" t="str">
        <f>_xlfn.XLOOKUP(B367,catalogos!$A$2:$A$13,catalogos!$B$2:$B$13)</f>
        <v>January</v>
      </c>
      <c r="D367" t="s">
        <v>8</v>
      </c>
      <c r="E367" t="s">
        <v>15</v>
      </c>
      <c r="F367">
        <v>30</v>
      </c>
      <c r="G367">
        <v>313</v>
      </c>
      <c r="H367">
        <v>9390</v>
      </c>
    </row>
    <row r="368" spans="1:8" x14ac:dyDescent="0.35">
      <c r="A368" s="2">
        <v>45307</v>
      </c>
      <c r="B368" s="7">
        <f t="shared" si="5"/>
        <v>1</v>
      </c>
      <c r="C368" s="7" t="str">
        <f>_xlfn.XLOOKUP(B368,catalogos!$A$2:$A$13,catalogos!$B$2:$B$13)</f>
        <v>January</v>
      </c>
      <c r="D368" t="s">
        <v>7</v>
      </c>
      <c r="E368" t="s">
        <v>13</v>
      </c>
      <c r="F368">
        <v>55</v>
      </c>
      <c r="G368">
        <v>300</v>
      </c>
      <c r="H368">
        <v>16500</v>
      </c>
    </row>
    <row r="369" spans="1:8" x14ac:dyDescent="0.35">
      <c r="A369" s="2">
        <v>45307</v>
      </c>
      <c r="B369" s="7">
        <f t="shared" si="5"/>
        <v>1</v>
      </c>
      <c r="C369" s="7" t="str">
        <f>_xlfn.XLOOKUP(B369,catalogos!$A$2:$A$13,catalogos!$B$2:$B$13)</f>
        <v>January</v>
      </c>
      <c r="D369" t="s">
        <v>8</v>
      </c>
      <c r="E369" t="s">
        <v>15</v>
      </c>
      <c r="F369">
        <v>82</v>
      </c>
      <c r="G369">
        <v>197</v>
      </c>
      <c r="H369">
        <v>16154</v>
      </c>
    </row>
    <row r="370" spans="1:8" x14ac:dyDescent="0.35">
      <c r="A370" s="2">
        <v>45307</v>
      </c>
      <c r="B370" s="7">
        <f t="shared" si="5"/>
        <v>1</v>
      </c>
      <c r="C370" s="7" t="str">
        <f>_xlfn.XLOOKUP(B370,catalogos!$A$2:$A$13,catalogos!$B$2:$B$13)</f>
        <v>January</v>
      </c>
      <c r="D370" t="s">
        <v>8</v>
      </c>
      <c r="E370" t="s">
        <v>15</v>
      </c>
      <c r="F370">
        <v>69</v>
      </c>
      <c r="G370">
        <v>286</v>
      </c>
      <c r="H370">
        <v>19734</v>
      </c>
    </row>
    <row r="371" spans="1:8" x14ac:dyDescent="0.35">
      <c r="A371" s="2">
        <v>45307</v>
      </c>
      <c r="B371" s="7">
        <f t="shared" si="5"/>
        <v>1</v>
      </c>
      <c r="C371" s="7" t="str">
        <f>_xlfn.XLOOKUP(B371,catalogos!$A$2:$A$13,catalogos!$B$2:$B$13)</f>
        <v>January</v>
      </c>
      <c r="D371" t="s">
        <v>10</v>
      </c>
      <c r="E371" t="s">
        <v>11</v>
      </c>
      <c r="F371">
        <v>96</v>
      </c>
      <c r="G371">
        <v>216</v>
      </c>
      <c r="H371">
        <v>20736</v>
      </c>
    </row>
    <row r="372" spans="1:8" x14ac:dyDescent="0.35">
      <c r="A372" s="2">
        <v>45307</v>
      </c>
      <c r="B372" s="7">
        <f t="shared" si="5"/>
        <v>1</v>
      </c>
      <c r="C372" s="7" t="str">
        <f>_xlfn.XLOOKUP(B372,catalogos!$A$2:$A$13,catalogos!$B$2:$B$13)</f>
        <v>January</v>
      </c>
      <c r="D372" t="s">
        <v>6</v>
      </c>
      <c r="E372" t="s">
        <v>13</v>
      </c>
      <c r="F372">
        <v>51</v>
      </c>
      <c r="G372">
        <v>103</v>
      </c>
      <c r="H372">
        <v>5253</v>
      </c>
    </row>
    <row r="373" spans="1:8" x14ac:dyDescent="0.35">
      <c r="A373" s="2">
        <v>45307</v>
      </c>
      <c r="B373" s="7">
        <f t="shared" si="5"/>
        <v>1</v>
      </c>
      <c r="C373" s="7" t="str">
        <f>_xlfn.XLOOKUP(B373,catalogos!$A$2:$A$13,catalogos!$B$2:$B$13)</f>
        <v>January</v>
      </c>
      <c r="D373" t="s">
        <v>9</v>
      </c>
      <c r="E373" t="s">
        <v>14</v>
      </c>
      <c r="F373">
        <v>82</v>
      </c>
      <c r="G373">
        <v>233</v>
      </c>
      <c r="H373">
        <v>19106</v>
      </c>
    </row>
    <row r="374" spans="1:8" x14ac:dyDescent="0.35">
      <c r="A374" s="2">
        <v>45307</v>
      </c>
      <c r="B374" s="7">
        <f t="shared" si="5"/>
        <v>1</v>
      </c>
      <c r="C374" s="7" t="str">
        <f>_xlfn.XLOOKUP(B374,catalogos!$A$2:$A$13,catalogos!$B$2:$B$13)</f>
        <v>January</v>
      </c>
      <c r="D374" t="s">
        <v>7</v>
      </c>
      <c r="E374" t="s">
        <v>12</v>
      </c>
      <c r="F374">
        <v>31</v>
      </c>
      <c r="G374">
        <v>406</v>
      </c>
      <c r="H374">
        <v>12586</v>
      </c>
    </row>
    <row r="375" spans="1:8" x14ac:dyDescent="0.35">
      <c r="A375" s="2">
        <v>45307</v>
      </c>
      <c r="B375" s="7">
        <f t="shared" si="5"/>
        <v>1</v>
      </c>
      <c r="C375" s="7" t="str">
        <f>_xlfn.XLOOKUP(B375,catalogos!$A$2:$A$13,catalogos!$B$2:$B$13)</f>
        <v>January</v>
      </c>
      <c r="D375" t="s">
        <v>9</v>
      </c>
      <c r="E375" t="s">
        <v>11</v>
      </c>
      <c r="F375">
        <v>65</v>
      </c>
      <c r="G375">
        <v>101</v>
      </c>
      <c r="H375">
        <v>6565</v>
      </c>
    </row>
    <row r="376" spans="1:8" x14ac:dyDescent="0.35">
      <c r="A376" s="2">
        <v>45307</v>
      </c>
      <c r="B376" s="7">
        <f t="shared" si="5"/>
        <v>1</v>
      </c>
      <c r="C376" s="7" t="str">
        <f>_xlfn.XLOOKUP(B376,catalogos!$A$2:$A$13,catalogos!$B$2:$B$13)</f>
        <v>January</v>
      </c>
      <c r="D376" t="s">
        <v>9</v>
      </c>
      <c r="E376" t="s">
        <v>13</v>
      </c>
      <c r="F376">
        <v>32</v>
      </c>
      <c r="G376">
        <v>235</v>
      </c>
      <c r="H376">
        <v>7520</v>
      </c>
    </row>
    <row r="377" spans="1:8" x14ac:dyDescent="0.35">
      <c r="A377" s="2">
        <v>45307</v>
      </c>
      <c r="B377" s="7">
        <f t="shared" si="5"/>
        <v>1</v>
      </c>
      <c r="C377" s="7" t="str">
        <f>_xlfn.XLOOKUP(B377,catalogos!$A$2:$A$13,catalogos!$B$2:$B$13)</f>
        <v>January</v>
      </c>
      <c r="D377" t="s">
        <v>10</v>
      </c>
      <c r="E377" t="s">
        <v>15</v>
      </c>
      <c r="F377">
        <v>99</v>
      </c>
      <c r="G377">
        <v>455</v>
      </c>
      <c r="H377">
        <v>45045</v>
      </c>
    </row>
    <row r="378" spans="1:8" x14ac:dyDescent="0.35">
      <c r="A378" s="2">
        <v>45307</v>
      </c>
      <c r="B378" s="7">
        <f t="shared" si="5"/>
        <v>1</v>
      </c>
      <c r="C378" s="7" t="str">
        <f>_xlfn.XLOOKUP(B378,catalogos!$A$2:$A$13,catalogos!$B$2:$B$13)</f>
        <v>January</v>
      </c>
      <c r="D378" t="s">
        <v>9</v>
      </c>
      <c r="E378" t="s">
        <v>13</v>
      </c>
      <c r="F378">
        <v>82</v>
      </c>
      <c r="G378">
        <v>97</v>
      </c>
      <c r="H378">
        <v>7954</v>
      </c>
    </row>
    <row r="379" spans="1:8" x14ac:dyDescent="0.35">
      <c r="A379" s="2">
        <v>45307</v>
      </c>
      <c r="B379" s="7">
        <f t="shared" si="5"/>
        <v>1</v>
      </c>
      <c r="C379" s="7" t="str">
        <f>_xlfn.XLOOKUP(B379,catalogos!$A$2:$A$13,catalogos!$B$2:$B$13)</f>
        <v>January</v>
      </c>
      <c r="D379" t="s">
        <v>7</v>
      </c>
      <c r="E379" t="s">
        <v>15</v>
      </c>
      <c r="F379">
        <v>5</v>
      </c>
      <c r="G379">
        <v>371</v>
      </c>
      <c r="H379">
        <v>1855</v>
      </c>
    </row>
    <row r="380" spans="1:8" x14ac:dyDescent="0.35">
      <c r="A380" s="2">
        <v>45307</v>
      </c>
      <c r="B380" s="7">
        <f t="shared" si="5"/>
        <v>1</v>
      </c>
      <c r="C380" s="7" t="str">
        <f>_xlfn.XLOOKUP(B380,catalogos!$A$2:$A$13,catalogos!$B$2:$B$13)</f>
        <v>January</v>
      </c>
      <c r="D380" t="s">
        <v>7</v>
      </c>
      <c r="E380" t="s">
        <v>15</v>
      </c>
      <c r="F380">
        <v>17</v>
      </c>
      <c r="G380">
        <v>462</v>
      </c>
      <c r="H380">
        <v>7854</v>
      </c>
    </row>
    <row r="381" spans="1:8" x14ac:dyDescent="0.35">
      <c r="A381" s="2">
        <v>45307</v>
      </c>
      <c r="B381" s="7">
        <f t="shared" si="5"/>
        <v>1</v>
      </c>
      <c r="C381" s="7" t="str">
        <f>_xlfn.XLOOKUP(B381,catalogos!$A$2:$A$13,catalogos!$B$2:$B$13)</f>
        <v>January</v>
      </c>
      <c r="D381" t="s">
        <v>6</v>
      </c>
      <c r="E381" t="s">
        <v>11</v>
      </c>
      <c r="F381">
        <v>48</v>
      </c>
      <c r="G381">
        <v>432</v>
      </c>
      <c r="H381">
        <v>20736</v>
      </c>
    </row>
    <row r="382" spans="1:8" x14ac:dyDescent="0.35">
      <c r="A382" s="2">
        <v>45307</v>
      </c>
      <c r="B382" s="7">
        <f t="shared" si="5"/>
        <v>1</v>
      </c>
      <c r="C382" s="7" t="str">
        <f>_xlfn.XLOOKUP(B382,catalogos!$A$2:$A$13,catalogos!$B$2:$B$13)</f>
        <v>January</v>
      </c>
      <c r="D382" t="s">
        <v>10</v>
      </c>
      <c r="E382" t="s">
        <v>14</v>
      </c>
      <c r="F382">
        <v>97</v>
      </c>
      <c r="G382">
        <v>118</v>
      </c>
      <c r="H382">
        <v>11446</v>
      </c>
    </row>
    <row r="383" spans="1:8" x14ac:dyDescent="0.35">
      <c r="A383" s="2">
        <v>45307</v>
      </c>
      <c r="B383" s="7">
        <f t="shared" si="5"/>
        <v>1</v>
      </c>
      <c r="C383" s="7" t="str">
        <f>_xlfn.XLOOKUP(B383,catalogos!$A$2:$A$13,catalogos!$B$2:$B$13)</f>
        <v>January</v>
      </c>
      <c r="D383" t="s">
        <v>10</v>
      </c>
      <c r="E383" t="s">
        <v>14</v>
      </c>
      <c r="F383">
        <v>10</v>
      </c>
      <c r="G383">
        <v>284</v>
      </c>
      <c r="H383">
        <v>2840</v>
      </c>
    </row>
    <row r="384" spans="1:8" x14ac:dyDescent="0.35">
      <c r="A384" s="2">
        <v>45307</v>
      </c>
      <c r="B384" s="7">
        <f t="shared" si="5"/>
        <v>1</v>
      </c>
      <c r="C384" s="7" t="str">
        <f>_xlfn.XLOOKUP(B384,catalogos!$A$2:$A$13,catalogos!$B$2:$B$13)</f>
        <v>January</v>
      </c>
      <c r="D384" t="s">
        <v>6</v>
      </c>
      <c r="E384" t="s">
        <v>15</v>
      </c>
      <c r="F384">
        <v>40</v>
      </c>
      <c r="G384">
        <v>165</v>
      </c>
      <c r="H384">
        <v>6600</v>
      </c>
    </row>
    <row r="385" spans="1:8" x14ac:dyDescent="0.35">
      <c r="A385" s="2">
        <v>45307</v>
      </c>
      <c r="B385" s="7">
        <f t="shared" si="5"/>
        <v>1</v>
      </c>
      <c r="C385" s="7" t="str">
        <f>_xlfn.XLOOKUP(B385,catalogos!$A$2:$A$13,catalogos!$B$2:$B$13)</f>
        <v>January</v>
      </c>
      <c r="D385" t="s">
        <v>7</v>
      </c>
      <c r="E385" t="s">
        <v>15</v>
      </c>
      <c r="F385">
        <v>49</v>
      </c>
      <c r="G385">
        <v>431</v>
      </c>
      <c r="H385">
        <v>21119</v>
      </c>
    </row>
    <row r="386" spans="1:8" x14ac:dyDescent="0.35">
      <c r="A386" s="2">
        <v>45308</v>
      </c>
      <c r="B386" s="7">
        <f t="shared" si="5"/>
        <v>1</v>
      </c>
      <c r="C386" s="7" t="str">
        <f>_xlfn.XLOOKUP(B386,catalogos!$A$2:$A$13,catalogos!$B$2:$B$13)</f>
        <v>January</v>
      </c>
      <c r="D386" t="s">
        <v>7</v>
      </c>
      <c r="E386" t="s">
        <v>14</v>
      </c>
      <c r="F386">
        <v>27</v>
      </c>
      <c r="G386">
        <v>258</v>
      </c>
      <c r="H386">
        <v>6966</v>
      </c>
    </row>
    <row r="387" spans="1:8" x14ac:dyDescent="0.35">
      <c r="A387" s="2">
        <v>45308</v>
      </c>
      <c r="B387" s="7">
        <f t="shared" ref="B387:B450" si="6">MONTH(A387)</f>
        <v>1</v>
      </c>
      <c r="C387" s="7" t="str">
        <f>_xlfn.XLOOKUP(B387,catalogos!$A$2:$A$13,catalogos!$B$2:$B$13)</f>
        <v>January</v>
      </c>
      <c r="D387" t="s">
        <v>10</v>
      </c>
      <c r="E387" t="s">
        <v>12</v>
      </c>
      <c r="F387">
        <v>24</v>
      </c>
      <c r="G387">
        <v>464</v>
      </c>
      <c r="H387">
        <v>11136</v>
      </c>
    </row>
    <row r="388" spans="1:8" x14ac:dyDescent="0.35">
      <c r="A388" s="2">
        <v>45308</v>
      </c>
      <c r="B388" s="7">
        <f t="shared" si="6"/>
        <v>1</v>
      </c>
      <c r="C388" s="7" t="str">
        <f>_xlfn.XLOOKUP(B388,catalogos!$A$2:$A$13,catalogos!$B$2:$B$13)</f>
        <v>January</v>
      </c>
      <c r="D388" t="s">
        <v>8</v>
      </c>
      <c r="E388" t="s">
        <v>13</v>
      </c>
      <c r="F388">
        <v>60</v>
      </c>
      <c r="G388">
        <v>199</v>
      </c>
      <c r="H388">
        <v>11940</v>
      </c>
    </row>
    <row r="389" spans="1:8" x14ac:dyDescent="0.35">
      <c r="A389" s="2">
        <v>45308</v>
      </c>
      <c r="B389" s="7">
        <f t="shared" si="6"/>
        <v>1</v>
      </c>
      <c r="C389" s="7" t="str">
        <f>_xlfn.XLOOKUP(B389,catalogos!$A$2:$A$13,catalogos!$B$2:$B$13)</f>
        <v>January</v>
      </c>
      <c r="D389" t="s">
        <v>10</v>
      </c>
      <c r="E389" t="s">
        <v>13</v>
      </c>
      <c r="F389">
        <v>17</v>
      </c>
      <c r="G389">
        <v>65</v>
      </c>
      <c r="H389">
        <v>1105</v>
      </c>
    </row>
    <row r="390" spans="1:8" x14ac:dyDescent="0.35">
      <c r="A390" s="2">
        <v>45308</v>
      </c>
      <c r="B390" s="7">
        <f t="shared" si="6"/>
        <v>1</v>
      </c>
      <c r="C390" s="7" t="str">
        <f>_xlfn.XLOOKUP(B390,catalogos!$A$2:$A$13,catalogos!$B$2:$B$13)</f>
        <v>January</v>
      </c>
      <c r="D390" t="s">
        <v>6</v>
      </c>
      <c r="E390" t="s">
        <v>13</v>
      </c>
      <c r="F390">
        <v>89</v>
      </c>
      <c r="G390">
        <v>217</v>
      </c>
      <c r="H390">
        <v>19313</v>
      </c>
    </row>
    <row r="391" spans="1:8" x14ac:dyDescent="0.35">
      <c r="A391" s="2">
        <v>45308</v>
      </c>
      <c r="B391" s="7">
        <f t="shared" si="6"/>
        <v>1</v>
      </c>
      <c r="C391" s="7" t="str">
        <f>_xlfn.XLOOKUP(B391,catalogos!$A$2:$A$13,catalogos!$B$2:$B$13)</f>
        <v>January</v>
      </c>
      <c r="D391" t="s">
        <v>6</v>
      </c>
      <c r="E391" t="s">
        <v>12</v>
      </c>
      <c r="F391">
        <v>93</v>
      </c>
      <c r="G391">
        <v>136</v>
      </c>
      <c r="H391">
        <v>12648</v>
      </c>
    </row>
    <row r="392" spans="1:8" x14ac:dyDescent="0.35">
      <c r="A392" s="2">
        <v>45308</v>
      </c>
      <c r="B392" s="7">
        <f t="shared" si="6"/>
        <v>1</v>
      </c>
      <c r="C392" s="7" t="str">
        <f>_xlfn.XLOOKUP(B392,catalogos!$A$2:$A$13,catalogos!$B$2:$B$13)</f>
        <v>January</v>
      </c>
      <c r="D392" t="s">
        <v>8</v>
      </c>
      <c r="E392" t="s">
        <v>12</v>
      </c>
      <c r="F392">
        <v>85</v>
      </c>
      <c r="G392">
        <v>441</v>
      </c>
      <c r="H392">
        <v>37485</v>
      </c>
    </row>
    <row r="393" spans="1:8" x14ac:dyDescent="0.35">
      <c r="A393" s="2">
        <v>45308</v>
      </c>
      <c r="B393" s="7">
        <f t="shared" si="6"/>
        <v>1</v>
      </c>
      <c r="C393" s="7" t="str">
        <f>_xlfn.XLOOKUP(B393,catalogos!$A$2:$A$13,catalogos!$B$2:$B$13)</f>
        <v>January</v>
      </c>
      <c r="D393" t="s">
        <v>7</v>
      </c>
      <c r="E393" t="s">
        <v>12</v>
      </c>
      <c r="F393">
        <v>74</v>
      </c>
      <c r="G393">
        <v>201</v>
      </c>
      <c r="H393">
        <v>14874</v>
      </c>
    </row>
    <row r="394" spans="1:8" x14ac:dyDescent="0.35">
      <c r="A394" s="2">
        <v>45308</v>
      </c>
      <c r="B394" s="7">
        <f t="shared" si="6"/>
        <v>1</v>
      </c>
      <c r="C394" s="7" t="str">
        <f>_xlfn.XLOOKUP(B394,catalogos!$A$2:$A$13,catalogos!$B$2:$B$13)</f>
        <v>January</v>
      </c>
      <c r="D394" t="s">
        <v>8</v>
      </c>
      <c r="E394" t="s">
        <v>14</v>
      </c>
      <c r="F394">
        <v>99</v>
      </c>
      <c r="G394">
        <v>199</v>
      </c>
      <c r="H394">
        <v>19701</v>
      </c>
    </row>
    <row r="395" spans="1:8" x14ac:dyDescent="0.35">
      <c r="A395" s="2">
        <v>45308</v>
      </c>
      <c r="B395" s="7">
        <f t="shared" si="6"/>
        <v>1</v>
      </c>
      <c r="C395" s="7" t="str">
        <f>_xlfn.XLOOKUP(B395,catalogos!$A$2:$A$13,catalogos!$B$2:$B$13)</f>
        <v>January</v>
      </c>
      <c r="D395" t="s">
        <v>6</v>
      </c>
      <c r="E395" t="s">
        <v>12</v>
      </c>
      <c r="F395">
        <v>31</v>
      </c>
      <c r="G395">
        <v>102</v>
      </c>
      <c r="H395">
        <v>3162</v>
      </c>
    </row>
    <row r="396" spans="1:8" x14ac:dyDescent="0.35">
      <c r="A396" s="2">
        <v>45308</v>
      </c>
      <c r="B396" s="7">
        <f t="shared" si="6"/>
        <v>1</v>
      </c>
      <c r="C396" s="7" t="str">
        <f>_xlfn.XLOOKUP(B396,catalogos!$A$2:$A$13,catalogos!$B$2:$B$13)</f>
        <v>January</v>
      </c>
      <c r="D396" t="s">
        <v>8</v>
      </c>
      <c r="E396" t="s">
        <v>11</v>
      </c>
      <c r="F396">
        <v>5</v>
      </c>
      <c r="G396">
        <v>479</v>
      </c>
      <c r="H396">
        <v>2395</v>
      </c>
    </row>
    <row r="397" spans="1:8" x14ac:dyDescent="0.35">
      <c r="A397" s="2">
        <v>45308</v>
      </c>
      <c r="B397" s="7">
        <f t="shared" si="6"/>
        <v>1</v>
      </c>
      <c r="C397" s="7" t="str">
        <f>_xlfn.XLOOKUP(B397,catalogos!$A$2:$A$13,catalogos!$B$2:$B$13)</f>
        <v>January</v>
      </c>
      <c r="D397" t="s">
        <v>7</v>
      </c>
      <c r="E397" t="s">
        <v>13</v>
      </c>
      <c r="F397">
        <v>36</v>
      </c>
      <c r="G397">
        <v>220</v>
      </c>
      <c r="H397">
        <v>7920</v>
      </c>
    </row>
    <row r="398" spans="1:8" x14ac:dyDescent="0.35">
      <c r="A398" s="2">
        <v>45308</v>
      </c>
      <c r="B398" s="7">
        <f t="shared" si="6"/>
        <v>1</v>
      </c>
      <c r="C398" s="7" t="str">
        <f>_xlfn.XLOOKUP(B398,catalogos!$A$2:$A$13,catalogos!$B$2:$B$13)</f>
        <v>January</v>
      </c>
      <c r="D398" t="s">
        <v>10</v>
      </c>
      <c r="E398" t="s">
        <v>12</v>
      </c>
      <c r="F398">
        <v>88</v>
      </c>
      <c r="G398">
        <v>98</v>
      </c>
      <c r="H398">
        <v>8624</v>
      </c>
    </row>
    <row r="399" spans="1:8" x14ac:dyDescent="0.35">
      <c r="A399" s="2">
        <v>45308</v>
      </c>
      <c r="B399" s="7">
        <f t="shared" si="6"/>
        <v>1</v>
      </c>
      <c r="C399" s="7" t="str">
        <f>_xlfn.XLOOKUP(B399,catalogos!$A$2:$A$13,catalogos!$B$2:$B$13)</f>
        <v>January</v>
      </c>
      <c r="D399" t="s">
        <v>10</v>
      </c>
      <c r="E399" t="s">
        <v>14</v>
      </c>
      <c r="F399">
        <v>80</v>
      </c>
      <c r="G399">
        <v>431</v>
      </c>
      <c r="H399">
        <v>34480</v>
      </c>
    </row>
    <row r="400" spans="1:8" x14ac:dyDescent="0.35">
      <c r="A400" s="2">
        <v>45308</v>
      </c>
      <c r="B400" s="7">
        <f t="shared" si="6"/>
        <v>1</v>
      </c>
      <c r="C400" s="7" t="str">
        <f>_xlfn.XLOOKUP(B400,catalogos!$A$2:$A$13,catalogos!$B$2:$B$13)</f>
        <v>January</v>
      </c>
      <c r="D400" t="s">
        <v>9</v>
      </c>
      <c r="E400" t="s">
        <v>12</v>
      </c>
      <c r="F400">
        <v>95</v>
      </c>
      <c r="G400">
        <v>311</v>
      </c>
      <c r="H400">
        <v>29545</v>
      </c>
    </row>
    <row r="401" spans="1:8" x14ac:dyDescent="0.35">
      <c r="A401" s="2">
        <v>45308</v>
      </c>
      <c r="B401" s="7">
        <f t="shared" si="6"/>
        <v>1</v>
      </c>
      <c r="C401" s="7" t="str">
        <f>_xlfn.XLOOKUP(B401,catalogos!$A$2:$A$13,catalogos!$B$2:$B$13)</f>
        <v>January</v>
      </c>
      <c r="D401" t="s">
        <v>10</v>
      </c>
      <c r="E401" t="s">
        <v>12</v>
      </c>
      <c r="F401">
        <v>50</v>
      </c>
      <c r="G401">
        <v>278</v>
      </c>
      <c r="H401">
        <v>13900</v>
      </c>
    </row>
    <row r="402" spans="1:8" x14ac:dyDescent="0.35">
      <c r="A402" s="2">
        <v>45308</v>
      </c>
      <c r="B402" s="7">
        <f t="shared" si="6"/>
        <v>1</v>
      </c>
      <c r="C402" s="7" t="str">
        <f>_xlfn.XLOOKUP(B402,catalogos!$A$2:$A$13,catalogos!$B$2:$B$13)</f>
        <v>January</v>
      </c>
      <c r="D402" t="s">
        <v>9</v>
      </c>
      <c r="E402" t="s">
        <v>15</v>
      </c>
      <c r="F402">
        <v>60</v>
      </c>
      <c r="G402">
        <v>20</v>
      </c>
      <c r="H402">
        <v>1200</v>
      </c>
    </row>
    <row r="403" spans="1:8" x14ac:dyDescent="0.35">
      <c r="A403" s="2">
        <v>45308</v>
      </c>
      <c r="B403" s="7">
        <f t="shared" si="6"/>
        <v>1</v>
      </c>
      <c r="C403" s="7" t="str">
        <f>_xlfn.XLOOKUP(B403,catalogos!$A$2:$A$13,catalogos!$B$2:$B$13)</f>
        <v>January</v>
      </c>
      <c r="D403" t="s">
        <v>7</v>
      </c>
      <c r="E403" t="s">
        <v>13</v>
      </c>
      <c r="F403">
        <v>98</v>
      </c>
      <c r="G403">
        <v>395</v>
      </c>
      <c r="H403">
        <v>38710</v>
      </c>
    </row>
    <row r="404" spans="1:8" x14ac:dyDescent="0.35">
      <c r="A404" s="2">
        <v>45308</v>
      </c>
      <c r="B404" s="7">
        <f t="shared" si="6"/>
        <v>1</v>
      </c>
      <c r="C404" s="7" t="str">
        <f>_xlfn.XLOOKUP(B404,catalogos!$A$2:$A$13,catalogos!$B$2:$B$13)</f>
        <v>January</v>
      </c>
      <c r="D404" t="s">
        <v>9</v>
      </c>
      <c r="E404" t="s">
        <v>11</v>
      </c>
      <c r="F404">
        <v>40</v>
      </c>
      <c r="G404">
        <v>117</v>
      </c>
      <c r="H404">
        <v>4680</v>
      </c>
    </row>
    <row r="405" spans="1:8" x14ac:dyDescent="0.35">
      <c r="A405" s="2">
        <v>45308</v>
      </c>
      <c r="B405" s="7">
        <f t="shared" si="6"/>
        <v>1</v>
      </c>
      <c r="C405" s="7" t="str">
        <f>_xlfn.XLOOKUP(B405,catalogos!$A$2:$A$13,catalogos!$B$2:$B$13)</f>
        <v>January</v>
      </c>
      <c r="D405" t="s">
        <v>9</v>
      </c>
      <c r="E405" t="s">
        <v>13</v>
      </c>
      <c r="F405">
        <v>3</v>
      </c>
      <c r="G405">
        <v>364</v>
      </c>
      <c r="H405">
        <v>1092</v>
      </c>
    </row>
    <row r="406" spans="1:8" x14ac:dyDescent="0.35">
      <c r="A406" s="2">
        <v>45308</v>
      </c>
      <c r="B406" s="7">
        <f t="shared" si="6"/>
        <v>1</v>
      </c>
      <c r="C406" s="7" t="str">
        <f>_xlfn.XLOOKUP(B406,catalogos!$A$2:$A$13,catalogos!$B$2:$B$13)</f>
        <v>January</v>
      </c>
      <c r="D406" t="s">
        <v>7</v>
      </c>
      <c r="E406" t="s">
        <v>12</v>
      </c>
      <c r="F406">
        <v>77</v>
      </c>
      <c r="G406">
        <v>180</v>
      </c>
      <c r="H406">
        <v>13860</v>
      </c>
    </row>
    <row r="407" spans="1:8" x14ac:dyDescent="0.35">
      <c r="A407" s="2">
        <v>45308</v>
      </c>
      <c r="B407" s="7">
        <f t="shared" si="6"/>
        <v>1</v>
      </c>
      <c r="C407" s="7" t="str">
        <f>_xlfn.XLOOKUP(B407,catalogos!$A$2:$A$13,catalogos!$B$2:$B$13)</f>
        <v>January</v>
      </c>
      <c r="D407" t="s">
        <v>10</v>
      </c>
      <c r="E407" t="s">
        <v>14</v>
      </c>
      <c r="F407">
        <v>99</v>
      </c>
      <c r="G407">
        <v>174</v>
      </c>
      <c r="H407">
        <v>17226</v>
      </c>
    </row>
    <row r="408" spans="1:8" x14ac:dyDescent="0.35">
      <c r="A408" s="2">
        <v>45308</v>
      </c>
      <c r="B408" s="7">
        <f t="shared" si="6"/>
        <v>1</v>
      </c>
      <c r="C408" s="7" t="str">
        <f>_xlfn.XLOOKUP(B408,catalogos!$A$2:$A$13,catalogos!$B$2:$B$13)</f>
        <v>January</v>
      </c>
      <c r="D408" t="s">
        <v>8</v>
      </c>
      <c r="E408" t="s">
        <v>12</v>
      </c>
      <c r="F408">
        <v>66</v>
      </c>
      <c r="G408">
        <v>64</v>
      </c>
      <c r="H408">
        <v>4224</v>
      </c>
    </row>
    <row r="409" spans="1:8" x14ac:dyDescent="0.35">
      <c r="A409" s="2">
        <v>45308</v>
      </c>
      <c r="B409" s="7">
        <f t="shared" si="6"/>
        <v>1</v>
      </c>
      <c r="C409" s="7" t="str">
        <f>_xlfn.XLOOKUP(B409,catalogos!$A$2:$A$13,catalogos!$B$2:$B$13)</f>
        <v>January</v>
      </c>
      <c r="D409" t="s">
        <v>9</v>
      </c>
      <c r="E409" t="s">
        <v>13</v>
      </c>
      <c r="F409">
        <v>3</v>
      </c>
      <c r="G409">
        <v>244</v>
      </c>
      <c r="H409">
        <v>732</v>
      </c>
    </row>
    <row r="410" spans="1:8" x14ac:dyDescent="0.35">
      <c r="A410" s="2">
        <v>45309</v>
      </c>
      <c r="B410" s="7">
        <f t="shared" si="6"/>
        <v>1</v>
      </c>
      <c r="C410" s="7" t="str">
        <f>_xlfn.XLOOKUP(B410,catalogos!$A$2:$A$13,catalogos!$B$2:$B$13)</f>
        <v>January</v>
      </c>
      <c r="D410" t="s">
        <v>9</v>
      </c>
      <c r="E410" t="s">
        <v>15</v>
      </c>
      <c r="F410">
        <v>9</v>
      </c>
      <c r="G410">
        <v>370</v>
      </c>
      <c r="H410">
        <v>3330</v>
      </c>
    </row>
    <row r="411" spans="1:8" x14ac:dyDescent="0.35">
      <c r="A411" s="2">
        <v>45309</v>
      </c>
      <c r="B411" s="7">
        <f t="shared" si="6"/>
        <v>1</v>
      </c>
      <c r="C411" s="7" t="str">
        <f>_xlfn.XLOOKUP(B411,catalogos!$A$2:$A$13,catalogos!$B$2:$B$13)</f>
        <v>January</v>
      </c>
      <c r="D411" t="s">
        <v>8</v>
      </c>
      <c r="E411" t="s">
        <v>12</v>
      </c>
      <c r="F411">
        <v>59</v>
      </c>
      <c r="G411">
        <v>172</v>
      </c>
      <c r="H411">
        <v>10148</v>
      </c>
    </row>
    <row r="412" spans="1:8" x14ac:dyDescent="0.35">
      <c r="A412" s="2">
        <v>45309</v>
      </c>
      <c r="B412" s="7">
        <f t="shared" si="6"/>
        <v>1</v>
      </c>
      <c r="C412" s="7" t="str">
        <f>_xlfn.XLOOKUP(B412,catalogos!$A$2:$A$13,catalogos!$B$2:$B$13)</f>
        <v>January</v>
      </c>
      <c r="D412" t="s">
        <v>6</v>
      </c>
      <c r="E412" t="s">
        <v>11</v>
      </c>
      <c r="F412">
        <v>40</v>
      </c>
      <c r="G412">
        <v>389</v>
      </c>
      <c r="H412">
        <v>15560</v>
      </c>
    </row>
    <row r="413" spans="1:8" x14ac:dyDescent="0.35">
      <c r="A413" s="2">
        <v>45309</v>
      </c>
      <c r="B413" s="7">
        <f t="shared" si="6"/>
        <v>1</v>
      </c>
      <c r="C413" s="7" t="str">
        <f>_xlfn.XLOOKUP(B413,catalogos!$A$2:$A$13,catalogos!$B$2:$B$13)</f>
        <v>January</v>
      </c>
      <c r="D413" t="s">
        <v>8</v>
      </c>
      <c r="E413" t="s">
        <v>14</v>
      </c>
      <c r="F413">
        <v>85</v>
      </c>
      <c r="G413">
        <v>401</v>
      </c>
      <c r="H413">
        <v>34085</v>
      </c>
    </row>
    <row r="414" spans="1:8" x14ac:dyDescent="0.35">
      <c r="A414" s="2">
        <v>45309</v>
      </c>
      <c r="B414" s="7">
        <f t="shared" si="6"/>
        <v>1</v>
      </c>
      <c r="C414" s="7" t="str">
        <f>_xlfn.XLOOKUP(B414,catalogos!$A$2:$A$13,catalogos!$B$2:$B$13)</f>
        <v>January</v>
      </c>
      <c r="D414" t="s">
        <v>8</v>
      </c>
      <c r="E414" t="s">
        <v>15</v>
      </c>
      <c r="F414">
        <v>50</v>
      </c>
      <c r="G414">
        <v>108</v>
      </c>
      <c r="H414">
        <v>5400</v>
      </c>
    </row>
    <row r="415" spans="1:8" x14ac:dyDescent="0.35">
      <c r="A415" s="2">
        <v>45309</v>
      </c>
      <c r="B415" s="7">
        <f t="shared" si="6"/>
        <v>1</v>
      </c>
      <c r="C415" s="7" t="str">
        <f>_xlfn.XLOOKUP(B415,catalogos!$A$2:$A$13,catalogos!$B$2:$B$13)</f>
        <v>January</v>
      </c>
      <c r="D415" t="s">
        <v>7</v>
      </c>
      <c r="E415" t="s">
        <v>15</v>
      </c>
      <c r="F415">
        <v>18</v>
      </c>
      <c r="G415">
        <v>492</v>
      </c>
      <c r="H415">
        <v>8856</v>
      </c>
    </row>
    <row r="416" spans="1:8" x14ac:dyDescent="0.35">
      <c r="A416" s="2">
        <v>45309</v>
      </c>
      <c r="B416" s="7">
        <f t="shared" si="6"/>
        <v>1</v>
      </c>
      <c r="C416" s="7" t="str">
        <f>_xlfn.XLOOKUP(B416,catalogos!$A$2:$A$13,catalogos!$B$2:$B$13)</f>
        <v>January</v>
      </c>
      <c r="D416" t="s">
        <v>6</v>
      </c>
      <c r="E416" t="s">
        <v>12</v>
      </c>
      <c r="F416">
        <v>31</v>
      </c>
      <c r="G416">
        <v>115</v>
      </c>
      <c r="H416">
        <v>3565</v>
      </c>
    </row>
    <row r="417" spans="1:8" x14ac:dyDescent="0.35">
      <c r="A417" s="2">
        <v>45309</v>
      </c>
      <c r="B417" s="7">
        <f t="shared" si="6"/>
        <v>1</v>
      </c>
      <c r="C417" s="7" t="str">
        <f>_xlfn.XLOOKUP(B417,catalogos!$A$2:$A$13,catalogos!$B$2:$B$13)</f>
        <v>January</v>
      </c>
      <c r="D417" t="s">
        <v>8</v>
      </c>
      <c r="E417" t="s">
        <v>12</v>
      </c>
      <c r="F417">
        <v>16</v>
      </c>
      <c r="G417">
        <v>32</v>
      </c>
      <c r="H417">
        <v>512</v>
      </c>
    </row>
    <row r="418" spans="1:8" x14ac:dyDescent="0.35">
      <c r="A418" s="2">
        <v>45309</v>
      </c>
      <c r="B418" s="7">
        <f t="shared" si="6"/>
        <v>1</v>
      </c>
      <c r="C418" s="7" t="str">
        <f>_xlfn.XLOOKUP(B418,catalogos!$A$2:$A$13,catalogos!$B$2:$B$13)</f>
        <v>January</v>
      </c>
      <c r="D418" t="s">
        <v>10</v>
      </c>
      <c r="E418" t="s">
        <v>11</v>
      </c>
      <c r="F418">
        <v>18</v>
      </c>
      <c r="G418">
        <v>220</v>
      </c>
      <c r="H418">
        <v>3960</v>
      </c>
    </row>
    <row r="419" spans="1:8" x14ac:dyDescent="0.35">
      <c r="A419" s="2">
        <v>45309</v>
      </c>
      <c r="B419" s="7">
        <f t="shared" si="6"/>
        <v>1</v>
      </c>
      <c r="C419" s="7" t="str">
        <f>_xlfn.XLOOKUP(B419,catalogos!$A$2:$A$13,catalogos!$B$2:$B$13)</f>
        <v>January</v>
      </c>
      <c r="D419" t="s">
        <v>10</v>
      </c>
      <c r="E419" t="s">
        <v>12</v>
      </c>
      <c r="F419">
        <v>4</v>
      </c>
      <c r="G419">
        <v>374</v>
      </c>
      <c r="H419">
        <v>1496</v>
      </c>
    </row>
    <row r="420" spans="1:8" x14ac:dyDescent="0.35">
      <c r="A420" s="2">
        <v>45309</v>
      </c>
      <c r="B420" s="7">
        <f t="shared" si="6"/>
        <v>1</v>
      </c>
      <c r="C420" s="7" t="str">
        <f>_xlfn.XLOOKUP(B420,catalogos!$A$2:$A$13,catalogos!$B$2:$B$13)</f>
        <v>January</v>
      </c>
      <c r="D420" t="s">
        <v>8</v>
      </c>
      <c r="E420" t="s">
        <v>12</v>
      </c>
      <c r="F420">
        <v>78</v>
      </c>
      <c r="G420">
        <v>349</v>
      </c>
      <c r="H420">
        <v>27222</v>
      </c>
    </row>
    <row r="421" spans="1:8" x14ac:dyDescent="0.35">
      <c r="A421" s="2">
        <v>45309</v>
      </c>
      <c r="B421" s="7">
        <f t="shared" si="6"/>
        <v>1</v>
      </c>
      <c r="C421" s="7" t="str">
        <f>_xlfn.XLOOKUP(B421,catalogos!$A$2:$A$13,catalogos!$B$2:$B$13)</f>
        <v>January</v>
      </c>
      <c r="D421" t="s">
        <v>10</v>
      </c>
      <c r="E421" t="s">
        <v>13</v>
      </c>
      <c r="F421">
        <v>42</v>
      </c>
      <c r="G421">
        <v>177</v>
      </c>
      <c r="H421">
        <v>7434</v>
      </c>
    </row>
    <row r="422" spans="1:8" x14ac:dyDescent="0.35">
      <c r="A422" s="2">
        <v>45309</v>
      </c>
      <c r="B422" s="7">
        <f t="shared" si="6"/>
        <v>1</v>
      </c>
      <c r="C422" s="7" t="str">
        <f>_xlfn.XLOOKUP(B422,catalogos!$A$2:$A$13,catalogos!$B$2:$B$13)</f>
        <v>January</v>
      </c>
      <c r="D422" t="s">
        <v>10</v>
      </c>
      <c r="E422" t="s">
        <v>11</v>
      </c>
      <c r="F422">
        <v>46</v>
      </c>
      <c r="G422">
        <v>313</v>
      </c>
      <c r="H422">
        <v>14398</v>
      </c>
    </row>
    <row r="423" spans="1:8" x14ac:dyDescent="0.35">
      <c r="A423" s="2">
        <v>45309</v>
      </c>
      <c r="B423" s="7">
        <f t="shared" si="6"/>
        <v>1</v>
      </c>
      <c r="C423" s="7" t="str">
        <f>_xlfn.XLOOKUP(B423,catalogos!$A$2:$A$13,catalogos!$B$2:$B$13)</f>
        <v>January</v>
      </c>
      <c r="D423" t="s">
        <v>9</v>
      </c>
      <c r="E423" t="s">
        <v>12</v>
      </c>
      <c r="F423">
        <v>56</v>
      </c>
      <c r="G423">
        <v>446</v>
      </c>
      <c r="H423">
        <v>24976</v>
      </c>
    </row>
    <row r="424" spans="1:8" x14ac:dyDescent="0.35">
      <c r="A424" s="2">
        <v>45309</v>
      </c>
      <c r="B424" s="7">
        <f t="shared" si="6"/>
        <v>1</v>
      </c>
      <c r="C424" s="7" t="str">
        <f>_xlfn.XLOOKUP(B424,catalogos!$A$2:$A$13,catalogos!$B$2:$B$13)</f>
        <v>January</v>
      </c>
      <c r="D424" t="s">
        <v>7</v>
      </c>
      <c r="E424" t="s">
        <v>14</v>
      </c>
      <c r="F424">
        <v>78</v>
      </c>
      <c r="G424">
        <v>499</v>
      </c>
      <c r="H424">
        <v>38922</v>
      </c>
    </row>
    <row r="425" spans="1:8" x14ac:dyDescent="0.35">
      <c r="A425" s="2">
        <v>45309</v>
      </c>
      <c r="B425" s="7">
        <f t="shared" si="6"/>
        <v>1</v>
      </c>
      <c r="C425" s="7" t="str">
        <f>_xlfn.XLOOKUP(B425,catalogos!$A$2:$A$13,catalogos!$B$2:$B$13)</f>
        <v>January</v>
      </c>
      <c r="D425" t="s">
        <v>6</v>
      </c>
      <c r="E425" t="s">
        <v>11</v>
      </c>
      <c r="F425">
        <v>14</v>
      </c>
      <c r="G425">
        <v>57</v>
      </c>
      <c r="H425">
        <v>798</v>
      </c>
    </row>
    <row r="426" spans="1:8" x14ac:dyDescent="0.35">
      <c r="A426" s="2">
        <v>45309</v>
      </c>
      <c r="B426" s="7">
        <f t="shared" si="6"/>
        <v>1</v>
      </c>
      <c r="C426" s="7" t="str">
        <f>_xlfn.XLOOKUP(B426,catalogos!$A$2:$A$13,catalogos!$B$2:$B$13)</f>
        <v>January</v>
      </c>
      <c r="D426" t="s">
        <v>6</v>
      </c>
      <c r="E426" t="s">
        <v>13</v>
      </c>
      <c r="F426">
        <v>86</v>
      </c>
      <c r="G426">
        <v>126</v>
      </c>
      <c r="H426">
        <v>10836</v>
      </c>
    </row>
    <row r="427" spans="1:8" x14ac:dyDescent="0.35">
      <c r="A427" s="2">
        <v>45309</v>
      </c>
      <c r="B427" s="7">
        <f t="shared" si="6"/>
        <v>1</v>
      </c>
      <c r="C427" s="7" t="str">
        <f>_xlfn.XLOOKUP(B427,catalogos!$A$2:$A$13,catalogos!$B$2:$B$13)</f>
        <v>January</v>
      </c>
      <c r="D427" t="s">
        <v>7</v>
      </c>
      <c r="E427" t="s">
        <v>15</v>
      </c>
      <c r="F427">
        <v>12</v>
      </c>
      <c r="G427">
        <v>24</v>
      </c>
      <c r="H427">
        <v>288</v>
      </c>
    </row>
    <row r="428" spans="1:8" x14ac:dyDescent="0.35">
      <c r="A428" s="2">
        <v>45309</v>
      </c>
      <c r="B428" s="7">
        <f t="shared" si="6"/>
        <v>1</v>
      </c>
      <c r="C428" s="7" t="str">
        <f>_xlfn.XLOOKUP(B428,catalogos!$A$2:$A$13,catalogos!$B$2:$B$13)</f>
        <v>January</v>
      </c>
      <c r="D428" t="s">
        <v>8</v>
      </c>
      <c r="E428" t="s">
        <v>12</v>
      </c>
      <c r="F428">
        <v>53</v>
      </c>
      <c r="G428">
        <v>282</v>
      </c>
      <c r="H428">
        <v>14946</v>
      </c>
    </row>
    <row r="429" spans="1:8" x14ac:dyDescent="0.35">
      <c r="A429" s="2">
        <v>45309</v>
      </c>
      <c r="B429" s="7">
        <f t="shared" si="6"/>
        <v>1</v>
      </c>
      <c r="C429" s="7" t="str">
        <f>_xlfn.XLOOKUP(B429,catalogos!$A$2:$A$13,catalogos!$B$2:$B$13)</f>
        <v>January</v>
      </c>
      <c r="D429" t="s">
        <v>9</v>
      </c>
      <c r="E429" t="s">
        <v>13</v>
      </c>
      <c r="F429">
        <v>69</v>
      </c>
      <c r="G429">
        <v>77</v>
      </c>
      <c r="H429">
        <v>5313</v>
      </c>
    </row>
    <row r="430" spans="1:8" x14ac:dyDescent="0.35">
      <c r="A430" s="2">
        <v>45309</v>
      </c>
      <c r="B430" s="7">
        <f t="shared" si="6"/>
        <v>1</v>
      </c>
      <c r="C430" s="7" t="str">
        <f>_xlfn.XLOOKUP(B430,catalogos!$A$2:$A$13,catalogos!$B$2:$B$13)</f>
        <v>January</v>
      </c>
      <c r="D430" t="s">
        <v>9</v>
      </c>
      <c r="E430" t="s">
        <v>13</v>
      </c>
      <c r="F430">
        <v>18</v>
      </c>
      <c r="G430">
        <v>197</v>
      </c>
      <c r="H430">
        <v>3546</v>
      </c>
    </row>
    <row r="431" spans="1:8" x14ac:dyDescent="0.35">
      <c r="A431" s="2">
        <v>45309</v>
      </c>
      <c r="B431" s="7">
        <f t="shared" si="6"/>
        <v>1</v>
      </c>
      <c r="C431" s="7" t="str">
        <f>_xlfn.XLOOKUP(B431,catalogos!$A$2:$A$13,catalogos!$B$2:$B$13)</f>
        <v>January</v>
      </c>
      <c r="D431" t="s">
        <v>6</v>
      </c>
      <c r="E431" t="s">
        <v>11</v>
      </c>
      <c r="F431">
        <v>13</v>
      </c>
      <c r="G431">
        <v>42</v>
      </c>
      <c r="H431">
        <v>546</v>
      </c>
    </row>
    <row r="432" spans="1:8" x14ac:dyDescent="0.35">
      <c r="A432" s="2">
        <v>45309</v>
      </c>
      <c r="B432" s="7">
        <f t="shared" si="6"/>
        <v>1</v>
      </c>
      <c r="C432" s="7" t="str">
        <f>_xlfn.XLOOKUP(B432,catalogos!$A$2:$A$13,catalogos!$B$2:$B$13)</f>
        <v>January</v>
      </c>
      <c r="D432" t="s">
        <v>10</v>
      </c>
      <c r="E432" t="s">
        <v>12</v>
      </c>
      <c r="F432">
        <v>31</v>
      </c>
      <c r="G432">
        <v>483</v>
      </c>
      <c r="H432">
        <v>14973</v>
      </c>
    </row>
    <row r="433" spans="1:8" x14ac:dyDescent="0.35">
      <c r="A433" s="2">
        <v>45309</v>
      </c>
      <c r="B433" s="7">
        <f t="shared" si="6"/>
        <v>1</v>
      </c>
      <c r="C433" s="7" t="str">
        <f>_xlfn.XLOOKUP(B433,catalogos!$A$2:$A$13,catalogos!$B$2:$B$13)</f>
        <v>January</v>
      </c>
      <c r="D433" t="s">
        <v>7</v>
      </c>
      <c r="E433" t="s">
        <v>15</v>
      </c>
      <c r="F433">
        <v>56</v>
      </c>
      <c r="G433">
        <v>105</v>
      </c>
      <c r="H433">
        <v>5880</v>
      </c>
    </row>
    <row r="434" spans="1:8" x14ac:dyDescent="0.35">
      <c r="A434" s="2">
        <v>45310</v>
      </c>
      <c r="B434" s="7">
        <f t="shared" si="6"/>
        <v>1</v>
      </c>
      <c r="C434" s="7" t="str">
        <f>_xlfn.XLOOKUP(B434,catalogos!$A$2:$A$13,catalogos!$B$2:$B$13)</f>
        <v>January</v>
      </c>
      <c r="D434" t="s">
        <v>7</v>
      </c>
      <c r="E434" t="s">
        <v>13</v>
      </c>
      <c r="F434">
        <v>27</v>
      </c>
      <c r="G434">
        <v>461</v>
      </c>
      <c r="H434">
        <v>12447</v>
      </c>
    </row>
    <row r="435" spans="1:8" x14ac:dyDescent="0.35">
      <c r="A435" s="2">
        <v>45310</v>
      </c>
      <c r="B435" s="7">
        <f t="shared" si="6"/>
        <v>1</v>
      </c>
      <c r="C435" s="7" t="str">
        <f>_xlfn.XLOOKUP(B435,catalogos!$A$2:$A$13,catalogos!$B$2:$B$13)</f>
        <v>January</v>
      </c>
      <c r="D435" t="s">
        <v>9</v>
      </c>
      <c r="E435" t="s">
        <v>14</v>
      </c>
      <c r="F435">
        <v>36</v>
      </c>
      <c r="G435">
        <v>346</v>
      </c>
      <c r="H435">
        <v>12456</v>
      </c>
    </row>
    <row r="436" spans="1:8" x14ac:dyDescent="0.35">
      <c r="A436" s="2">
        <v>45310</v>
      </c>
      <c r="B436" s="7">
        <f t="shared" si="6"/>
        <v>1</v>
      </c>
      <c r="C436" s="7" t="str">
        <f>_xlfn.XLOOKUP(B436,catalogos!$A$2:$A$13,catalogos!$B$2:$B$13)</f>
        <v>January</v>
      </c>
      <c r="D436" t="s">
        <v>8</v>
      </c>
      <c r="E436" t="s">
        <v>15</v>
      </c>
      <c r="F436">
        <v>10</v>
      </c>
      <c r="G436">
        <v>333</v>
      </c>
      <c r="H436">
        <v>3330</v>
      </c>
    </row>
    <row r="437" spans="1:8" x14ac:dyDescent="0.35">
      <c r="A437" s="2">
        <v>45310</v>
      </c>
      <c r="B437" s="7">
        <f t="shared" si="6"/>
        <v>1</v>
      </c>
      <c r="C437" s="7" t="str">
        <f>_xlfn.XLOOKUP(B437,catalogos!$A$2:$A$13,catalogos!$B$2:$B$13)</f>
        <v>January</v>
      </c>
      <c r="D437" t="s">
        <v>9</v>
      </c>
      <c r="E437" t="s">
        <v>15</v>
      </c>
      <c r="F437">
        <v>70</v>
      </c>
      <c r="G437">
        <v>137</v>
      </c>
      <c r="H437">
        <v>9590</v>
      </c>
    </row>
    <row r="438" spans="1:8" x14ac:dyDescent="0.35">
      <c r="A438" s="2">
        <v>45310</v>
      </c>
      <c r="B438" s="7">
        <f t="shared" si="6"/>
        <v>1</v>
      </c>
      <c r="C438" s="7" t="str">
        <f>_xlfn.XLOOKUP(B438,catalogos!$A$2:$A$13,catalogos!$B$2:$B$13)</f>
        <v>January</v>
      </c>
      <c r="D438" t="s">
        <v>8</v>
      </c>
      <c r="E438" t="s">
        <v>14</v>
      </c>
      <c r="F438">
        <v>22</v>
      </c>
      <c r="G438">
        <v>309</v>
      </c>
      <c r="H438">
        <v>6798</v>
      </c>
    </row>
    <row r="439" spans="1:8" x14ac:dyDescent="0.35">
      <c r="A439" s="2">
        <v>45310</v>
      </c>
      <c r="B439" s="7">
        <f t="shared" si="6"/>
        <v>1</v>
      </c>
      <c r="C439" s="7" t="str">
        <f>_xlfn.XLOOKUP(B439,catalogos!$A$2:$A$13,catalogos!$B$2:$B$13)</f>
        <v>January</v>
      </c>
      <c r="D439" t="s">
        <v>6</v>
      </c>
      <c r="E439" t="s">
        <v>15</v>
      </c>
      <c r="F439">
        <v>62</v>
      </c>
      <c r="G439">
        <v>388</v>
      </c>
      <c r="H439">
        <v>24056</v>
      </c>
    </row>
    <row r="440" spans="1:8" x14ac:dyDescent="0.35">
      <c r="A440" s="2">
        <v>45310</v>
      </c>
      <c r="B440" s="7">
        <f t="shared" si="6"/>
        <v>1</v>
      </c>
      <c r="C440" s="7" t="str">
        <f>_xlfn.XLOOKUP(B440,catalogos!$A$2:$A$13,catalogos!$B$2:$B$13)</f>
        <v>January</v>
      </c>
      <c r="D440" t="s">
        <v>8</v>
      </c>
      <c r="E440" t="s">
        <v>13</v>
      </c>
      <c r="F440">
        <v>60</v>
      </c>
      <c r="G440">
        <v>93</v>
      </c>
      <c r="H440">
        <v>5580</v>
      </c>
    </row>
    <row r="441" spans="1:8" x14ac:dyDescent="0.35">
      <c r="A441" s="2">
        <v>45310</v>
      </c>
      <c r="B441" s="7">
        <f t="shared" si="6"/>
        <v>1</v>
      </c>
      <c r="C441" s="7" t="str">
        <f>_xlfn.XLOOKUP(B441,catalogos!$A$2:$A$13,catalogos!$B$2:$B$13)</f>
        <v>January</v>
      </c>
      <c r="D441" t="s">
        <v>7</v>
      </c>
      <c r="E441" t="s">
        <v>13</v>
      </c>
      <c r="F441">
        <v>99</v>
      </c>
      <c r="G441">
        <v>388</v>
      </c>
      <c r="H441">
        <v>38412</v>
      </c>
    </row>
    <row r="442" spans="1:8" x14ac:dyDescent="0.35">
      <c r="A442" s="2">
        <v>45310</v>
      </c>
      <c r="B442" s="7">
        <f t="shared" si="6"/>
        <v>1</v>
      </c>
      <c r="C442" s="7" t="str">
        <f>_xlfn.XLOOKUP(B442,catalogos!$A$2:$A$13,catalogos!$B$2:$B$13)</f>
        <v>January</v>
      </c>
      <c r="D442" t="s">
        <v>7</v>
      </c>
      <c r="E442" t="s">
        <v>11</v>
      </c>
      <c r="F442">
        <v>3</v>
      </c>
      <c r="G442">
        <v>483</v>
      </c>
      <c r="H442">
        <v>1449</v>
      </c>
    </row>
    <row r="443" spans="1:8" x14ac:dyDescent="0.35">
      <c r="A443" s="2">
        <v>45310</v>
      </c>
      <c r="B443" s="7">
        <f t="shared" si="6"/>
        <v>1</v>
      </c>
      <c r="C443" s="7" t="str">
        <f>_xlfn.XLOOKUP(B443,catalogos!$A$2:$A$13,catalogos!$B$2:$B$13)</f>
        <v>January</v>
      </c>
      <c r="D443" t="s">
        <v>8</v>
      </c>
      <c r="E443" t="s">
        <v>11</v>
      </c>
      <c r="F443">
        <v>62</v>
      </c>
      <c r="G443">
        <v>195</v>
      </c>
      <c r="H443">
        <v>12090</v>
      </c>
    </row>
    <row r="444" spans="1:8" x14ac:dyDescent="0.35">
      <c r="A444" s="2">
        <v>45310</v>
      </c>
      <c r="B444" s="7">
        <f t="shared" si="6"/>
        <v>1</v>
      </c>
      <c r="C444" s="7" t="str">
        <f>_xlfn.XLOOKUP(B444,catalogos!$A$2:$A$13,catalogos!$B$2:$B$13)</f>
        <v>January</v>
      </c>
      <c r="D444" t="s">
        <v>10</v>
      </c>
      <c r="E444" t="s">
        <v>12</v>
      </c>
      <c r="F444">
        <v>6</v>
      </c>
      <c r="G444">
        <v>475</v>
      </c>
      <c r="H444">
        <v>2850</v>
      </c>
    </row>
    <row r="445" spans="1:8" x14ac:dyDescent="0.35">
      <c r="A445" s="2">
        <v>45310</v>
      </c>
      <c r="B445" s="7">
        <f t="shared" si="6"/>
        <v>1</v>
      </c>
      <c r="C445" s="7" t="str">
        <f>_xlfn.XLOOKUP(B445,catalogos!$A$2:$A$13,catalogos!$B$2:$B$13)</f>
        <v>January</v>
      </c>
      <c r="D445" t="s">
        <v>7</v>
      </c>
      <c r="E445" t="s">
        <v>15</v>
      </c>
      <c r="F445">
        <v>68</v>
      </c>
      <c r="G445">
        <v>195</v>
      </c>
      <c r="H445">
        <v>13260</v>
      </c>
    </row>
    <row r="446" spans="1:8" x14ac:dyDescent="0.35">
      <c r="A446" s="2">
        <v>45310</v>
      </c>
      <c r="B446" s="7">
        <f t="shared" si="6"/>
        <v>1</v>
      </c>
      <c r="C446" s="7" t="str">
        <f>_xlfn.XLOOKUP(B446,catalogos!$A$2:$A$13,catalogos!$B$2:$B$13)</f>
        <v>January</v>
      </c>
      <c r="D446" t="s">
        <v>6</v>
      </c>
      <c r="E446" t="s">
        <v>14</v>
      </c>
      <c r="F446">
        <v>86</v>
      </c>
      <c r="G446">
        <v>215</v>
      </c>
      <c r="H446">
        <v>18490</v>
      </c>
    </row>
    <row r="447" spans="1:8" x14ac:dyDescent="0.35">
      <c r="A447" s="2">
        <v>45310</v>
      </c>
      <c r="B447" s="7">
        <f t="shared" si="6"/>
        <v>1</v>
      </c>
      <c r="C447" s="7" t="str">
        <f>_xlfn.XLOOKUP(B447,catalogos!$A$2:$A$13,catalogos!$B$2:$B$13)</f>
        <v>January</v>
      </c>
      <c r="D447" t="s">
        <v>10</v>
      </c>
      <c r="E447" t="s">
        <v>12</v>
      </c>
      <c r="F447">
        <v>87</v>
      </c>
      <c r="G447">
        <v>473</v>
      </c>
      <c r="H447">
        <v>41151</v>
      </c>
    </row>
    <row r="448" spans="1:8" x14ac:dyDescent="0.35">
      <c r="A448" s="2">
        <v>45310</v>
      </c>
      <c r="B448" s="7">
        <f t="shared" si="6"/>
        <v>1</v>
      </c>
      <c r="C448" s="7" t="str">
        <f>_xlfn.XLOOKUP(B448,catalogos!$A$2:$A$13,catalogos!$B$2:$B$13)</f>
        <v>January</v>
      </c>
      <c r="D448" t="s">
        <v>9</v>
      </c>
      <c r="E448" t="s">
        <v>15</v>
      </c>
      <c r="F448">
        <v>70</v>
      </c>
      <c r="G448">
        <v>274</v>
      </c>
      <c r="H448">
        <v>19180</v>
      </c>
    </row>
    <row r="449" spans="1:8" x14ac:dyDescent="0.35">
      <c r="A449" s="2">
        <v>45310</v>
      </c>
      <c r="B449" s="7">
        <f t="shared" si="6"/>
        <v>1</v>
      </c>
      <c r="C449" s="7" t="str">
        <f>_xlfn.XLOOKUP(B449,catalogos!$A$2:$A$13,catalogos!$B$2:$B$13)</f>
        <v>January</v>
      </c>
      <c r="D449" t="s">
        <v>8</v>
      </c>
      <c r="E449" t="s">
        <v>11</v>
      </c>
      <c r="F449">
        <v>18</v>
      </c>
      <c r="G449">
        <v>16</v>
      </c>
      <c r="H449">
        <v>288</v>
      </c>
    </row>
    <row r="450" spans="1:8" x14ac:dyDescent="0.35">
      <c r="A450" s="2">
        <v>45310</v>
      </c>
      <c r="B450" s="7">
        <f t="shared" si="6"/>
        <v>1</v>
      </c>
      <c r="C450" s="7" t="str">
        <f>_xlfn.XLOOKUP(B450,catalogos!$A$2:$A$13,catalogos!$B$2:$B$13)</f>
        <v>January</v>
      </c>
      <c r="D450" t="s">
        <v>8</v>
      </c>
      <c r="E450" t="s">
        <v>14</v>
      </c>
      <c r="F450">
        <v>30</v>
      </c>
      <c r="G450">
        <v>329</v>
      </c>
      <c r="H450">
        <v>9870</v>
      </c>
    </row>
    <row r="451" spans="1:8" x14ac:dyDescent="0.35">
      <c r="A451" s="2">
        <v>45310</v>
      </c>
      <c r="B451" s="7">
        <f t="shared" ref="B451:B514" si="7">MONTH(A451)</f>
        <v>1</v>
      </c>
      <c r="C451" s="7" t="str">
        <f>_xlfn.XLOOKUP(B451,catalogos!$A$2:$A$13,catalogos!$B$2:$B$13)</f>
        <v>January</v>
      </c>
      <c r="D451" t="s">
        <v>10</v>
      </c>
      <c r="E451" t="s">
        <v>12</v>
      </c>
      <c r="F451">
        <v>26</v>
      </c>
      <c r="G451">
        <v>134</v>
      </c>
      <c r="H451">
        <v>3484</v>
      </c>
    </row>
    <row r="452" spans="1:8" x14ac:dyDescent="0.35">
      <c r="A452" s="2">
        <v>45310</v>
      </c>
      <c r="B452" s="7">
        <f t="shared" si="7"/>
        <v>1</v>
      </c>
      <c r="C452" s="7" t="str">
        <f>_xlfn.XLOOKUP(B452,catalogos!$A$2:$A$13,catalogos!$B$2:$B$13)</f>
        <v>January</v>
      </c>
      <c r="D452" t="s">
        <v>8</v>
      </c>
      <c r="E452" t="s">
        <v>14</v>
      </c>
      <c r="F452">
        <v>5</v>
      </c>
      <c r="G452">
        <v>464</v>
      </c>
      <c r="H452">
        <v>2320</v>
      </c>
    </row>
    <row r="453" spans="1:8" x14ac:dyDescent="0.35">
      <c r="A453" s="2">
        <v>45310</v>
      </c>
      <c r="B453" s="7">
        <f t="shared" si="7"/>
        <v>1</v>
      </c>
      <c r="C453" s="7" t="str">
        <f>_xlfn.XLOOKUP(B453,catalogos!$A$2:$A$13,catalogos!$B$2:$B$13)</f>
        <v>January</v>
      </c>
      <c r="D453" t="s">
        <v>9</v>
      </c>
      <c r="E453" t="s">
        <v>13</v>
      </c>
      <c r="F453">
        <v>15</v>
      </c>
      <c r="G453">
        <v>67</v>
      </c>
      <c r="H453">
        <v>1005</v>
      </c>
    </row>
    <row r="454" spans="1:8" x14ac:dyDescent="0.35">
      <c r="A454" s="2">
        <v>45310</v>
      </c>
      <c r="B454" s="7">
        <f t="shared" si="7"/>
        <v>1</v>
      </c>
      <c r="C454" s="7" t="str">
        <f>_xlfn.XLOOKUP(B454,catalogos!$A$2:$A$13,catalogos!$B$2:$B$13)</f>
        <v>January</v>
      </c>
      <c r="D454" t="s">
        <v>6</v>
      </c>
      <c r="E454" t="s">
        <v>15</v>
      </c>
      <c r="F454">
        <v>76</v>
      </c>
      <c r="G454">
        <v>262</v>
      </c>
      <c r="H454">
        <v>19912</v>
      </c>
    </row>
    <row r="455" spans="1:8" x14ac:dyDescent="0.35">
      <c r="A455" s="2">
        <v>45310</v>
      </c>
      <c r="B455" s="7">
        <f t="shared" si="7"/>
        <v>1</v>
      </c>
      <c r="C455" s="7" t="str">
        <f>_xlfn.XLOOKUP(B455,catalogos!$A$2:$A$13,catalogos!$B$2:$B$13)</f>
        <v>January</v>
      </c>
      <c r="D455" t="s">
        <v>6</v>
      </c>
      <c r="E455" t="s">
        <v>12</v>
      </c>
      <c r="F455">
        <v>19</v>
      </c>
      <c r="G455">
        <v>473</v>
      </c>
      <c r="H455">
        <v>8987</v>
      </c>
    </row>
    <row r="456" spans="1:8" x14ac:dyDescent="0.35">
      <c r="A456" s="2">
        <v>45310</v>
      </c>
      <c r="B456" s="7">
        <f t="shared" si="7"/>
        <v>1</v>
      </c>
      <c r="C456" s="7" t="str">
        <f>_xlfn.XLOOKUP(B456,catalogos!$A$2:$A$13,catalogos!$B$2:$B$13)</f>
        <v>January</v>
      </c>
      <c r="D456" t="s">
        <v>6</v>
      </c>
      <c r="E456" t="s">
        <v>12</v>
      </c>
      <c r="F456">
        <v>91</v>
      </c>
      <c r="G456">
        <v>476</v>
      </c>
      <c r="H456">
        <v>43316</v>
      </c>
    </row>
    <row r="457" spans="1:8" x14ac:dyDescent="0.35">
      <c r="A457" s="2">
        <v>45310</v>
      </c>
      <c r="B457" s="7">
        <f t="shared" si="7"/>
        <v>1</v>
      </c>
      <c r="C457" s="7" t="str">
        <f>_xlfn.XLOOKUP(B457,catalogos!$A$2:$A$13,catalogos!$B$2:$B$13)</f>
        <v>January</v>
      </c>
      <c r="D457" t="s">
        <v>8</v>
      </c>
      <c r="E457" t="s">
        <v>14</v>
      </c>
      <c r="F457">
        <v>59</v>
      </c>
      <c r="G457">
        <v>294</v>
      </c>
      <c r="H457">
        <v>17346</v>
      </c>
    </row>
    <row r="458" spans="1:8" x14ac:dyDescent="0.35">
      <c r="A458" s="2">
        <v>45311</v>
      </c>
      <c r="B458" s="7">
        <f t="shared" si="7"/>
        <v>1</v>
      </c>
      <c r="C458" s="7" t="str">
        <f>_xlfn.XLOOKUP(B458,catalogos!$A$2:$A$13,catalogos!$B$2:$B$13)</f>
        <v>January</v>
      </c>
      <c r="D458" t="s">
        <v>10</v>
      </c>
      <c r="E458" t="s">
        <v>14</v>
      </c>
      <c r="F458">
        <v>9</v>
      </c>
      <c r="G458">
        <v>478</v>
      </c>
      <c r="H458">
        <v>4302</v>
      </c>
    </row>
    <row r="459" spans="1:8" x14ac:dyDescent="0.35">
      <c r="A459" s="2">
        <v>45311</v>
      </c>
      <c r="B459" s="7">
        <f t="shared" si="7"/>
        <v>1</v>
      </c>
      <c r="C459" s="7" t="str">
        <f>_xlfn.XLOOKUP(B459,catalogos!$A$2:$A$13,catalogos!$B$2:$B$13)</f>
        <v>January</v>
      </c>
      <c r="D459" t="s">
        <v>6</v>
      </c>
      <c r="E459" t="s">
        <v>13</v>
      </c>
      <c r="F459">
        <v>16</v>
      </c>
      <c r="G459">
        <v>490</v>
      </c>
      <c r="H459">
        <v>7840</v>
      </c>
    </row>
    <row r="460" spans="1:8" x14ac:dyDescent="0.35">
      <c r="A460" s="2">
        <v>45311</v>
      </c>
      <c r="B460" s="7">
        <f t="shared" si="7"/>
        <v>1</v>
      </c>
      <c r="C460" s="7" t="str">
        <f>_xlfn.XLOOKUP(B460,catalogos!$A$2:$A$13,catalogos!$B$2:$B$13)</f>
        <v>January</v>
      </c>
      <c r="D460" t="s">
        <v>7</v>
      </c>
      <c r="E460" t="s">
        <v>13</v>
      </c>
      <c r="F460">
        <v>25</v>
      </c>
      <c r="G460">
        <v>399</v>
      </c>
      <c r="H460">
        <v>9975</v>
      </c>
    </row>
    <row r="461" spans="1:8" x14ac:dyDescent="0.35">
      <c r="A461" s="2">
        <v>45311</v>
      </c>
      <c r="B461" s="7">
        <f t="shared" si="7"/>
        <v>1</v>
      </c>
      <c r="C461" s="7" t="str">
        <f>_xlfn.XLOOKUP(B461,catalogos!$A$2:$A$13,catalogos!$B$2:$B$13)</f>
        <v>January</v>
      </c>
      <c r="D461" t="s">
        <v>7</v>
      </c>
      <c r="E461" t="s">
        <v>11</v>
      </c>
      <c r="F461">
        <v>2</v>
      </c>
      <c r="G461">
        <v>118</v>
      </c>
      <c r="H461">
        <v>236</v>
      </c>
    </row>
    <row r="462" spans="1:8" x14ac:dyDescent="0.35">
      <c r="A462" s="2">
        <v>45311</v>
      </c>
      <c r="B462" s="7">
        <f t="shared" si="7"/>
        <v>1</v>
      </c>
      <c r="C462" s="7" t="str">
        <f>_xlfn.XLOOKUP(B462,catalogos!$A$2:$A$13,catalogos!$B$2:$B$13)</f>
        <v>January</v>
      </c>
      <c r="D462" t="s">
        <v>6</v>
      </c>
      <c r="E462" t="s">
        <v>12</v>
      </c>
      <c r="F462">
        <v>68</v>
      </c>
      <c r="G462">
        <v>134</v>
      </c>
      <c r="H462">
        <v>9112</v>
      </c>
    </row>
    <row r="463" spans="1:8" x14ac:dyDescent="0.35">
      <c r="A463" s="2">
        <v>45311</v>
      </c>
      <c r="B463" s="7">
        <f t="shared" si="7"/>
        <v>1</v>
      </c>
      <c r="C463" s="7" t="str">
        <f>_xlfn.XLOOKUP(B463,catalogos!$A$2:$A$13,catalogos!$B$2:$B$13)</f>
        <v>January</v>
      </c>
      <c r="D463" t="s">
        <v>6</v>
      </c>
      <c r="E463" t="s">
        <v>14</v>
      </c>
      <c r="F463">
        <v>87</v>
      </c>
      <c r="G463">
        <v>333</v>
      </c>
      <c r="H463">
        <v>28971</v>
      </c>
    </row>
    <row r="464" spans="1:8" x14ac:dyDescent="0.35">
      <c r="A464" s="2">
        <v>45311</v>
      </c>
      <c r="B464" s="7">
        <f t="shared" si="7"/>
        <v>1</v>
      </c>
      <c r="C464" s="7" t="str">
        <f>_xlfn.XLOOKUP(B464,catalogos!$A$2:$A$13,catalogos!$B$2:$B$13)</f>
        <v>January</v>
      </c>
      <c r="D464" t="s">
        <v>8</v>
      </c>
      <c r="E464" t="s">
        <v>14</v>
      </c>
      <c r="F464">
        <v>42</v>
      </c>
      <c r="G464">
        <v>72</v>
      </c>
      <c r="H464">
        <v>3024</v>
      </c>
    </row>
    <row r="465" spans="1:8" x14ac:dyDescent="0.35">
      <c r="A465" s="2">
        <v>45311</v>
      </c>
      <c r="B465" s="7">
        <f t="shared" si="7"/>
        <v>1</v>
      </c>
      <c r="C465" s="7" t="str">
        <f>_xlfn.XLOOKUP(B465,catalogos!$A$2:$A$13,catalogos!$B$2:$B$13)</f>
        <v>January</v>
      </c>
      <c r="D465" t="s">
        <v>10</v>
      </c>
      <c r="E465" t="s">
        <v>11</v>
      </c>
      <c r="F465">
        <v>33</v>
      </c>
      <c r="G465">
        <v>65</v>
      </c>
      <c r="H465">
        <v>2145</v>
      </c>
    </row>
    <row r="466" spans="1:8" x14ac:dyDescent="0.35">
      <c r="A466" s="2">
        <v>45311</v>
      </c>
      <c r="B466" s="7">
        <f t="shared" si="7"/>
        <v>1</v>
      </c>
      <c r="C466" s="7" t="str">
        <f>_xlfn.XLOOKUP(B466,catalogos!$A$2:$A$13,catalogos!$B$2:$B$13)</f>
        <v>January</v>
      </c>
      <c r="D466" t="s">
        <v>7</v>
      </c>
      <c r="E466" t="s">
        <v>13</v>
      </c>
      <c r="F466">
        <v>16</v>
      </c>
      <c r="G466">
        <v>146</v>
      </c>
      <c r="H466">
        <v>2336</v>
      </c>
    </row>
    <row r="467" spans="1:8" x14ac:dyDescent="0.35">
      <c r="A467" s="2">
        <v>45311</v>
      </c>
      <c r="B467" s="7">
        <f t="shared" si="7"/>
        <v>1</v>
      </c>
      <c r="C467" s="7" t="str">
        <f>_xlfn.XLOOKUP(B467,catalogos!$A$2:$A$13,catalogos!$B$2:$B$13)</f>
        <v>January</v>
      </c>
      <c r="D467" t="s">
        <v>6</v>
      </c>
      <c r="E467" t="s">
        <v>15</v>
      </c>
      <c r="F467">
        <v>14</v>
      </c>
      <c r="G467">
        <v>421</v>
      </c>
      <c r="H467">
        <v>5894</v>
      </c>
    </row>
    <row r="468" spans="1:8" x14ac:dyDescent="0.35">
      <c r="A468" s="2">
        <v>45311</v>
      </c>
      <c r="B468" s="7">
        <f t="shared" si="7"/>
        <v>1</v>
      </c>
      <c r="C468" s="7" t="str">
        <f>_xlfn.XLOOKUP(B468,catalogos!$A$2:$A$13,catalogos!$B$2:$B$13)</f>
        <v>January</v>
      </c>
      <c r="D468" t="s">
        <v>6</v>
      </c>
      <c r="E468" t="s">
        <v>15</v>
      </c>
      <c r="F468">
        <v>38</v>
      </c>
      <c r="G468">
        <v>440</v>
      </c>
      <c r="H468">
        <v>16720</v>
      </c>
    </row>
    <row r="469" spans="1:8" x14ac:dyDescent="0.35">
      <c r="A469" s="2">
        <v>45311</v>
      </c>
      <c r="B469" s="7">
        <f t="shared" si="7"/>
        <v>1</v>
      </c>
      <c r="C469" s="7" t="str">
        <f>_xlfn.XLOOKUP(B469,catalogos!$A$2:$A$13,catalogos!$B$2:$B$13)</f>
        <v>January</v>
      </c>
      <c r="D469" t="s">
        <v>10</v>
      </c>
      <c r="E469" t="s">
        <v>14</v>
      </c>
      <c r="F469">
        <v>48</v>
      </c>
      <c r="G469">
        <v>407</v>
      </c>
      <c r="H469">
        <v>19536</v>
      </c>
    </row>
    <row r="470" spans="1:8" x14ac:dyDescent="0.35">
      <c r="A470" s="2">
        <v>45311</v>
      </c>
      <c r="B470" s="7">
        <f t="shared" si="7"/>
        <v>1</v>
      </c>
      <c r="C470" s="7" t="str">
        <f>_xlfn.XLOOKUP(B470,catalogos!$A$2:$A$13,catalogos!$B$2:$B$13)</f>
        <v>January</v>
      </c>
      <c r="D470" t="s">
        <v>7</v>
      </c>
      <c r="E470" t="s">
        <v>13</v>
      </c>
      <c r="F470">
        <v>67</v>
      </c>
      <c r="G470">
        <v>445</v>
      </c>
      <c r="H470">
        <v>29815</v>
      </c>
    </row>
    <row r="471" spans="1:8" x14ac:dyDescent="0.35">
      <c r="A471" s="2">
        <v>45311</v>
      </c>
      <c r="B471" s="7">
        <f t="shared" si="7"/>
        <v>1</v>
      </c>
      <c r="C471" s="7" t="str">
        <f>_xlfn.XLOOKUP(B471,catalogos!$A$2:$A$13,catalogos!$B$2:$B$13)</f>
        <v>January</v>
      </c>
      <c r="D471" t="s">
        <v>7</v>
      </c>
      <c r="E471" t="s">
        <v>12</v>
      </c>
      <c r="F471">
        <v>81</v>
      </c>
      <c r="G471">
        <v>102</v>
      </c>
      <c r="H471">
        <v>8262</v>
      </c>
    </row>
    <row r="472" spans="1:8" x14ac:dyDescent="0.35">
      <c r="A472" s="2">
        <v>45311</v>
      </c>
      <c r="B472" s="7">
        <f t="shared" si="7"/>
        <v>1</v>
      </c>
      <c r="C472" s="7" t="str">
        <f>_xlfn.XLOOKUP(B472,catalogos!$A$2:$A$13,catalogos!$B$2:$B$13)</f>
        <v>January</v>
      </c>
      <c r="D472" t="s">
        <v>7</v>
      </c>
      <c r="E472" t="s">
        <v>13</v>
      </c>
      <c r="F472">
        <v>38</v>
      </c>
      <c r="G472">
        <v>312</v>
      </c>
      <c r="H472">
        <v>11856</v>
      </c>
    </row>
    <row r="473" spans="1:8" x14ac:dyDescent="0.35">
      <c r="A473" s="2">
        <v>45311</v>
      </c>
      <c r="B473" s="7">
        <f t="shared" si="7"/>
        <v>1</v>
      </c>
      <c r="C473" s="7" t="str">
        <f>_xlfn.XLOOKUP(B473,catalogos!$A$2:$A$13,catalogos!$B$2:$B$13)</f>
        <v>January</v>
      </c>
      <c r="D473" t="s">
        <v>7</v>
      </c>
      <c r="E473" t="s">
        <v>14</v>
      </c>
      <c r="F473">
        <v>98</v>
      </c>
      <c r="G473">
        <v>473</v>
      </c>
      <c r="H473">
        <v>46354</v>
      </c>
    </row>
    <row r="474" spans="1:8" x14ac:dyDescent="0.35">
      <c r="A474" s="2">
        <v>45311</v>
      </c>
      <c r="B474" s="7">
        <f t="shared" si="7"/>
        <v>1</v>
      </c>
      <c r="C474" s="7" t="str">
        <f>_xlfn.XLOOKUP(B474,catalogos!$A$2:$A$13,catalogos!$B$2:$B$13)</f>
        <v>January</v>
      </c>
      <c r="D474" t="s">
        <v>7</v>
      </c>
      <c r="E474" t="s">
        <v>15</v>
      </c>
      <c r="F474">
        <v>60</v>
      </c>
      <c r="G474">
        <v>416</v>
      </c>
      <c r="H474">
        <v>24960</v>
      </c>
    </row>
    <row r="475" spans="1:8" x14ac:dyDescent="0.35">
      <c r="A475" s="2">
        <v>45311</v>
      </c>
      <c r="B475" s="7">
        <f t="shared" si="7"/>
        <v>1</v>
      </c>
      <c r="C475" s="7" t="str">
        <f>_xlfn.XLOOKUP(B475,catalogos!$A$2:$A$13,catalogos!$B$2:$B$13)</f>
        <v>January</v>
      </c>
      <c r="D475" t="s">
        <v>10</v>
      </c>
      <c r="E475" t="s">
        <v>14</v>
      </c>
      <c r="F475">
        <v>57</v>
      </c>
      <c r="G475">
        <v>386</v>
      </c>
      <c r="H475">
        <v>22002</v>
      </c>
    </row>
    <row r="476" spans="1:8" x14ac:dyDescent="0.35">
      <c r="A476" s="2">
        <v>45311</v>
      </c>
      <c r="B476" s="7">
        <f t="shared" si="7"/>
        <v>1</v>
      </c>
      <c r="C476" s="7" t="str">
        <f>_xlfn.XLOOKUP(B476,catalogos!$A$2:$A$13,catalogos!$B$2:$B$13)</f>
        <v>January</v>
      </c>
      <c r="D476" t="s">
        <v>8</v>
      </c>
      <c r="E476" t="s">
        <v>14</v>
      </c>
      <c r="F476">
        <v>90</v>
      </c>
      <c r="G476">
        <v>9</v>
      </c>
      <c r="H476">
        <v>810</v>
      </c>
    </row>
    <row r="477" spans="1:8" x14ac:dyDescent="0.35">
      <c r="A477" s="2">
        <v>45311</v>
      </c>
      <c r="B477" s="7">
        <f t="shared" si="7"/>
        <v>1</v>
      </c>
      <c r="C477" s="7" t="str">
        <f>_xlfn.XLOOKUP(B477,catalogos!$A$2:$A$13,catalogos!$B$2:$B$13)</f>
        <v>January</v>
      </c>
      <c r="D477" t="s">
        <v>9</v>
      </c>
      <c r="E477" t="s">
        <v>14</v>
      </c>
      <c r="F477">
        <v>20</v>
      </c>
      <c r="G477">
        <v>188</v>
      </c>
      <c r="H477">
        <v>3760</v>
      </c>
    </row>
    <row r="478" spans="1:8" x14ac:dyDescent="0.35">
      <c r="A478" s="2">
        <v>45311</v>
      </c>
      <c r="B478" s="7">
        <f t="shared" si="7"/>
        <v>1</v>
      </c>
      <c r="C478" s="7" t="str">
        <f>_xlfn.XLOOKUP(B478,catalogos!$A$2:$A$13,catalogos!$B$2:$B$13)</f>
        <v>January</v>
      </c>
      <c r="D478" t="s">
        <v>8</v>
      </c>
      <c r="E478" t="s">
        <v>11</v>
      </c>
      <c r="F478">
        <v>44</v>
      </c>
      <c r="G478">
        <v>412</v>
      </c>
      <c r="H478">
        <v>18128</v>
      </c>
    </row>
    <row r="479" spans="1:8" x14ac:dyDescent="0.35">
      <c r="A479" s="2">
        <v>45311</v>
      </c>
      <c r="B479" s="7">
        <f t="shared" si="7"/>
        <v>1</v>
      </c>
      <c r="C479" s="7" t="str">
        <f>_xlfn.XLOOKUP(B479,catalogos!$A$2:$A$13,catalogos!$B$2:$B$13)</f>
        <v>January</v>
      </c>
      <c r="D479" t="s">
        <v>6</v>
      </c>
      <c r="E479" t="s">
        <v>11</v>
      </c>
      <c r="F479">
        <v>32</v>
      </c>
      <c r="G479">
        <v>358</v>
      </c>
      <c r="H479">
        <v>11456</v>
      </c>
    </row>
    <row r="480" spans="1:8" x14ac:dyDescent="0.35">
      <c r="A480" s="2">
        <v>45311</v>
      </c>
      <c r="B480" s="7">
        <f t="shared" si="7"/>
        <v>1</v>
      </c>
      <c r="C480" s="7" t="str">
        <f>_xlfn.XLOOKUP(B480,catalogos!$A$2:$A$13,catalogos!$B$2:$B$13)</f>
        <v>January</v>
      </c>
      <c r="D480" t="s">
        <v>9</v>
      </c>
      <c r="E480" t="s">
        <v>11</v>
      </c>
      <c r="F480">
        <v>57</v>
      </c>
      <c r="G480">
        <v>109</v>
      </c>
      <c r="H480">
        <v>6213</v>
      </c>
    </row>
    <row r="481" spans="1:8" x14ac:dyDescent="0.35">
      <c r="A481" s="2">
        <v>45311</v>
      </c>
      <c r="B481" s="7">
        <f t="shared" si="7"/>
        <v>1</v>
      </c>
      <c r="C481" s="7" t="str">
        <f>_xlfn.XLOOKUP(B481,catalogos!$A$2:$A$13,catalogos!$B$2:$B$13)</f>
        <v>January</v>
      </c>
      <c r="D481" t="s">
        <v>8</v>
      </c>
      <c r="E481" t="s">
        <v>15</v>
      </c>
      <c r="F481">
        <v>47</v>
      </c>
      <c r="G481">
        <v>434</v>
      </c>
      <c r="H481">
        <v>20398</v>
      </c>
    </row>
    <row r="482" spans="1:8" x14ac:dyDescent="0.35">
      <c r="A482" s="2">
        <v>45312</v>
      </c>
      <c r="B482" s="7">
        <f t="shared" si="7"/>
        <v>1</v>
      </c>
      <c r="C482" s="7" t="str">
        <f>_xlfn.XLOOKUP(B482,catalogos!$A$2:$A$13,catalogos!$B$2:$B$13)</f>
        <v>January</v>
      </c>
      <c r="D482" t="s">
        <v>6</v>
      </c>
      <c r="E482" t="s">
        <v>14</v>
      </c>
      <c r="F482">
        <v>17</v>
      </c>
      <c r="G482">
        <v>153</v>
      </c>
      <c r="H482">
        <v>2601</v>
      </c>
    </row>
    <row r="483" spans="1:8" x14ac:dyDescent="0.35">
      <c r="A483" s="2">
        <v>45312</v>
      </c>
      <c r="B483" s="7">
        <f t="shared" si="7"/>
        <v>1</v>
      </c>
      <c r="C483" s="7" t="str">
        <f>_xlfn.XLOOKUP(B483,catalogos!$A$2:$A$13,catalogos!$B$2:$B$13)</f>
        <v>January</v>
      </c>
      <c r="D483" t="s">
        <v>9</v>
      </c>
      <c r="E483" t="s">
        <v>12</v>
      </c>
      <c r="F483">
        <v>82</v>
      </c>
      <c r="G483">
        <v>112</v>
      </c>
      <c r="H483">
        <v>9184</v>
      </c>
    </row>
    <row r="484" spans="1:8" x14ac:dyDescent="0.35">
      <c r="A484" s="2">
        <v>45312</v>
      </c>
      <c r="B484" s="7">
        <f t="shared" si="7"/>
        <v>1</v>
      </c>
      <c r="C484" s="7" t="str">
        <f>_xlfn.XLOOKUP(B484,catalogos!$A$2:$A$13,catalogos!$B$2:$B$13)</f>
        <v>January</v>
      </c>
      <c r="D484" t="s">
        <v>9</v>
      </c>
      <c r="E484" t="s">
        <v>14</v>
      </c>
      <c r="F484">
        <v>18</v>
      </c>
      <c r="G484">
        <v>318</v>
      </c>
      <c r="H484">
        <v>5724</v>
      </c>
    </row>
    <row r="485" spans="1:8" x14ac:dyDescent="0.35">
      <c r="A485" s="2">
        <v>45312</v>
      </c>
      <c r="B485" s="7">
        <f t="shared" si="7"/>
        <v>1</v>
      </c>
      <c r="C485" s="7" t="str">
        <f>_xlfn.XLOOKUP(B485,catalogos!$A$2:$A$13,catalogos!$B$2:$B$13)</f>
        <v>January</v>
      </c>
      <c r="D485" t="s">
        <v>7</v>
      </c>
      <c r="E485" t="s">
        <v>13</v>
      </c>
      <c r="F485">
        <v>40</v>
      </c>
      <c r="G485">
        <v>476</v>
      </c>
      <c r="H485">
        <v>19040</v>
      </c>
    </row>
    <row r="486" spans="1:8" x14ac:dyDescent="0.35">
      <c r="A486" s="2">
        <v>45312</v>
      </c>
      <c r="B486" s="7">
        <f t="shared" si="7"/>
        <v>1</v>
      </c>
      <c r="C486" s="7" t="str">
        <f>_xlfn.XLOOKUP(B486,catalogos!$A$2:$A$13,catalogos!$B$2:$B$13)</f>
        <v>January</v>
      </c>
      <c r="D486" t="s">
        <v>6</v>
      </c>
      <c r="E486" t="s">
        <v>14</v>
      </c>
      <c r="F486">
        <v>99</v>
      </c>
      <c r="G486">
        <v>34</v>
      </c>
      <c r="H486">
        <v>3366</v>
      </c>
    </row>
    <row r="487" spans="1:8" x14ac:dyDescent="0.35">
      <c r="A487" s="2">
        <v>45312</v>
      </c>
      <c r="B487" s="7">
        <f t="shared" si="7"/>
        <v>1</v>
      </c>
      <c r="C487" s="7" t="str">
        <f>_xlfn.XLOOKUP(B487,catalogos!$A$2:$A$13,catalogos!$B$2:$B$13)</f>
        <v>January</v>
      </c>
      <c r="D487" t="s">
        <v>8</v>
      </c>
      <c r="E487" t="s">
        <v>12</v>
      </c>
      <c r="F487">
        <v>73</v>
      </c>
      <c r="G487">
        <v>131</v>
      </c>
      <c r="H487">
        <v>9563</v>
      </c>
    </row>
    <row r="488" spans="1:8" x14ac:dyDescent="0.35">
      <c r="A488" s="2">
        <v>45312</v>
      </c>
      <c r="B488" s="7">
        <f t="shared" si="7"/>
        <v>1</v>
      </c>
      <c r="C488" s="7" t="str">
        <f>_xlfn.XLOOKUP(B488,catalogos!$A$2:$A$13,catalogos!$B$2:$B$13)</f>
        <v>January</v>
      </c>
      <c r="D488" t="s">
        <v>6</v>
      </c>
      <c r="E488" t="s">
        <v>15</v>
      </c>
      <c r="F488">
        <v>26</v>
      </c>
      <c r="G488">
        <v>178</v>
      </c>
      <c r="H488">
        <v>4628</v>
      </c>
    </row>
    <row r="489" spans="1:8" x14ac:dyDescent="0.35">
      <c r="A489" s="2">
        <v>45312</v>
      </c>
      <c r="B489" s="7">
        <f t="shared" si="7"/>
        <v>1</v>
      </c>
      <c r="C489" s="7" t="str">
        <f>_xlfn.XLOOKUP(B489,catalogos!$A$2:$A$13,catalogos!$B$2:$B$13)</f>
        <v>January</v>
      </c>
      <c r="D489" t="s">
        <v>6</v>
      </c>
      <c r="E489" t="s">
        <v>13</v>
      </c>
      <c r="F489">
        <v>93</v>
      </c>
      <c r="G489">
        <v>416</v>
      </c>
      <c r="H489">
        <v>38688</v>
      </c>
    </row>
    <row r="490" spans="1:8" x14ac:dyDescent="0.35">
      <c r="A490" s="2">
        <v>45312</v>
      </c>
      <c r="B490" s="7">
        <f t="shared" si="7"/>
        <v>1</v>
      </c>
      <c r="C490" s="7" t="str">
        <f>_xlfn.XLOOKUP(B490,catalogos!$A$2:$A$13,catalogos!$B$2:$B$13)</f>
        <v>January</v>
      </c>
      <c r="D490" t="s">
        <v>7</v>
      </c>
      <c r="E490" t="s">
        <v>14</v>
      </c>
      <c r="F490">
        <v>97</v>
      </c>
      <c r="G490">
        <v>346</v>
      </c>
      <c r="H490">
        <v>33562</v>
      </c>
    </row>
    <row r="491" spans="1:8" x14ac:dyDescent="0.35">
      <c r="A491" s="2">
        <v>45312</v>
      </c>
      <c r="B491" s="7">
        <f t="shared" si="7"/>
        <v>1</v>
      </c>
      <c r="C491" s="7" t="str">
        <f>_xlfn.XLOOKUP(B491,catalogos!$A$2:$A$13,catalogos!$B$2:$B$13)</f>
        <v>January</v>
      </c>
      <c r="D491" t="s">
        <v>7</v>
      </c>
      <c r="E491" t="s">
        <v>12</v>
      </c>
      <c r="F491">
        <v>76</v>
      </c>
      <c r="G491">
        <v>53</v>
      </c>
      <c r="H491">
        <v>4028</v>
      </c>
    </row>
    <row r="492" spans="1:8" x14ac:dyDescent="0.35">
      <c r="A492" s="2">
        <v>45312</v>
      </c>
      <c r="B492" s="7">
        <f t="shared" si="7"/>
        <v>1</v>
      </c>
      <c r="C492" s="7" t="str">
        <f>_xlfn.XLOOKUP(B492,catalogos!$A$2:$A$13,catalogos!$B$2:$B$13)</f>
        <v>January</v>
      </c>
      <c r="D492" t="s">
        <v>7</v>
      </c>
      <c r="E492" t="s">
        <v>13</v>
      </c>
      <c r="F492">
        <v>92</v>
      </c>
      <c r="G492">
        <v>132</v>
      </c>
      <c r="H492">
        <v>12144</v>
      </c>
    </row>
    <row r="493" spans="1:8" x14ac:dyDescent="0.35">
      <c r="A493" s="2">
        <v>45312</v>
      </c>
      <c r="B493" s="7">
        <f t="shared" si="7"/>
        <v>1</v>
      </c>
      <c r="C493" s="7" t="str">
        <f>_xlfn.XLOOKUP(B493,catalogos!$A$2:$A$13,catalogos!$B$2:$B$13)</f>
        <v>January</v>
      </c>
      <c r="D493" t="s">
        <v>9</v>
      </c>
      <c r="E493" t="s">
        <v>15</v>
      </c>
      <c r="F493">
        <v>58</v>
      </c>
      <c r="G493">
        <v>352</v>
      </c>
      <c r="H493">
        <v>20416</v>
      </c>
    </row>
    <row r="494" spans="1:8" x14ac:dyDescent="0.35">
      <c r="A494" s="2">
        <v>45312</v>
      </c>
      <c r="B494" s="7">
        <f t="shared" si="7"/>
        <v>1</v>
      </c>
      <c r="C494" s="7" t="str">
        <f>_xlfn.XLOOKUP(B494,catalogos!$A$2:$A$13,catalogos!$B$2:$B$13)</f>
        <v>January</v>
      </c>
      <c r="D494" t="s">
        <v>7</v>
      </c>
      <c r="E494" t="s">
        <v>12</v>
      </c>
      <c r="F494">
        <v>86</v>
      </c>
      <c r="G494">
        <v>188</v>
      </c>
      <c r="H494">
        <v>16168</v>
      </c>
    </row>
    <row r="495" spans="1:8" x14ac:dyDescent="0.35">
      <c r="A495" s="2">
        <v>45312</v>
      </c>
      <c r="B495" s="7">
        <f t="shared" si="7"/>
        <v>1</v>
      </c>
      <c r="C495" s="7" t="str">
        <f>_xlfn.XLOOKUP(B495,catalogos!$A$2:$A$13,catalogos!$B$2:$B$13)</f>
        <v>January</v>
      </c>
      <c r="D495" t="s">
        <v>9</v>
      </c>
      <c r="E495" t="s">
        <v>15</v>
      </c>
      <c r="F495">
        <v>74</v>
      </c>
      <c r="G495">
        <v>27</v>
      </c>
      <c r="H495">
        <v>1998</v>
      </c>
    </row>
    <row r="496" spans="1:8" x14ac:dyDescent="0.35">
      <c r="A496" s="2">
        <v>45312</v>
      </c>
      <c r="B496" s="7">
        <f t="shared" si="7"/>
        <v>1</v>
      </c>
      <c r="C496" s="7" t="str">
        <f>_xlfn.XLOOKUP(B496,catalogos!$A$2:$A$13,catalogos!$B$2:$B$13)</f>
        <v>January</v>
      </c>
      <c r="D496" t="s">
        <v>8</v>
      </c>
      <c r="E496" t="s">
        <v>15</v>
      </c>
      <c r="F496">
        <v>92</v>
      </c>
      <c r="G496">
        <v>33</v>
      </c>
      <c r="H496">
        <v>3036</v>
      </c>
    </row>
    <row r="497" spans="1:8" x14ac:dyDescent="0.35">
      <c r="A497" s="2">
        <v>45312</v>
      </c>
      <c r="B497" s="7">
        <f t="shared" si="7"/>
        <v>1</v>
      </c>
      <c r="C497" s="7" t="str">
        <f>_xlfn.XLOOKUP(B497,catalogos!$A$2:$A$13,catalogos!$B$2:$B$13)</f>
        <v>January</v>
      </c>
      <c r="D497" t="s">
        <v>7</v>
      </c>
      <c r="E497" t="s">
        <v>15</v>
      </c>
      <c r="F497">
        <v>8</v>
      </c>
      <c r="G497">
        <v>282</v>
      </c>
      <c r="H497">
        <v>2256</v>
      </c>
    </row>
    <row r="498" spans="1:8" x14ac:dyDescent="0.35">
      <c r="A498" s="2">
        <v>45312</v>
      </c>
      <c r="B498" s="7">
        <f t="shared" si="7"/>
        <v>1</v>
      </c>
      <c r="C498" s="7" t="str">
        <f>_xlfn.XLOOKUP(B498,catalogos!$A$2:$A$13,catalogos!$B$2:$B$13)</f>
        <v>January</v>
      </c>
      <c r="D498" t="s">
        <v>10</v>
      </c>
      <c r="E498" t="s">
        <v>15</v>
      </c>
      <c r="F498">
        <v>70</v>
      </c>
      <c r="G498">
        <v>237</v>
      </c>
      <c r="H498">
        <v>16590</v>
      </c>
    </row>
    <row r="499" spans="1:8" x14ac:dyDescent="0.35">
      <c r="A499" s="2">
        <v>45312</v>
      </c>
      <c r="B499" s="7">
        <f t="shared" si="7"/>
        <v>1</v>
      </c>
      <c r="C499" s="7" t="str">
        <f>_xlfn.XLOOKUP(B499,catalogos!$A$2:$A$13,catalogos!$B$2:$B$13)</f>
        <v>January</v>
      </c>
      <c r="D499" t="s">
        <v>10</v>
      </c>
      <c r="E499" t="s">
        <v>15</v>
      </c>
      <c r="F499">
        <v>25</v>
      </c>
      <c r="G499">
        <v>430</v>
      </c>
      <c r="H499">
        <v>10750</v>
      </c>
    </row>
    <row r="500" spans="1:8" x14ac:dyDescent="0.35">
      <c r="A500" s="2">
        <v>45312</v>
      </c>
      <c r="B500" s="7">
        <f t="shared" si="7"/>
        <v>1</v>
      </c>
      <c r="C500" s="7" t="str">
        <f>_xlfn.XLOOKUP(B500,catalogos!$A$2:$A$13,catalogos!$B$2:$B$13)</f>
        <v>January</v>
      </c>
      <c r="D500" t="s">
        <v>9</v>
      </c>
      <c r="E500" t="s">
        <v>12</v>
      </c>
      <c r="F500">
        <v>34</v>
      </c>
      <c r="G500">
        <v>342</v>
      </c>
      <c r="H500">
        <v>11628</v>
      </c>
    </row>
    <row r="501" spans="1:8" x14ac:dyDescent="0.35">
      <c r="A501" s="2">
        <v>45312</v>
      </c>
      <c r="B501" s="7">
        <f t="shared" si="7"/>
        <v>1</v>
      </c>
      <c r="C501" s="7" t="str">
        <f>_xlfn.XLOOKUP(B501,catalogos!$A$2:$A$13,catalogos!$B$2:$B$13)</f>
        <v>January</v>
      </c>
      <c r="D501" t="s">
        <v>9</v>
      </c>
      <c r="E501" t="s">
        <v>15</v>
      </c>
      <c r="F501">
        <v>79</v>
      </c>
      <c r="G501">
        <v>308</v>
      </c>
      <c r="H501">
        <v>24332</v>
      </c>
    </row>
    <row r="502" spans="1:8" x14ac:dyDescent="0.35">
      <c r="A502" s="2">
        <v>45312</v>
      </c>
      <c r="B502" s="7">
        <f t="shared" si="7"/>
        <v>1</v>
      </c>
      <c r="C502" s="7" t="str">
        <f>_xlfn.XLOOKUP(B502,catalogos!$A$2:$A$13,catalogos!$B$2:$B$13)</f>
        <v>January</v>
      </c>
      <c r="D502" t="s">
        <v>6</v>
      </c>
      <c r="E502" t="s">
        <v>14</v>
      </c>
      <c r="F502">
        <v>51</v>
      </c>
      <c r="G502">
        <v>456</v>
      </c>
      <c r="H502">
        <v>23256</v>
      </c>
    </row>
    <row r="503" spans="1:8" x14ac:dyDescent="0.35">
      <c r="A503" s="2">
        <v>45312</v>
      </c>
      <c r="B503" s="7">
        <f t="shared" si="7"/>
        <v>1</v>
      </c>
      <c r="C503" s="7" t="str">
        <f>_xlfn.XLOOKUP(B503,catalogos!$A$2:$A$13,catalogos!$B$2:$B$13)</f>
        <v>January</v>
      </c>
      <c r="D503" t="s">
        <v>8</v>
      </c>
      <c r="E503" t="s">
        <v>12</v>
      </c>
      <c r="F503">
        <v>81</v>
      </c>
      <c r="G503">
        <v>210</v>
      </c>
      <c r="H503">
        <v>17010</v>
      </c>
    </row>
    <row r="504" spans="1:8" x14ac:dyDescent="0.35">
      <c r="A504" s="2">
        <v>45312</v>
      </c>
      <c r="B504" s="7">
        <f t="shared" si="7"/>
        <v>1</v>
      </c>
      <c r="C504" s="7" t="str">
        <f>_xlfn.XLOOKUP(B504,catalogos!$A$2:$A$13,catalogos!$B$2:$B$13)</f>
        <v>January</v>
      </c>
      <c r="D504" t="s">
        <v>10</v>
      </c>
      <c r="E504" t="s">
        <v>14</v>
      </c>
      <c r="F504">
        <v>67</v>
      </c>
      <c r="G504">
        <v>111</v>
      </c>
      <c r="H504">
        <v>7437</v>
      </c>
    </row>
    <row r="505" spans="1:8" x14ac:dyDescent="0.35">
      <c r="A505" s="2">
        <v>45312</v>
      </c>
      <c r="B505" s="7">
        <f t="shared" si="7"/>
        <v>1</v>
      </c>
      <c r="C505" s="7" t="str">
        <f>_xlfn.XLOOKUP(B505,catalogos!$A$2:$A$13,catalogos!$B$2:$B$13)</f>
        <v>January</v>
      </c>
      <c r="D505" t="s">
        <v>10</v>
      </c>
      <c r="E505" t="s">
        <v>11</v>
      </c>
      <c r="F505">
        <v>94</v>
      </c>
      <c r="G505">
        <v>138</v>
      </c>
      <c r="H505">
        <v>12972</v>
      </c>
    </row>
    <row r="506" spans="1:8" x14ac:dyDescent="0.35">
      <c r="A506" s="2">
        <v>45313</v>
      </c>
      <c r="B506" s="7">
        <f t="shared" si="7"/>
        <v>1</v>
      </c>
      <c r="C506" s="7" t="str">
        <f>_xlfn.XLOOKUP(B506,catalogos!$A$2:$A$13,catalogos!$B$2:$B$13)</f>
        <v>January</v>
      </c>
      <c r="D506" t="s">
        <v>9</v>
      </c>
      <c r="E506" t="s">
        <v>11</v>
      </c>
      <c r="F506">
        <v>52</v>
      </c>
      <c r="G506">
        <v>136</v>
      </c>
      <c r="H506">
        <v>7072</v>
      </c>
    </row>
    <row r="507" spans="1:8" x14ac:dyDescent="0.35">
      <c r="A507" s="2">
        <v>45313</v>
      </c>
      <c r="B507" s="7">
        <f t="shared" si="7"/>
        <v>1</v>
      </c>
      <c r="C507" s="7" t="str">
        <f>_xlfn.XLOOKUP(B507,catalogos!$A$2:$A$13,catalogos!$B$2:$B$13)</f>
        <v>January</v>
      </c>
      <c r="D507" t="s">
        <v>9</v>
      </c>
      <c r="E507" t="s">
        <v>13</v>
      </c>
      <c r="F507">
        <v>30</v>
      </c>
      <c r="G507">
        <v>405</v>
      </c>
      <c r="H507">
        <v>12150</v>
      </c>
    </row>
    <row r="508" spans="1:8" x14ac:dyDescent="0.35">
      <c r="A508" s="2">
        <v>45313</v>
      </c>
      <c r="B508" s="7">
        <f t="shared" si="7"/>
        <v>1</v>
      </c>
      <c r="C508" s="7" t="str">
        <f>_xlfn.XLOOKUP(B508,catalogos!$A$2:$A$13,catalogos!$B$2:$B$13)</f>
        <v>January</v>
      </c>
      <c r="D508" t="s">
        <v>7</v>
      </c>
      <c r="E508" t="s">
        <v>13</v>
      </c>
      <c r="F508">
        <v>55</v>
      </c>
      <c r="G508">
        <v>222</v>
      </c>
      <c r="H508">
        <v>12210</v>
      </c>
    </row>
    <row r="509" spans="1:8" x14ac:dyDescent="0.35">
      <c r="A509" s="2">
        <v>45313</v>
      </c>
      <c r="B509" s="7">
        <f t="shared" si="7"/>
        <v>1</v>
      </c>
      <c r="C509" s="7" t="str">
        <f>_xlfn.XLOOKUP(B509,catalogos!$A$2:$A$13,catalogos!$B$2:$B$13)</f>
        <v>January</v>
      </c>
      <c r="D509" t="s">
        <v>10</v>
      </c>
      <c r="E509" t="s">
        <v>13</v>
      </c>
      <c r="F509">
        <v>34</v>
      </c>
      <c r="G509">
        <v>149</v>
      </c>
      <c r="H509">
        <v>5066</v>
      </c>
    </row>
    <row r="510" spans="1:8" x14ac:dyDescent="0.35">
      <c r="A510" s="2">
        <v>45313</v>
      </c>
      <c r="B510" s="7">
        <f t="shared" si="7"/>
        <v>1</v>
      </c>
      <c r="C510" s="7" t="str">
        <f>_xlfn.XLOOKUP(B510,catalogos!$A$2:$A$13,catalogos!$B$2:$B$13)</f>
        <v>January</v>
      </c>
      <c r="D510" t="s">
        <v>10</v>
      </c>
      <c r="E510" t="s">
        <v>14</v>
      </c>
      <c r="F510">
        <v>3</v>
      </c>
      <c r="G510">
        <v>48</v>
      </c>
      <c r="H510">
        <v>144</v>
      </c>
    </row>
    <row r="511" spans="1:8" x14ac:dyDescent="0.35">
      <c r="A511" s="2">
        <v>45313</v>
      </c>
      <c r="B511" s="7">
        <f t="shared" si="7"/>
        <v>1</v>
      </c>
      <c r="C511" s="7" t="str">
        <f>_xlfn.XLOOKUP(B511,catalogos!$A$2:$A$13,catalogos!$B$2:$B$13)</f>
        <v>January</v>
      </c>
      <c r="D511" t="s">
        <v>6</v>
      </c>
      <c r="E511" t="s">
        <v>12</v>
      </c>
      <c r="F511">
        <v>26</v>
      </c>
      <c r="G511">
        <v>103</v>
      </c>
      <c r="H511">
        <v>2678</v>
      </c>
    </row>
    <row r="512" spans="1:8" x14ac:dyDescent="0.35">
      <c r="A512" s="2">
        <v>45313</v>
      </c>
      <c r="B512" s="7">
        <f t="shared" si="7"/>
        <v>1</v>
      </c>
      <c r="C512" s="7" t="str">
        <f>_xlfn.XLOOKUP(B512,catalogos!$A$2:$A$13,catalogos!$B$2:$B$13)</f>
        <v>January</v>
      </c>
      <c r="D512" t="s">
        <v>6</v>
      </c>
      <c r="E512" t="s">
        <v>15</v>
      </c>
      <c r="F512">
        <v>29</v>
      </c>
      <c r="G512">
        <v>40</v>
      </c>
      <c r="H512">
        <v>1160</v>
      </c>
    </row>
    <row r="513" spans="1:8" x14ac:dyDescent="0.35">
      <c r="A513" s="2">
        <v>45313</v>
      </c>
      <c r="B513" s="7">
        <f t="shared" si="7"/>
        <v>1</v>
      </c>
      <c r="C513" s="7" t="str">
        <f>_xlfn.XLOOKUP(B513,catalogos!$A$2:$A$13,catalogos!$B$2:$B$13)</f>
        <v>January</v>
      </c>
      <c r="D513" t="s">
        <v>7</v>
      </c>
      <c r="E513" t="s">
        <v>15</v>
      </c>
      <c r="F513">
        <v>83</v>
      </c>
      <c r="G513">
        <v>128</v>
      </c>
      <c r="H513">
        <v>10624</v>
      </c>
    </row>
    <row r="514" spans="1:8" x14ac:dyDescent="0.35">
      <c r="A514" s="2">
        <v>45313</v>
      </c>
      <c r="B514" s="7">
        <f t="shared" si="7"/>
        <v>1</v>
      </c>
      <c r="C514" s="7" t="str">
        <f>_xlfn.XLOOKUP(B514,catalogos!$A$2:$A$13,catalogos!$B$2:$B$13)</f>
        <v>January</v>
      </c>
      <c r="D514" t="s">
        <v>9</v>
      </c>
      <c r="E514" t="s">
        <v>15</v>
      </c>
      <c r="F514">
        <v>81</v>
      </c>
      <c r="G514">
        <v>198</v>
      </c>
      <c r="H514">
        <v>16038</v>
      </c>
    </row>
    <row r="515" spans="1:8" x14ac:dyDescent="0.35">
      <c r="A515" s="2">
        <v>45313</v>
      </c>
      <c r="B515" s="7">
        <f t="shared" ref="B515:B578" si="8">MONTH(A515)</f>
        <v>1</v>
      </c>
      <c r="C515" s="7" t="str">
        <f>_xlfn.XLOOKUP(B515,catalogos!$A$2:$A$13,catalogos!$B$2:$B$13)</f>
        <v>January</v>
      </c>
      <c r="D515" t="s">
        <v>6</v>
      </c>
      <c r="E515" t="s">
        <v>14</v>
      </c>
      <c r="F515">
        <v>27</v>
      </c>
      <c r="G515">
        <v>434</v>
      </c>
      <c r="H515">
        <v>11718</v>
      </c>
    </row>
    <row r="516" spans="1:8" x14ac:dyDescent="0.35">
      <c r="A516" s="2">
        <v>45313</v>
      </c>
      <c r="B516" s="7">
        <f t="shared" si="8"/>
        <v>1</v>
      </c>
      <c r="C516" s="7" t="str">
        <f>_xlfn.XLOOKUP(B516,catalogos!$A$2:$A$13,catalogos!$B$2:$B$13)</f>
        <v>January</v>
      </c>
      <c r="D516" t="s">
        <v>9</v>
      </c>
      <c r="E516" t="s">
        <v>11</v>
      </c>
      <c r="F516">
        <v>25</v>
      </c>
      <c r="G516">
        <v>104</v>
      </c>
      <c r="H516">
        <v>2600</v>
      </c>
    </row>
    <row r="517" spans="1:8" x14ac:dyDescent="0.35">
      <c r="A517" s="2">
        <v>45313</v>
      </c>
      <c r="B517" s="7">
        <f t="shared" si="8"/>
        <v>1</v>
      </c>
      <c r="C517" s="7" t="str">
        <f>_xlfn.XLOOKUP(B517,catalogos!$A$2:$A$13,catalogos!$B$2:$B$13)</f>
        <v>January</v>
      </c>
      <c r="D517" t="s">
        <v>7</v>
      </c>
      <c r="E517" t="s">
        <v>15</v>
      </c>
      <c r="F517">
        <v>81</v>
      </c>
      <c r="G517">
        <v>173</v>
      </c>
      <c r="H517">
        <v>14013</v>
      </c>
    </row>
    <row r="518" spans="1:8" x14ac:dyDescent="0.35">
      <c r="A518" s="2">
        <v>45313</v>
      </c>
      <c r="B518" s="7">
        <f t="shared" si="8"/>
        <v>1</v>
      </c>
      <c r="C518" s="7" t="str">
        <f>_xlfn.XLOOKUP(B518,catalogos!$A$2:$A$13,catalogos!$B$2:$B$13)</f>
        <v>January</v>
      </c>
      <c r="D518" t="s">
        <v>6</v>
      </c>
      <c r="E518" t="s">
        <v>11</v>
      </c>
      <c r="F518">
        <v>89</v>
      </c>
      <c r="G518">
        <v>246</v>
      </c>
      <c r="H518">
        <v>21894</v>
      </c>
    </row>
    <row r="519" spans="1:8" x14ac:dyDescent="0.35">
      <c r="A519" s="2">
        <v>45313</v>
      </c>
      <c r="B519" s="7">
        <f t="shared" si="8"/>
        <v>1</v>
      </c>
      <c r="C519" s="7" t="str">
        <f>_xlfn.XLOOKUP(B519,catalogos!$A$2:$A$13,catalogos!$B$2:$B$13)</f>
        <v>January</v>
      </c>
      <c r="D519" t="s">
        <v>9</v>
      </c>
      <c r="E519" t="s">
        <v>12</v>
      </c>
      <c r="F519">
        <v>95</v>
      </c>
      <c r="G519">
        <v>268</v>
      </c>
      <c r="H519">
        <v>25460</v>
      </c>
    </row>
    <row r="520" spans="1:8" x14ac:dyDescent="0.35">
      <c r="A520" s="2">
        <v>45313</v>
      </c>
      <c r="B520" s="7">
        <f t="shared" si="8"/>
        <v>1</v>
      </c>
      <c r="C520" s="7" t="str">
        <f>_xlfn.XLOOKUP(B520,catalogos!$A$2:$A$13,catalogos!$B$2:$B$13)</f>
        <v>January</v>
      </c>
      <c r="D520" t="s">
        <v>9</v>
      </c>
      <c r="E520" t="s">
        <v>13</v>
      </c>
      <c r="F520">
        <v>28</v>
      </c>
      <c r="G520">
        <v>234</v>
      </c>
      <c r="H520">
        <v>6552</v>
      </c>
    </row>
    <row r="521" spans="1:8" x14ac:dyDescent="0.35">
      <c r="A521" s="2">
        <v>45313</v>
      </c>
      <c r="B521" s="7">
        <f t="shared" si="8"/>
        <v>1</v>
      </c>
      <c r="C521" s="7" t="str">
        <f>_xlfn.XLOOKUP(B521,catalogos!$A$2:$A$13,catalogos!$B$2:$B$13)</f>
        <v>January</v>
      </c>
      <c r="D521" t="s">
        <v>9</v>
      </c>
      <c r="E521" t="s">
        <v>15</v>
      </c>
      <c r="F521">
        <v>19</v>
      </c>
      <c r="G521">
        <v>466</v>
      </c>
      <c r="H521">
        <v>8854</v>
      </c>
    </row>
    <row r="522" spans="1:8" x14ac:dyDescent="0.35">
      <c r="A522" s="2">
        <v>45313</v>
      </c>
      <c r="B522" s="7">
        <f t="shared" si="8"/>
        <v>1</v>
      </c>
      <c r="C522" s="7" t="str">
        <f>_xlfn.XLOOKUP(B522,catalogos!$A$2:$A$13,catalogos!$B$2:$B$13)</f>
        <v>January</v>
      </c>
      <c r="D522" t="s">
        <v>9</v>
      </c>
      <c r="E522" t="s">
        <v>11</v>
      </c>
      <c r="F522">
        <v>73</v>
      </c>
      <c r="G522">
        <v>85</v>
      </c>
      <c r="H522">
        <v>6205</v>
      </c>
    </row>
    <row r="523" spans="1:8" x14ac:dyDescent="0.35">
      <c r="A523" s="2">
        <v>45313</v>
      </c>
      <c r="B523" s="7">
        <f t="shared" si="8"/>
        <v>1</v>
      </c>
      <c r="C523" s="7" t="str">
        <f>_xlfn.XLOOKUP(B523,catalogos!$A$2:$A$13,catalogos!$B$2:$B$13)</f>
        <v>January</v>
      </c>
      <c r="D523" t="s">
        <v>9</v>
      </c>
      <c r="E523" t="s">
        <v>12</v>
      </c>
      <c r="F523">
        <v>11</v>
      </c>
      <c r="G523">
        <v>275</v>
      </c>
      <c r="H523">
        <v>3025</v>
      </c>
    </row>
    <row r="524" spans="1:8" x14ac:dyDescent="0.35">
      <c r="A524" s="2">
        <v>45313</v>
      </c>
      <c r="B524" s="7">
        <f t="shared" si="8"/>
        <v>1</v>
      </c>
      <c r="C524" s="7" t="str">
        <f>_xlfn.XLOOKUP(B524,catalogos!$A$2:$A$13,catalogos!$B$2:$B$13)</f>
        <v>January</v>
      </c>
      <c r="D524" t="s">
        <v>6</v>
      </c>
      <c r="E524" t="s">
        <v>15</v>
      </c>
      <c r="F524">
        <v>72</v>
      </c>
      <c r="G524">
        <v>491</v>
      </c>
      <c r="H524">
        <v>35352</v>
      </c>
    </row>
    <row r="525" spans="1:8" x14ac:dyDescent="0.35">
      <c r="A525" s="2">
        <v>45313</v>
      </c>
      <c r="B525" s="7">
        <f t="shared" si="8"/>
        <v>1</v>
      </c>
      <c r="C525" s="7" t="str">
        <f>_xlfn.XLOOKUP(B525,catalogos!$A$2:$A$13,catalogos!$B$2:$B$13)</f>
        <v>January</v>
      </c>
      <c r="D525" t="s">
        <v>8</v>
      </c>
      <c r="E525" t="s">
        <v>11</v>
      </c>
      <c r="F525">
        <v>42</v>
      </c>
      <c r="G525">
        <v>8</v>
      </c>
      <c r="H525">
        <v>336</v>
      </c>
    </row>
    <row r="526" spans="1:8" x14ac:dyDescent="0.35">
      <c r="A526" s="2">
        <v>45313</v>
      </c>
      <c r="B526" s="7">
        <f t="shared" si="8"/>
        <v>1</v>
      </c>
      <c r="C526" s="7" t="str">
        <f>_xlfn.XLOOKUP(B526,catalogos!$A$2:$A$13,catalogos!$B$2:$B$13)</f>
        <v>January</v>
      </c>
      <c r="D526" t="s">
        <v>8</v>
      </c>
      <c r="E526" t="s">
        <v>11</v>
      </c>
      <c r="F526">
        <v>31</v>
      </c>
      <c r="G526">
        <v>446</v>
      </c>
      <c r="H526">
        <v>13826</v>
      </c>
    </row>
    <row r="527" spans="1:8" x14ac:dyDescent="0.35">
      <c r="A527" s="2">
        <v>45313</v>
      </c>
      <c r="B527" s="7">
        <f t="shared" si="8"/>
        <v>1</v>
      </c>
      <c r="C527" s="7" t="str">
        <f>_xlfn.XLOOKUP(B527,catalogos!$A$2:$A$13,catalogos!$B$2:$B$13)</f>
        <v>January</v>
      </c>
      <c r="D527" t="s">
        <v>9</v>
      </c>
      <c r="E527" t="s">
        <v>11</v>
      </c>
      <c r="F527">
        <v>32</v>
      </c>
      <c r="G527">
        <v>489</v>
      </c>
      <c r="H527">
        <v>15648</v>
      </c>
    </row>
    <row r="528" spans="1:8" x14ac:dyDescent="0.35">
      <c r="A528" s="2">
        <v>45313</v>
      </c>
      <c r="B528" s="7">
        <f t="shared" si="8"/>
        <v>1</v>
      </c>
      <c r="C528" s="7" t="str">
        <f>_xlfn.XLOOKUP(B528,catalogos!$A$2:$A$13,catalogos!$B$2:$B$13)</f>
        <v>January</v>
      </c>
      <c r="D528" t="s">
        <v>7</v>
      </c>
      <c r="E528" t="s">
        <v>15</v>
      </c>
      <c r="F528">
        <v>87</v>
      </c>
      <c r="G528">
        <v>189</v>
      </c>
      <c r="H528">
        <v>16443</v>
      </c>
    </row>
    <row r="529" spans="1:8" x14ac:dyDescent="0.35">
      <c r="A529" s="2">
        <v>45313</v>
      </c>
      <c r="B529" s="7">
        <f t="shared" si="8"/>
        <v>1</v>
      </c>
      <c r="C529" s="7" t="str">
        <f>_xlfn.XLOOKUP(B529,catalogos!$A$2:$A$13,catalogos!$B$2:$B$13)</f>
        <v>January</v>
      </c>
      <c r="D529" t="s">
        <v>7</v>
      </c>
      <c r="E529" t="s">
        <v>11</v>
      </c>
      <c r="F529">
        <v>38</v>
      </c>
      <c r="G529">
        <v>413</v>
      </c>
      <c r="H529">
        <v>15694</v>
      </c>
    </row>
    <row r="530" spans="1:8" x14ac:dyDescent="0.35">
      <c r="A530" s="2">
        <v>45314</v>
      </c>
      <c r="B530" s="7">
        <f t="shared" si="8"/>
        <v>1</v>
      </c>
      <c r="C530" s="7" t="str">
        <f>_xlfn.XLOOKUP(B530,catalogos!$A$2:$A$13,catalogos!$B$2:$B$13)</f>
        <v>January</v>
      </c>
      <c r="D530" t="s">
        <v>7</v>
      </c>
      <c r="E530" t="s">
        <v>14</v>
      </c>
      <c r="F530">
        <v>16</v>
      </c>
      <c r="G530">
        <v>453</v>
      </c>
      <c r="H530">
        <v>7248</v>
      </c>
    </row>
    <row r="531" spans="1:8" x14ac:dyDescent="0.35">
      <c r="A531" s="2">
        <v>45314</v>
      </c>
      <c r="B531" s="7">
        <f t="shared" si="8"/>
        <v>1</v>
      </c>
      <c r="C531" s="7" t="str">
        <f>_xlfn.XLOOKUP(B531,catalogos!$A$2:$A$13,catalogos!$B$2:$B$13)</f>
        <v>January</v>
      </c>
      <c r="D531" t="s">
        <v>7</v>
      </c>
      <c r="E531" t="s">
        <v>14</v>
      </c>
      <c r="F531">
        <v>35</v>
      </c>
      <c r="G531">
        <v>57</v>
      </c>
      <c r="H531">
        <v>1995</v>
      </c>
    </row>
    <row r="532" spans="1:8" x14ac:dyDescent="0.35">
      <c r="A532" s="2">
        <v>45314</v>
      </c>
      <c r="B532" s="7">
        <f t="shared" si="8"/>
        <v>1</v>
      </c>
      <c r="C532" s="7" t="str">
        <f>_xlfn.XLOOKUP(B532,catalogos!$A$2:$A$13,catalogos!$B$2:$B$13)</f>
        <v>January</v>
      </c>
      <c r="D532" t="s">
        <v>8</v>
      </c>
      <c r="E532" t="s">
        <v>13</v>
      </c>
      <c r="F532">
        <v>73</v>
      </c>
      <c r="G532">
        <v>204</v>
      </c>
      <c r="H532">
        <v>14892</v>
      </c>
    </row>
    <row r="533" spans="1:8" x14ac:dyDescent="0.35">
      <c r="A533" s="2">
        <v>45314</v>
      </c>
      <c r="B533" s="7">
        <f t="shared" si="8"/>
        <v>1</v>
      </c>
      <c r="C533" s="7" t="str">
        <f>_xlfn.XLOOKUP(B533,catalogos!$A$2:$A$13,catalogos!$B$2:$B$13)</f>
        <v>January</v>
      </c>
      <c r="D533" t="s">
        <v>9</v>
      </c>
      <c r="E533" t="s">
        <v>12</v>
      </c>
      <c r="F533">
        <v>44</v>
      </c>
      <c r="G533">
        <v>55</v>
      </c>
      <c r="H533">
        <v>2420</v>
      </c>
    </row>
    <row r="534" spans="1:8" x14ac:dyDescent="0.35">
      <c r="A534" s="2">
        <v>45314</v>
      </c>
      <c r="B534" s="7">
        <f t="shared" si="8"/>
        <v>1</v>
      </c>
      <c r="C534" s="7" t="str">
        <f>_xlfn.XLOOKUP(B534,catalogos!$A$2:$A$13,catalogos!$B$2:$B$13)</f>
        <v>January</v>
      </c>
      <c r="D534" t="s">
        <v>8</v>
      </c>
      <c r="E534" t="s">
        <v>13</v>
      </c>
      <c r="F534">
        <v>80</v>
      </c>
      <c r="G534">
        <v>486</v>
      </c>
      <c r="H534">
        <v>38880</v>
      </c>
    </row>
    <row r="535" spans="1:8" x14ac:dyDescent="0.35">
      <c r="A535" s="2">
        <v>45314</v>
      </c>
      <c r="B535" s="7">
        <f t="shared" si="8"/>
        <v>1</v>
      </c>
      <c r="C535" s="7" t="str">
        <f>_xlfn.XLOOKUP(B535,catalogos!$A$2:$A$13,catalogos!$B$2:$B$13)</f>
        <v>January</v>
      </c>
      <c r="D535" t="s">
        <v>7</v>
      </c>
      <c r="E535" t="s">
        <v>12</v>
      </c>
      <c r="F535">
        <v>3</v>
      </c>
      <c r="G535">
        <v>392</v>
      </c>
      <c r="H535">
        <v>1176</v>
      </c>
    </row>
    <row r="536" spans="1:8" x14ac:dyDescent="0.35">
      <c r="A536" s="2">
        <v>45314</v>
      </c>
      <c r="B536" s="7">
        <f t="shared" si="8"/>
        <v>1</v>
      </c>
      <c r="C536" s="7" t="str">
        <f>_xlfn.XLOOKUP(B536,catalogos!$A$2:$A$13,catalogos!$B$2:$B$13)</f>
        <v>January</v>
      </c>
      <c r="D536" t="s">
        <v>10</v>
      </c>
      <c r="E536" t="s">
        <v>14</v>
      </c>
      <c r="F536">
        <v>93</v>
      </c>
      <c r="G536">
        <v>419</v>
      </c>
      <c r="H536">
        <v>38967</v>
      </c>
    </row>
    <row r="537" spans="1:8" x14ac:dyDescent="0.35">
      <c r="A537" s="2">
        <v>45314</v>
      </c>
      <c r="B537" s="7">
        <f t="shared" si="8"/>
        <v>1</v>
      </c>
      <c r="C537" s="7" t="str">
        <f>_xlfn.XLOOKUP(B537,catalogos!$A$2:$A$13,catalogos!$B$2:$B$13)</f>
        <v>January</v>
      </c>
      <c r="D537" t="s">
        <v>9</v>
      </c>
      <c r="E537" t="s">
        <v>15</v>
      </c>
      <c r="F537">
        <v>87</v>
      </c>
      <c r="G537">
        <v>181</v>
      </c>
      <c r="H537">
        <v>15747</v>
      </c>
    </row>
    <row r="538" spans="1:8" x14ac:dyDescent="0.35">
      <c r="A538" s="2">
        <v>45314</v>
      </c>
      <c r="B538" s="7">
        <f t="shared" si="8"/>
        <v>1</v>
      </c>
      <c r="C538" s="7" t="str">
        <f>_xlfn.XLOOKUP(B538,catalogos!$A$2:$A$13,catalogos!$B$2:$B$13)</f>
        <v>January</v>
      </c>
      <c r="D538" t="s">
        <v>10</v>
      </c>
      <c r="E538" t="s">
        <v>15</v>
      </c>
      <c r="F538">
        <v>29</v>
      </c>
      <c r="G538">
        <v>110</v>
      </c>
      <c r="H538">
        <v>3190</v>
      </c>
    </row>
    <row r="539" spans="1:8" x14ac:dyDescent="0.35">
      <c r="A539" s="2">
        <v>45314</v>
      </c>
      <c r="B539" s="7">
        <f t="shared" si="8"/>
        <v>1</v>
      </c>
      <c r="C539" s="7" t="str">
        <f>_xlfn.XLOOKUP(B539,catalogos!$A$2:$A$13,catalogos!$B$2:$B$13)</f>
        <v>January</v>
      </c>
      <c r="D539" t="s">
        <v>7</v>
      </c>
      <c r="E539" t="s">
        <v>13</v>
      </c>
      <c r="F539">
        <v>1</v>
      </c>
      <c r="G539">
        <v>238</v>
      </c>
      <c r="H539">
        <v>238</v>
      </c>
    </row>
    <row r="540" spans="1:8" x14ac:dyDescent="0.35">
      <c r="A540" s="2">
        <v>45314</v>
      </c>
      <c r="B540" s="7">
        <f t="shared" si="8"/>
        <v>1</v>
      </c>
      <c r="C540" s="7" t="str">
        <f>_xlfn.XLOOKUP(B540,catalogos!$A$2:$A$13,catalogos!$B$2:$B$13)</f>
        <v>January</v>
      </c>
      <c r="D540" t="s">
        <v>6</v>
      </c>
      <c r="E540" t="s">
        <v>11</v>
      </c>
      <c r="F540">
        <v>6</v>
      </c>
      <c r="G540">
        <v>322</v>
      </c>
      <c r="H540">
        <v>1932</v>
      </c>
    </row>
    <row r="541" spans="1:8" x14ac:dyDescent="0.35">
      <c r="A541" s="2">
        <v>45314</v>
      </c>
      <c r="B541" s="7">
        <f t="shared" si="8"/>
        <v>1</v>
      </c>
      <c r="C541" s="7" t="str">
        <f>_xlfn.XLOOKUP(B541,catalogos!$A$2:$A$13,catalogos!$B$2:$B$13)</f>
        <v>January</v>
      </c>
      <c r="D541" t="s">
        <v>10</v>
      </c>
      <c r="E541" t="s">
        <v>15</v>
      </c>
      <c r="F541">
        <v>25</v>
      </c>
      <c r="G541">
        <v>178</v>
      </c>
      <c r="H541">
        <v>4450</v>
      </c>
    </row>
    <row r="542" spans="1:8" x14ac:dyDescent="0.35">
      <c r="A542" s="2">
        <v>45314</v>
      </c>
      <c r="B542" s="7">
        <f t="shared" si="8"/>
        <v>1</v>
      </c>
      <c r="C542" s="7" t="str">
        <f>_xlfn.XLOOKUP(B542,catalogos!$A$2:$A$13,catalogos!$B$2:$B$13)</f>
        <v>January</v>
      </c>
      <c r="D542" t="s">
        <v>9</v>
      </c>
      <c r="E542" t="s">
        <v>14</v>
      </c>
      <c r="F542">
        <v>24</v>
      </c>
      <c r="G542">
        <v>256</v>
      </c>
      <c r="H542">
        <v>6144</v>
      </c>
    </row>
    <row r="543" spans="1:8" x14ac:dyDescent="0.35">
      <c r="A543" s="2">
        <v>45314</v>
      </c>
      <c r="B543" s="7">
        <f t="shared" si="8"/>
        <v>1</v>
      </c>
      <c r="C543" s="7" t="str">
        <f>_xlfn.XLOOKUP(B543,catalogos!$A$2:$A$13,catalogos!$B$2:$B$13)</f>
        <v>January</v>
      </c>
      <c r="D543" t="s">
        <v>7</v>
      </c>
      <c r="E543" t="s">
        <v>14</v>
      </c>
      <c r="F543">
        <v>3</v>
      </c>
      <c r="G543">
        <v>469</v>
      </c>
      <c r="H543">
        <v>1407</v>
      </c>
    </row>
    <row r="544" spans="1:8" x14ac:dyDescent="0.35">
      <c r="A544" s="2">
        <v>45314</v>
      </c>
      <c r="B544" s="7">
        <f t="shared" si="8"/>
        <v>1</v>
      </c>
      <c r="C544" s="7" t="str">
        <f>_xlfn.XLOOKUP(B544,catalogos!$A$2:$A$13,catalogos!$B$2:$B$13)</f>
        <v>January</v>
      </c>
      <c r="D544" t="s">
        <v>10</v>
      </c>
      <c r="E544" t="s">
        <v>13</v>
      </c>
      <c r="F544">
        <v>99</v>
      </c>
      <c r="G544">
        <v>88</v>
      </c>
      <c r="H544">
        <v>8712</v>
      </c>
    </row>
    <row r="545" spans="1:8" x14ac:dyDescent="0.35">
      <c r="A545" s="2">
        <v>45314</v>
      </c>
      <c r="B545" s="7">
        <f t="shared" si="8"/>
        <v>1</v>
      </c>
      <c r="C545" s="7" t="str">
        <f>_xlfn.XLOOKUP(B545,catalogos!$A$2:$A$13,catalogos!$B$2:$B$13)</f>
        <v>January</v>
      </c>
      <c r="D545" t="s">
        <v>6</v>
      </c>
      <c r="E545" t="s">
        <v>14</v>
      </c>
      <c r="F545">
        <v>13</v>
      </c>
      <c r="G545">
        <v>453</v>
      </c>
      <c r="H545">
        <v>5889</v>
      </c>
    </row>
    <row r="546" spans="1:8" x14ac:dyDescent="0.35">
      <c r="A546" s="2">
        <v>45314</v>
      </c>
      <c r="B546" s="7">
        <f t="shared" si="8"/>
        <v>1</v>
      </c>
      <c r="C546" s="7" t="str">
        <f>_xlfn.XLOOKUP(B546,catalogos!$A$2:$A$13,catalogos!$B$2:$B$13)</f>
        <v>January</v>
      </c>
      <c r="D546" t="s">
        <v>9</v>
      </c>
      <c r="E546" t="s">
        <v>11</v>
      </c>
      <c r="F546">
        <v>69</v>
      </c>
      <c r="G546">
        <v>54</v>
      </c>
      <c r="H546">
        <v>3726</v>
      </c>
    </row>
    <row r="547" spans="1:8" x14ac:dyDescent="0.35">
      <c r="A547" s="2">
        <v>45314</v>
      </c>
      <c r="B547" s="7">
        <f t="shared" si="8"/>
        <v>1</v>
      </c>
      <c r="C547" s="7" t="str">
        <f>_xlfn.XLOOKUP(B547,catalogos!$A$2:$A$13,catalogos!$B$2:$B$13)</f>
        <v>January</v>
      </c>
      <c r="D547" t="s">
        <v>8</v>
      </c>
      <c r="E547" t="s">
        <v>12</v>
      </c>
      <c r="F547">
        <v>40</v>
      </c>
      <c r="G547">
        <v>328</v>
      </c>
      <c r="H547">
        <v>13120</v>
      </c>
    </row>
    <row r="548" spans="1:8" x14ac:dyDescent="0.35">
      <c r="A548" s="2">
        <v>45314</v>
      </c>
      <c r="B548" s="7">
        <f t="shared" si="8"/>
        <v>1</v>
      </c>
      <c r="C548" s="7" t="str">
        <f>_xlfn.XLOOKUP(B548,catalogos!$A$2:$A$13,catalogos!$B$2:$B$13)</f>
        <v>January</v>
      </c>
      <c r="D548" t="s">
        <v>9</v>
      </c>
      <c r="E548" t="s">
        <v>14</v>
      </c>
      <c r="F548">
        <v>34</v>
      </c>
      <c r="G548">
        <v>22</v>
      </c>
      <c r="H548">
        <v>748</v>
      </c>
    </row>
    <row r="549" spans="1:8" x14ac:dyDescent="0.35">
      <c r="A549" s="2">
        <v>45314</v>
      </c>
      <c r="B549" s="7">
        <f t="shared" si="8"/>
        <v>1</v>
      </c>
      <c r="C549" s="7" t="str">
        <f>_xlfn.XLOOKUP(B549,catalogos!$A$2:$A$13,catalogos!$B$2:$B$13)</f>
        <v>January</v>
      </c>
      <c r="D549" t="s">
        <v>9</v>
      </c>
      <c r="E549" t="s">
        <v>12</v>
      </c>
      <c r="F549">
        <v>29</v>
      </c>
      <c r="G549">
        <v>170</v>
      </c>
      <c r="H549">
        <v>4930</v>
      </c>
    </row>
    <row r="550" spans="1:8" x14ac:dyDescent="0.35">
      <c r="A550" s="2">
        <v>45314</v>
      </c>
      <c r="B550" s="7">
        <f t="shared" si="8"/>
        <v>1</v>
      </c>
      <c r="C550" s="7" t="str">
        <f>_xlfn.XLOOKUP(B550,catalogos!$A$2:$A$13,catalogos!$B$2:$B$13)</f>
        <v>January</v>
      </c>
      <c r="D550" t="s">
        <v>6</v>
      </c>
      <c r="E550" t="s">
        <v>13</v>
      </c>
      <c r="F550">
        <v>54</v>
      </c>
      <c r="G550">
        <v>261</v>
      </c>
      <c r="H550">
        <v>14094</v>
      </c>
    </row>
    <row r="551" spans="1:8" x14ac:dyDescent="0.35">
      <c r="A551" s="2">
        <v>45314</v>
      </c>
      <c r="B551" s="7">
        <f t="shared" si="8"/>
        <v>1</v>
      </c>
      <c r="C551" s="7" t="str">
        <f>_xlfn.XLOOKUP(B551,catalogos!$A$2:$A$13,catalogos!$B$2:$B$13)</f>
        <v>January</v>
      </c>
      <c r="D551" t="s">
        <v>6</v>
      </c>
      <c r="E551" t="s">
        <v>11</v>
      </c>
      <c r="F551">
        <v>64</v>
      </c>
      <c r="G551">
        <v>12</v>
      </c>
      <c r="H551">
        <v>768</v>
      </c>
    </row>
    <row r="552" spans="1:8" x14ac:dyDescent="0.35">
      <c r="A552" s="2">
        <v>45314</v>
      </c>
      <c r="B552" s="7">
        <f t="shared" si="8"/>
        <v>1</v>
      </c>
      <c r="C552" s="7" t="str">
        <f>_xlfn.XLOOKUP(B552,catalogos!$A$2:$A$13,catalogos!$B$2:$B$13)</f>
        <v>January</v>
      </c>
      <c r="D552" t="s">
        <v>10</v>
      </c>
      <c r="E552" t="s">
        <v>13</v>
      </c>
      <c r="F552">
        <v>94</v>
      </c>
      <c r="G552">
        <v>481</v>
      </c>
      <c r="H552">
        <v>45214</v>
      </c>
    </row>
    <row r="553" spans="1:8" x14ac:dyDescent="0.35">
      <c r="A553" s="2">
        <v>45314</v>
      </c>
      <c r="B553" s="7">
        <f t="shared" si="8"/>
        <v>1</v>
      </c>
      <c r="C553" s="7" t="str">
        <f>_xlfn.XLOOKUP(B553,catalogos!$A$2:$A$13,catalogos!$B$2:$B$13)</f>
        <v>January</v>
      </c>
      <c r="D553" t="s">
        <v>7</v>
      </c>
      <c r="E553" t="s">
        <v>13</v>
      </c>
      <c r="F553">
        <v>53</v>
      </c>
      <c r="G553">
        <v>126</v>
      </c>
      <c r="H553">
        <v>6678</v>
      </c>
    </row>
    <row r="554" spans="1:8" x14ac:dyDescent="0.35">
      <c r="A554" s="2">
        <v>45315</v>
      </c>
      <c r="B554" s="7">
        <f t="shared" si="8"/>
        <v>1</v>
      </c>
      <c r="C554" s="7" t="str">
        <f>_xlfn.XLOOKUP(B554,catalogos!$A$2:$A$13,catalogos!$B$2:$B$13)</f>
        <v>January</v>
      </c>
      <c r="D554" t="s">
        <v>6</v>
      </c>
      <c r="E554" t="s">
        <v>11</v>
      </c>
      <c r="F554">
        <v>18</v>
      </c>
      <c r="G554">
        <v>471</v>
      </c>
      <c r="H554">
        <v>8478</v>
      </c>
    </row>
    <row r="555" spans="1:8" x14ac:dyDescent="0.35">
      <c r="A555" s="2">
        <v>45315</v>
      </c>
      <c r="B555" s="7">
        <f t="shared" si="8"/>
        <v>1</v>
      </c>
      <c r="C555" s="7" t="str">
        <f>_xlfn.XLOOKUP(B555,catalogos!$A$2:$A$13,catalogos!$B$2:$B$13)</f>
        <v>January</v>
      </c>
      <c r="D555" t="s">
        <v>6</v>
      </c>
      <c r="E555" t="s">
        <v>15</v>
      </c>
      <c r="F555">
        <v>74</v>
      </c>
      <c r="G555">
        <v>66</v>
      </c>
      <c r="H555">
        <v>4884</v>
      </c>
    </row>
    <row r="556" spans="1:8" x14ac:dyDescent="0.35">
      <c r="A556" s="2">
        <v>45315</v>
      </c>
      <c r="B556" s="7">
        <f t="shared" si="8"/>
        <v>1</v>
      </c>
      <c r="C556" s="7" t="str">
        <f>_xlfn.XLOOKUP(B556,catalogos!$A$2:$A$13,catalogos!$B$2:$B$13)</f>
        <v>January</v>
      </c>
      <c r="D556" t="s">
        <v>7</v>
      </c>
      <c r="E556" t="s">
        <v>15</v>
      </c>
      <c r="F556">
        <v>22</v>
      </c>
      <c r="G556">
        <v>56</v>
      </c>
      <c r="H556">
        <v>1232</v>
      </c>
    </row>
    <row r="557" spans="1:8" x14ac:dyDescent="0.35">
      <c r="A557" s="2">
        <v>45315</v>
      </c>
      <c r="B557" s="7">
        <f t="shared" si="8"/>
        <v>1</v>
      </c>
      <c r="C557" s="7" t="str">
        <f>_xlfn.XLOOKUP(B557,catalogos!$A$2:$A$13,catalogos!$B$2:$B$13)</f>
        <v>January</v>
      </c>
      <c r="D557" t="s">
        <v>10</v>
      </c>
      <c r="E557" t="s">
        <v>14</v>
      </c>
      <c r="F557">
        <v>74</v>
      </c>
      <c r="G557">
        <v>346</v>
      </c>
      <c r="H557">
        <v>25604</v>
      </c>
    </row>
    <row r="558" spans="1:8" x14ac:dyDescent="0.35">
      <c r="A558" s="2">
        <v>45315</v>
      </c>
      <c r="B558" s="7">
        <f t="shared" si="8"/>
        <v>1</v>
      </c>
      <c r="C558" s="7" t="str">
        <f>_xlfn.XLOOKUP(B558,catalogos!$A$2:$A$13,catalogos!$B$2:$B$13)</f>
        <v>January</v>
      </c>
      <c r="D558" t="s">
        <v>8</v>
      </c>
      <c r="E558" t="s">
        <v>15</v>
      </c>
      <c r="F558">
        <v>62</v>
      </c>
      <c r="G558">
        <v>407</v>
      </c>
      <c r="H558">
        <v>25234</v>
      </c>
    </row>
    <row r="559" spans="1:8" x14ac:dyDescent="0.35">
      <c r="A559" s="2">
        <v>45315</v>
      </c>
      <c r="B559" s="7">
        <f t="shared" si="8"/>
        <v>1</v>
      </c>
      <c r="C559" s="7" t="str">
        <f>_xlfn.XLOOKUP(B559,catalogos!$A$2:$A$13,catalogos!$B$2:$B$13)</f>
        <v>January</v>
      </c>
      <c r="D559" t="s">
        <v>10</v>
      </c>
      <c r="E559" t="s">
        <v>12</v>
      </c>
      <c r="F559">
        <v>96</v>
      </c>
      <c r="G559">
        <v>129</v>
      </c>
      <c r="H559">
        <v>12384</v>
      </c>
    </row>
    <row r="560" spans="1:8" x14ac:dyDescent="0.35">
      <c r="A560" s="2">
        <v>45315</v>
      </c>
      <c r="B560" s="7">
        <f t="shared" si="8"/>
        <v>1</v>
      </c>
      <c r="C560" s="7" t="str">
        <f>_xlfn.XLOOKUP(B560,catalogos!$A$2:$A$13,catalogos!$B$2:$B$13)</f>
        <v>January</v>
      </c>
      <c r="D560" t="s">
        <v>10</v>
      </c>
      <c r="E560" t="s">
        <v>15</v>
      </c>
      <c r="F560">
        <v>24</v>
      </c>
      <c r="G560">
        <v>368</v>
      </c>
      <c r="H560">
        <v>8832</v>
      </c>
    </row>
    <row r="561" spans="1:8" x14ac:dyDescent="0.35">
      <c r="A561" s="2">
        <v>45315</v>
      </c>
      <c r="B561" s="7">
        <f t="shared" si="8"/>
        <v>1</v>
      </c>
      <c r="C561" s="7" t="str">
        <f>_xlfn.XLOOKUP(B561,catalogos!$A$2:$A$13,catalogos!$B$2:$B$13)</f>
        <v>January</v>
      </c>
      <c r="D561" t="s">
        <v>8</v>
      </c>
      <c r="E561" t="s">
        <v>14</v>
      </c>
      <c r="F561">
        <v>12</v>
      </c>
      <c r="G561">
        <v>477</v>
      </c>
      <c r="H561">
        <v>5724</v>
      </c>
    </row>
    <row r="562" spans="1:8" x14ac:dyDescent="0.35">
      <c r="A562" s="2">
        <v>45315</v>
      </c>
      <c r="B562" s="7">
        <f t="shared" si="8"/>
        <v>1</v>
      </c>
      <c r="C562" s="7" t="str">
        <f>_xlfn.XLOOKUP(B562,catalogos!$A$2:$A$13,catalogos!$B$2:$B$13)</f>
        <v>January</v>
      </c>
      <c r="D562" t="s">
        <v>9</v>
      </c>
      <c r="E562" t="s">
        <v>12</v>
      </c>
      <c r="F562">
        <v>9</v>
      </c>
      <c r="G562">
        <v>464</v>
      </c>
      <c r="H562">
        <v>4176</v>
      </c>
    </row>
    <row r="563" spans="1:8" x14ac:dyDescent="0.35">
      <c r="A563" s="2">
        <v>45315</v>
      </c>
      <c r="B563" s="7">
        <f t="shared" si="8"/>
        <v>1</v>
      </c>
      <c r="C563" s="7" t="str">
        <f>_xlfn.XLOOKUP(B563,catalogos!$A$2:$A$13,catalogos!$B$2:$B$13)</f>
        <v>January</v>
      </c>
      <c r="D563" t="s">
        <v>8</v>
      </c>
      <c r="E563" t="s">
        <v>11</v>
      </c>
      <c r="F563">
        <v>53</v>
      </c>
      <c r="G563">
        <v>401</v>
      </c>
      <c r="H563">
        <v>21253</v>
      </c>
    </row>
    <row r="564" spans="1:8" x14ac:dyDescent="0.35">
      <c r="A564" s="2">
        <v>45315</v>
      </c>
      <c r="B564" s="7">
        <f t="shared" si="8"/>
        <v>1</v>
      </c>
      <c r="C564" s="7" t="str">
        <f>_xlfn.XLOOKUP(B564,catalogos!$A$2:$A$13,catalogos!$B$2:$B$13)</f>
        <v>January</v>
      </c>
      <c r="D564" t="s">
        <v>10</v>
      </c>
      <c r="E564" t="s">
        <v>12</v>
      </c>
      <c r="F564">
        <v>92</v>
      </c>
      <c r="G564">
        <v>290</v>
      </c>
      <c r="H564">
        <v>26680</v>
      </c>
    </row>
    <row r="565" spans="1:8" x14ac:dyDescent="0.35">
      <c r="A565" s="2">
        <v>45315</v>
      </c>
      <c r="B565" s="7">
        <f t="shared" si="8"/>
        <v>1</v>
      </c>
      <c r="C565" s="7" t="str">
        <f>_xlfn.XLOOKUP(B565,catalogos!$A$2:$A$13,catalogos!$B$2:$B$13)</f>
        <v>January</v>
      </c>
      <c r="D565" t="s">
        <v>7</v>
      </c>
      <c r="E565" t="s">
        <v>11</v>
      </c>
      <c r="F565">
        <v>25</v>
      </c>
      <c r="G565">
        <v>153</v>
      </c>
      <c r="H565">
        <v>3825</v>
      </c>
    </row>
    <row r="566" spans="1:8" x14ac:dyDescent="0.35">
      <c r="A566" s="2">
        <v>45315</v>
      </c>
      <c r="B566" s="7">
        <f t="shared" si="8"/>
        <v>1</v>
      </c>
      <c r="C566" s="7" t="str">
        <f>_xlfn.XLOOKUP(B566,catalogos!$A$2:$A$13,catalogos!$B$2:$B$13)</f>
        <v>January</v>
      </c>
      <c r="D566" t="s">
        <v>10</v>
      </c>
      <c r="E566" t="s">
        <v>11</v>
      </c>
      <c r="F566">
        <v>11</v>
      </c>
      <c r="G566">
        <v>170</v>
      </c>
      <c r="H566">
        <v>1870</v>
      </c>
    </row>
    <row r="567" spans="1:8" x14ac:dyDescent="0.35">
      <c r="A567" s="2">
        <v>45315</v>
      </c>
      <c r="B567" s="7">
        <f t="shared" si="8"/>
        <v>1</v>
      </c>
      <c r="C567" s="7" t="str">
        <f>_xlfn.XLOOKUP(B567,catalogos!$A$2:$A$13,catalogos!$B$2:$B$13)</f>
        <v>January</v>
      </c>
      <c r="D567" t="s">
        <v>8</v>
      </c>
      <c r="E567" t="s">
        <v>11</v>
      </c>
      <c r="F567">
        <v>17</v>
      </c>
      <c r="G567">
        <v>344</v>
      </c>
      <c r="H567">
        <v>5848</v>
      </c>
    </row>
    <row r="568" spans="1:8" x14ac:dyDescent="0.35">
      <c r="A568" s="2">
        <v>45315</v>
      </c>
      <c r="B568" s="7">
        <f t="shared" si="8"/>
        <v>1</v>
      </c>
      <c r="C568" s="7" t="str">
        <f>_xlfn.XLOOKUP(B568,catalogos!$A$2:$A$13,catalogos!$B$2:$B$13)</f>
        <v>January</v>
      </c>
      <c r="D568" t="s">
        <v>10</v>
      </c>
      <c r="E568" t="s">
        <v>11</v>
      </c>
      <c r="F568">
        <v>47</v>
      </c>
      <c r="G568">
        <v>482</v>
      </c>
      <c r="H568">
        <v>22654</v>
      </c>
    </row>
    <row r="569" spans="1:8" x14ac:dyDescent="0.35">
      <c r="A569" s="2">
        <v>45315</v>
      </c>
      <c r="B569" s="7">
        <f t="shared" si="8"/>
        <v>1</v>
      </c>
      <c r="C569" s="7" t="str">
        <f>_xlfn.XLOOKUP(B569,catalogos!$A$2:$A$13,catalogos!$B$2:$B$13)</f>
        <v>January</v>
      </c>
      <c r="D569" t="s">
        <v>7</v>
      </c>
      <c r="E569" t="s">
        <v>15</v>
      </c>
      <c r="F569">
        <v>97</v>
      </c>
      <c r="G569">
        <v>286</v>
      </c>
      <c r="H569">
        <v>27742</v>
      </c>
    </row>
    <row r="570" spans="1:8" x14ac:dyDescent="0.35">
      <c r="A570" s="2">
        <v>45315</v>
      </c>
      <c r="B570" s="7">
        <f t="shared" si="8"/>
        <v>1</v>
      </c>
      <c r="C570" s="7" t="str">
        <f>_xlfn.XLOOKUP(B570,catalogos!$A$2:$A$13,catalogos!$B$2:$B$13)</f>
        <v>January</v>
      </c>
      <c r="D570" t="s">
        <v>9</v>
      </c>
      <c r="E570" t="s">
        <v>13</v>
      </c>
      <c r="F570">
        <v>2</v>
      </c>
      <c r="G570">
        <v>64</v>
      </c>
      <c r="H570">
        <v>128</v>
      </c>
    </row>
    <row r="571" spans="1:8" x14ac:dyDescent="0.35">
      <c r="A571" s="2">
        <v>45315</v>
      </c>
      <c r="B571" s="7">
        <f t="shared" si="8"/>
        <v>1</v>
      </c>
      <c r="C571" s="7" t="str">
        <f>_xlfn.XLOOKUP(B571,catalogos!$A$2:$A$13,catalogos!$B$2:$B$13)</f>
        <v>January</v>
      </c>
      <c r="D571" t="s">
        <v>7</v>
      </c>
      <c r="E571" t="s">
        <v>11</v>
      </c>
      <c r="F571">
        <v>73</v>
      </c>
      <c r="G571">
        <v>36</v>
      </c>
      <c r="H571">
        <v>2628</v>
      </c>
    </row>
    <row r="572" spans="1:8" x14ac:dyDescent="0.35">
      <c r="A572" s="2">
        <v>45315</v>
      </c>
      <c r="B572" s="7">
        <f t="shared" si="8"/>
        <v>1</v>
      </c>
      <c r="C572" s="7" t="str">
        <f>_xlfn.XLOOKUP(B572,catalogos!$A$2:$A$13,catalogos!$B$2:$B$13)</f>
        <v>January</v>
      </c>
      <c r="D572" t="s">
        <v>9</v>
      </c>
      <c r="E572" t="s">
        <v>15</v>
      </c>
      <c r="F572">
        <v>51</v>
      </c>
      <c r="G572">
        <v>384</v>
      </c>
      <c r="H572">
        <v>19584</v>
      </c>
    </row>
    <row r="573" spans="1:8" x14ac:dyDescent="0.35">
      <c r="A573" s="2">
        <v>45315</v>
      </c>
      <c r="B573" s="7">
        <f t="shared" si="8"/>
        <v>1</v>
      </c>
      <c r="C573" s="7" t="str">
        <f>_xlfn.XLOOKUP(B573,catalogos!$A$2:$A$13,catalogos!$B$2:$B$13)</f>
        <v>January</v>
      </c>
      <c r="D573" t="s">
        <v>7</v>
      </c>
      <c r="E573" t="s">
        <v>13</v>
      </c>
      <c r="F573">
        <v>39</v>
      </c>
      <c r="G573">
        <v>172</v>
      </c>
      <c r="H573">
        <v>6708</v>
      </c>
    </row>
    <row r="574" spans="1:8" x14ac:dyDescent="0.35">
      <c r="A574" s="2">
        <v>45315</v>
      </c>
      <c r="B574" s="7">
        <f t="shared" si="8"/>
        <v>1</v>
      </c>
      <c r="C574" s="7" t="str">
        <f>_xlfn.XLOOKUP(B574,catalogos!$A$2:$A$13,catalogos!$B$2:$B$13)</f>
        <v>January</v>
      </c>
      <c r="D574" t="s">
        <v>6</v>
      </c>
      <c r="E574" t="s">
        <v>14</v>
      </c>
      <c r="F574">
        <v>40</v>
      </c>
      <c r="G574">
        <v>381</v>
      </c>
      <c r="H574">
        <v>15240</v>
      </c>
    </row>
    <row r="575" spans="1:8" x14ac:dyDescent="0.35">
      <c r="A575" s="2">
        <v>45315</v>
      </c>
      <c r="B575" s="7">
        <f t="shared" si="8"/>
        <v>1</v>
      </c>
      <c r="C575" s="7" t="str">
        <f>_xlfn.XLOOKUP(B575,catalogos!$A$2:$A$13,catalogos!$B$2:$B$13)</f>
        <v>January</v>
      </c>
      <c r="D575" t="s">
        <v>10</v>
      </c>
      <c r="E575" t="s">
        <v>14</v>
      </c>
      <c r="F575">
        <v>12</v>
      </c>
      <c r="G575">
        <v>418</v>
      </c>
      <c r="H575">
        <v>5016</v>
      </c>
    </row>
    <row r="576" spans="1:8" x14ac:dyDescent="0.35">
      <c r="A576" s="2">
        <v>45315</v>
      </c>
      <c r="B576" s="7">
        <f t="shared" si="8"/>
        <v>1</v>
      </c>
      <c r="C576" s="7" t="str">
        <f>_xlfn.XLOOKUP(B576,catalogos!$A$2:$A$13,catalogos!$B$2:$B$13)</f>
        <v>January</v>
      </c>
      <c r="D576" t="s">
        <v>9</v>
      </c>
      <c r="E576" t="s">
        <v>14</v>
      </c>
      <c r="F576">
        <v>32</v>
      </c>
      <c r="G576">
        <v>399</v>
      </c>
      <c r="H576">
        <v>12768</v>
      </c>
    </row>
    <row r="577" spans="1:8" x14ac:dyDescent="0.35">
      <c r="A577" s="2">
        <v>45315</v>
      </c>
      <c r="B577" s="7">
        <f t="shared" si="8"/>
        <v>1</v>
      </c>
      <c r="C577" s="7" t="str">
        <f>_xlfn.XLOOKUP(B577,catalogos!$A$2:$A$13,catalogos!$B$2:$B$13)</f>
        <v>January</v>
      </c>
      <c r="D577" t="s">
        <v>8</v>
      </c>
      <c r="E577" t="s">
        <v>11</v>
      </c>
      <c r="F577">
        <v>3</v>
      </c>
      <c r="G577">
        <v>292</v>
      </c>
      <c r="H577">
        <v>876</v>
      </c>
    </row>
    <row r="578" spans="1:8" x14ac:dyDescent="0.35">
      <c r="A578" s="2">
        <v>45316</v>
      </c>
      <c r="B578" s="7">
        <f t="shared" si="8"/>
        <v>1</v>
      </c>
      <c r="C578" s="7" t="str">
        <f>_xlfn.XLOOKUP(B578,catalogos!$A$2:$A$13,catalogos!$B$2:$B$13)</f>
        <v>January</v>
      </c>
      <c r="D578" t="s">
        <v>8</v>
      </c>
      <c r="E578" t="s">
        <v>15</v>
      </c>
      <c r="F578">
        <v>34</v>
      </c>
      <c r="G578">
        <v>342</v>
      </c>
      <c r="H578">
        <v>11628</v>
      </c>
    </row>
    <row r="579" spans="1:8" x14ac:dyDescent="0.35">
      <c r="A579" s="2">
        <v>45316</v>
      </c>
      <c r="B579" s="7">
        <f t="shared" ref="B579:B642" si="9">MONTH(A579)</f>
        <v>1</v>
      </c>
      <c r="C579" s="7" t="str">
        <f>_xlfn.XLOOKUP(B579,catalogos!$A$2:$A$13,catalogos!$B$2:$B$13)</f>
        <v>January</v>
      </c>
      <c r="D579" t="s">
        <v>9</v>
      </c>
      <c r="E579" t="s">
        <v>12</v>
      </c>
      <c r="F579">
        <v>45</v>
      </c>
      <c r="G579">
        <v>349</v>
      </c>
      <c r="H579">
        <v>15705</v>
      </c>
    </row>
    <row r="580" spans="1:8" x14ac:dyDescent="0.35">
      <c r="A580" s="2">
        <v>45316</v>
      </c>
      <c r="B580" s="7">
        <f t="shared" si="9"/>
        <v>1</v>
      </c>
      <c r="C580" s="7" t="str">
        <f>_xlfn.XLOOKUP(B580,catalogos!$A$2:$A$13,catalogos!$B$2:$B$13)</f>
        <v>January</v>
      </c>
      <c r="D580" t="s">
        <v>10</v>
      </c>
      <c r="E580" t="s">
        <v>12</v>
      </c>
      <c r="F580">
        <v>36</v>
      </c>
      <c r="G580">
        <v>130</v>
      </c>
      <c r="H580">
        <v>4680</v>
      </c>
    </row>
    <row r="581" spans="1:8" x14ac:dyDescent="0.35">
      <c r="A581" s="2">
        <v>45316</v>
      </c>
      <c r="B581" s="7">
        <f t="shared" si="9"/>
        <v>1</v>
      </c>
      <c r="C581" s="7" t="str">
        <f>_xlfn.XLOOKUP(B581,catalogos!$A$2:$A$13,catalogos!$B$2:$B$13)</f>
        <v>January</v>
      </c>
      <c r="D581" t="s">
        <v>7</v>
      </c>
      <c r="E581" t="s">
        <v>14</v>
      </c>
      <c r="F581">
        <v>62</v>
      </c>
      <c r="G581">
        <v>423</v>
      </c>
      <c r="H581">
        <v>26226</v>
      </c>
    </row>
    <row r="582" spans="1:8" x14ac:dyDescent="0.35">
      <c r="A582" s="2">
        <v>45316</v>
      </c>
      <c r="B582" s="7">
        <f t="shared" si="9"/>
        <v>1</v>
      </c>
      <c r="C582" s="7" t="str">
        <f>_xlfn.XLOOKUP(B582,catalogos!$A$2:$A$13,catalogos!$B$2:$B$13)</f>
        <v>January</v>
      </c>
      <c r="D582" t="s">
        <v>8</v>
      </c>
      <c r="E582" t="s">
        <v>14</v>
      </c>
      <c r="F582">
        <v>74</v>
      </c>
      <c r="G582">
        <v>135</v>
      </c>
      <c r="H582">
        <v>9990</v>
      </c>
    </row>
    <row r="583" spans="1:8" x14ac:dyDescent="0.35">
      <c r="A583" s="2">
        <v>45316</v>
      </c>
      <c r="B583" s="7">
        <f t="shared" si="9"/>
        <v>1</v>
      </c>
      <c r="C583" s="7" t="str">
        <f>_xlfn.XLOOKUP(B583,catalogos!$A$2:$A$13,catalogos!$B$2:$B$13)</f>
        <v>January</v>
      </c>
      <c r="D583" t="s">
        <v>7</v>
      </c>
      <c r="E583" t="s">
        <v>14</v>
      </c>
      <c r="F583">
        <v>79</v>
      </c>
      <c r="G583">
        <v>404</v>
      </c>
      <c r="H583">
        <v>31916</v>
      </c>
    </row>
    <row r="584" spans="1:8" x14ac:dyDescent="0.35">
      <c r="A584" s="2">
        <v>45316</v>
      </c>
      <c r="B584" s="7">
        <f t="shared" si="9"/>
        <v>1</v>
      </c>
      <c r="C584" s="7" t="str">
        <f>_xlfn.XLOOKUP(B584,catalogos!$A$2:$A$13,catalogos!$B$2:$B$13)</f>
        <v>January</v>
      </c>
      <c r="D584" t="s">
        <v>6</v>
      </c>
      <c r="E584" t="s">
        <v>13</v>
      </c>
      <c r="F584">
        <v>33</v>
      </c>
      <c r="G584">
        <v>400</v>
      </c>
      <c r="H584">
        <v>13200</v>
      </c>
    </row>
    <row r="585" spans="1:8" x14ac:dyDescent="0.35">
      <c r="A585" s="2">
        <v>45316</v>
      </c>
      <c r="B585" s="7">
        <f t="shared" si="9"/>
        <v>1</v>
      </c>
      <c r="C585" s="7" t="str">
        <f>_xlfn.XLOOKUP(B585,catalogos!$A$2:$A$13,catalogos!$B$2:$B$13)</f>
        <v>January</v>
      </c>
      <c r="D585" t="s">
        <v>9</v>
      </c>
      <c r="E585" t="s">
        <v>13</v>
      </c>
      <c r="F585">
        <v>28</v>
      </c>
      <c r="G585">
        <v>420</v>
      </c>
      <c r="H585">
        <v>11760</v>
      </c>
    </row>
    <row r="586" spans="1:8" x14ac:dyDescent="0.35">
      <c r="A586" s="2">
        <v>45316</v>
      </c>
      <c r="B586" s="7">
        <f t="shared" si="9"/>
        <v>1</v>
      </c>
      <c r="C586" s="7" t="str">
        <f>_xlfn.XLOOKUP(B586,catalogos!$A$2:$A$13,catalogos!$B$2:$B$13)</f>
        <v>January</v>
      </c>
      <c r="D586" t="s">
        <v>7</v>
      </c>
      <c r="E586" t="s">
        <v>13</v>
      </c>
      <c r="F586">
        <v>47</v>
      </c>
      <c r="G586">
        <v>248</v>
      </c>
      <c r="H586">
        <v>11656</v>
      </c>
    </row>
    <row r="587" spans="1:8" x14ac:dyDescent="0.35">
      <c r="A587" s="2">
        <v>45316</v>
      </c>
      <c r="B587" s="7">
        <f t="shared" si="9"/>
        <v>1</v>
      </c>
      <c r="C587" s="7" t="str">
        <f>_xlfn.XLOOKUP(B587,catalogos!$A$2:$A$13,catalogos!$B$2:$B$13)</f>
        <v>January</v>
      </c>
      <c r="D587" t="s">
        <v>10</v>
      </c>
      <c r="E587" t="s">
        <v>15</v>
      </c>
      <c r="F587">
        <v>62</v>
      </c>
      <c r="G587">
        <v>449</v>
      </c>
      <c r="H587">
        <v>27838</v>
      </c>
    </row>
    <row r="588" spans="1:8" x14ac:dyDescent="0.35">
      <c r="A588" s="2">
        <v>45316</v>
      </c>
      <c r="B588" s="7">
        <f t="shared" si="9"/>
        <v>1</v>
      </c>
      <c r="C588" s="7" t="str">
        <f>_xlfn.XLOOKUP(B588,catalogos!$A$2:$A$13,catalogos!$B$2:$B$13)</f>
        <v>January</v>
      </c>
      <c r="D588" t="s">
        <v>7</v>
      </c>
      <c r="E588" t="s">
        <v>14</v>
      </c>
      <c r="F588">
        <v>95</v>
      </c>
      <c r="G588">
        <v>82</v>
      </c>
      <c r="H588">
        <v>7790</v>
      </c>
    </row>
    <row r="589" spans="1:8" x14ac:dyDescent="0.35">
      <c r="A589" s="2">
        <v>45316</v>
      </c>
      <c r="B589" s="7">
        <f t="shared" si="9"/>
        <v>1</v>
      </c>
      <c r="C589" s="7" t="str">
        <f>_xlfn.XLOOKUP(B589,catalogos!$A$2:$A$13,catalogos!$B$2:$B$13)</f>
        <v>January</v>
      </c>
      <c r="D589" t="s">
        <v>6</v>
      </c>
      <c r="E589" t="s">
        <v>13</v>
      </c>
      <c r="F589">
        <v>11</v>
      </c>
      <c r="G589">
        <v>281</v>
      </c>
      <c r="H589">
        <v>3091</v>
      </c>
    </row>
    <row r="590" spans="1:8" x14ac:dyDescent="0.35">
      <c r="A590" s="2">
        <v>45316</v>
      </c>
      <c r="B590" s="7">
        <f t="shared" si="9"/>
        <v>1</v>
      </c>
      <c r="C590" s="7" t="str">
        <f>_xlfn.XLOOKUP(B590,catalogos!$A$2:$A$13,catalogos!$B$2:$B$13)</f>
        <v>January</v>
      </c>
      <c r="D590" t="s">
        <v>8</v>
      </c>
      <c r="E590" t="s">
        <v>15</v>
      </c>
      <c r="F590">
        <v>99</v>
      </c>
      <c r="G590">
        <v>395</v>
      </c>
      <c r="H590">
        <v>39105</v>
      </c>
    </row>
    <row r="591" spans="1:8" x14ac:dyDescent="0.35">
      <c r="A591" s="2">
        <v>45316</v>
      </c>
      <c r="B591" s="7">
        <f t="shared" si="9"/>
        <v>1</v>
      </c>
      <c r="C591" s="7" t="str">
        <f>_xlfn.XLOOKUP(B591,catalogos!$A$2:$A$13,catalogos!$B$2:$B$13)</f>
        <v>January</v>
      </c>
      <c r="D591" t="s">
        <v>7</v>
      </c>
      <c r="E591" t="s">
        <v>12</v>
      </c>
      <c r="F591">
        <v>44</v>
      </c>
      <c r="G591">
        <v>69</v>
      </c>
      <c r="H591">
        <v>3036</v>
      </c>
    </row>
    <row r="592" spans="1:8" x14ac:dyDescent="0.35">
      <c r="A592" s="2">
        <v>45316</v>
      </c>
      <c r="B592" s="7">
        <f t="shared" si="9"/>
        <v>1</v>
      </c>
      <c r="C592" s="7" t="str">
        <f>_xlfn.XLOOKUP(B592,catalogos!$A$2:$A$13,catalogos!$B$2:$B$13)</f>
        <v>January</v>
      </c>
      <c r="D592" t="s">
        <v>6</v>
      </c>
      <c r="E592" t="s">
        <v>15</v>
      </c>
      <c r="F592">
        <v>27</v>
      </c>
      <c r="G592">
        <v>424</v>
      </c>
      <c r="H592">
        <v>11448</v>
      </c>
    </row>
    <row r="593" spans="1:8" x14ac:dyDescent="0.35">
      <c r="A593" s="2">
        <v>45316</v>
      </c>
      <c r="B593" s="7">
        <f t="shared" si="9"/>
        <v>1</v>
      </c>
      <c r="C593" s="7" t="str">
        <f>_xlfn.XLOOKUP(B593,catalogos!$A$2:$A$13,catalogos!$B$2:$B$13)</f>
        <v>January</v>
      </c>
      <c r="D593" t="s">
        <v>10</v>
      </c>
      <c r="E593" t="s">
        <v>15</v>
      </c>
      <c r="F593">
        <v>2</v>
      </c>
      <c r="G593">
        <v>417</v>
      </c>
      <c r="H593">
        <v>834</v>
      </c>
    </row>
    <row r="594" spans="1:8" x14ac:dyDescent="0.35">
      <c r="A594" s="2">
        <v>45316</v>
      </c>
      <c r="B594" s="7">
        <f t="shared" si="9"/>
        <v>1</v>
      </c>
      <c r="C594" s="7" t="str">
        <f>_xlfn.XLOOKUP(B594,catalogos!$A$2:$A$13,catalogos!$B$2:$B$13)</f>
        <v>January</v>
      </c>
      <c r="D594" t="s">
        <v>6</v>
      </c>
      <c r="E594" t="s">
        <v>14</v>
      </c>
      <c r="F594">
        <v>88</v>
      </c>
      <c r="G594">
        <v>81</v>
      </c>
      <c r="H594">
        <v>7128</v>
      </c>
    </row>
    <row r="595" spans="1:8" x14ac:dyDescent="0.35">
      <c r="A595" s="2">
        <v>45316</v>
      </c>
      <c r="B595" s="7">
        <f t="shared" si="9"/>
        <v>1</v>
      </c>
      <c r="C595" s="7" t="str">
        <f>_xlfn.XLOOKUP(B595,catalogos!$A$2:$A$13,catalogos!$B$2:$B$13)</f>
        <v>January</v>
      </c>
      <c r="D595" t="s">
        <v>8</v>
      </c>
      <c r="E595" t="s">
        <v>12</v>
      </c>
      <c r="F595">
        <v>59</v>
      </c>
      <c r="G595">
        <v>122</v>
      </c>
      <c r="H595">
        <v>7198</v>
      </c>
    </row>
    <row r="596" spans="1:8" x14ac:dyDescent="0.35">
      <c r="A596" s="2">
        <v>45316</v>
      </c>
      <c r="B596" s="7">
        <f t="shared" si="9"/>
        <v>1</v>
      </c>
      <c r="C596" s="7" t="str">
        <f>_xlfn.XLOOKUP(B596,catalogos!$A$2:$A$13,catalogos!$B$2:$B$13)</f>
        <v>January</v>
      </c>
      <c r="D596" t="s">
        <v>9</v>
      </c>
      <c r="E596" t="s">
        <v>11</v>
      </c>
      <c r="F596">
        <v>48</v>
      </c>
      <c r="G596">
        <v>168</v>
      </c>
      <c r="H596">
        <v>8064</v>
      </c>
    </row>
    <row r="597" spans="1:8" x14ac:dyDescent="0.35">
      <c r="A597" s="2">
        <v>45316</v>
      </c>
      <c r="B597" s="7">
        <f t="shared" si="9"/>
        <v>1</v>
      </c>
      <c r="C597" s="7" t="str">
        <f>_xlfn.XLOOKUP(B597,catalogos!$A$2:$A$13,catalogos!$B$2:$B$13)</f>
        <v>January</v>
      </c>
      <c r="D597" t="s">
        <v>8</v>
      </c>
      <c r="E597" t="s">
        <v>15</v>
      </c>
      <c r="F597">
        <v>32</v>
      </c>
      <c r="G597">
        <v>349</v>
      </c>
      <c r="H597">
        <v>11168</v>
      </c>
    </row>
    <row r="598" spans="1:8" x14ac:dyDescent="0.35">
      <c r="A598" s="2">
        <v>45316</v>
      </c>
      <c r="B598" s="7">
        <f t="shared" si="9"/>
        <v>1</v>
      </c>
      <c r="C598" s="7" t="str">
        <f>_xlfn.XLOOKUP(B598,catalogos!$A$2:$A$13,catalogos!$B$2:$B$13)</f>
        <v>January</v>
      </c>
      <c r="D598" t="s">
        <v>10</v>
      </c>
      <c r="E598" t="s">
        <v>12</v>
      </c>
      <c r="F598">
        <v>52</v>
      </c>
      <c r="G598">
        <v>202</v>
      </c>
      <c r="H598">
        <v>10504</v>
      </c>
    </row>
    <row r="599" spans="1:8" x14ac:dyDescent="0.35">
      <c r="A599" s="2">
        <v>45316</v>
      </c>
      <c r="B599" s="7">
        <f t="shared" si="9"/>
        <v>1</v>
      </c>
      <c r="C599" s="7" t="str">
        <f>_xlfn.XLOOKUP(B599,catalogos!$A$2:$A$13,catalogos!$B$2:$B$13)</f>
        <v>January</v>
      </c>
      <c r="D599" t="s">
        <v>6</v>
      </c>
      <c r="E599" t="s">
        <v>14</v>
      </c>
      <c r="F599">
        <v>31</v>
      </c>
      <c r="G599">
        <v>20</v>
      </c>
      <c r="H599">
        <v>620</v>
      </c>
    </row>
    <row r="600" spans="1:8" x14ac:dyDescent="0.35">
      <c r="A600" s="2">
        <v>45316</v>
      </c>
      <c r="B600" s="7">
        <f t="shared" si="9"/>
        <v>1</v>
      </c>
      <c r="C600" s="7" t="str">
        <f>_xlfn.XLOOKUP(B600,catalogos!$A$2:$A$13,catalogos!$B$2:$B$13)</f>
        <v>January</v>
      </c>
      <c r="D600" t="s">
        <v>9</v>
      </c>
      <c r="E600" t="s">
        <v>13</v>
      </c>
      <c r="F600">
        <v>52</v>
      </c>
      <c r="G600">
        <v>114</v>
      </c>
      <c r="H600">
        <v>5928</v>
      </c>
    </row>
    <row r="601" spans="1:8" x14ac:dyDescent="0.35">
      <c r="A601" s="2">
        <v>45316</v>
      </c>
      <c r="B601" s="7">
        <f t="shared" si="9"/>
        <v>1</v>
      </c>
      <c r="C601" s="7" t="str">
        <f>_xlfn.XLOOKUP(B601,catalogos!$A$2:$A$13,catalogos!$B$2:$B$13)</f>
        <v>January</v>
      </c>
      <c r="D601" t="s">
        <v>8</v>
      </c>
      <c r="E601" t="s">
        <v>15</v>
      </c>
      <c r="F601">
        <v>57</v>
      </c>
      <c r="G601">
        <v>402</v>
      </c>
      <c r="H601">
        <v>22914</v>
      </c>
    </row>
    <row r="602" spans="1:8" x14ac:dyDescent="0.35">
      <c r="A602" s="2">
        <v>45317</v>
      </c>
      <c r="B602" s="7">
        <f t="shared" si="9"/>
        <v>1</v>
      </c>
      <c r="C602" s="7" t="str">
        <f>_xlfn.XLOOKUP(B602,catalogos!$A$2:$A$13,catalogos!$B$2:$B$13)</f>
        <v>January</v>
      </c>
      <c r="D602" t="s">
        <v>6</v>
      </c>
      <c r="E602" t="s">
        <v>12</v>
      </c>
      <c r="F602">
        <v>70</v>
      </c>
      <c r="G602">
        <v>20</v>
      </c>
      <c r="H602">
        <v>1400</v>
      </c>
    </row>
    <row r="603" spans="1:8" x14ac:dyDescent="0.35">
      <c r="A603" s="2">
        <v>45317</v>
      </c>
      <c r="B603" s="7">
        <f t="shared" si="9"/>
        <v>1</v>
      </c>
      <c r="C603" s="7" t="str">
        <f>_xlfn.XLOOKUP(B603,catalogos!$A$2:$A$13,catalogos!$B$2:$B$13)</f>
        <v>January</v>
      </c>
      <c r="D603" t="s">
        <v>10</v>
      </c>
      <c r="E603" t="s">
        <v>15</v>
      </c>
      <c r="F603">
        <v>90</v>
      </c>
      <c r="G603">
        <v>199</v>
      </c>
      <c r="H603">
        <v>17910</v>
      </c>
    </row>
    <row r="604" spans="1:8" x14ac:dyDescent="0.35">
      <c r="A604" s="2">
        <v>45317</v>
      </c>
      <c r="B604" s="7">
        <f t="shared" si="9"/>
        <v>1</v>
      </c>
      <c r="C604" s="7" t="str">
        <f>_xlfn.XLOOKUP(B604,catalogos!$A$2:$A$13,catalogos!$B$2:$B$13)</f>
        <v>January</v>
      </c>
      <c r="D604" t="s">
        <v>6</v>
      </c>
      <c r="E604" t="s">
        <v>11</v>
      </c>
      <c r="F604">
        <v>86</v>
      </c>
      <c r="G604">
        <v>234</v>
      </c>
      <c r="H604">
        <v>20124</v>
      </c>
    </row>
    <row r="605" spans="1:8" x14ac:dyDescent="0.35">
      <c r="A605" s="2">
        <v>45317</v>
      </c>
      <c r="B605" s="7">
        <f t="shared" si="9"/>
        <v>1</v>
      </c>
      <c r="C605" s="7" t="str">
        <f>_xlfn.XLOOKUP(B605,catalogos!$A$2:$A$13,catalogos!$B$2:$B$13)</f>
        <v>January</v>
      </c>
      <c r="D605" t="s">
        <v>10</v>
      </c>
      <c r="E605" t="s">
        <v>15</v>
      </c>
      <c r="F605">
        <v>97</v>
      </c>
      <c r="G605">
        <v>71</v>
      </c>
      <c r="H605">
        <v>6887</v>
      </c>
    </row>
    <row r="606" spans="1:8" x14ac:dyDescent="0.35">
      <c r="A606" s="2">
        <v>45317</v>
      </c>
      <c r="B606" s="7">
        <f t="shared" si="9"/>
        <v>1</v>
      </c>
      <c r="C606" s="7" t="str">
        <f>_xlfn.XLOOKUP(B606,catalogos!$A$2:$A$13,catalogos!$B$2:$B$13)</f>
        <v>January</v>
      </c>
      <c r="D606" t="s">
        <v>10</v>
      </c>
      <c r="E606" t="s">
        <v>12</v>
      </c>
      <c r="F606">
        <v>55</v>
      </c>
      <c r="G606">
        <v>334</v>
      </c>
      <c r="H606">
        <v>18370</v>
      </c>
    </row>
    <row r="607" spans="1:8" x14ac:dyDescent="0.35">
      <c r="A607" s="2">
        <v>45317</v>
      </c>
      <c r="B607" s="7">
        <f t="shared" si="9"/>
        <v>1</v>
      </c>
      <c r="C607" s="7" t="str">
        <f>_xlfn.XLOOKUP(B607,catalogos!$A$2:$A$13,catalogos!$B$2:$B$13)</f>
        <v>January</v>
      </c>
      <c r="D607" t="s">
        <v>9</v>
      </c>
      <c r="E607" t="s">
        <v>14</v>
      </c>
      <c r="F607">
        <v>80</v>
      </c>
      <c r="G607">
        <v>127</v>
      </c>
      <c r="H607">
        <v>10160</v>
      </c>
    </row>
    <row r="608" spans="1:8" x14ac:dyDescent="0.35">
      <c r="A608" s="2">
        <v>45317</v>
      </c>
      <c r="B608" s="7">
        <f t="shared" si="9"/>
        <v>1</v>
      </c>
      <c r="C608" s="7" t="str">
        <f>_xlfn.XLOOKUP(B608,catalogos!$A$2:$A$13,catalogos!$B$2:$B$13)</f>
        <v>January</v>
      </c>
      <c r="D608" t="s">
        <v>6</v>
      </c>
      <c r="E608" t="s">
        <v>15</v>
      </c>
      <c r="F608">
        <v>73</v>
      </c>
      <c r="G608">
        <v>87</v>
      </c>
      <c r="H608">
        <v>6351</v>
      </c>
    </row>
    <row r="609" spans="1:8" x14ac:dyDescent="0.35">
      <c r="A609" s="2">
        <v>45317</v>
      </c>
      <c r="B609" s="7">
        <f t="shared" si="9"/>
        <v>1</v>
      </c>
      <c r="C609" s="7" t="str">
        <f>_xlfn.XLOOKUP(B609,catalogos!$A$2:$A$13,catalogos!$B$2:$B$13)</f>
        <v>January</v>
      </c>
      <c r="D609" t="s">
        <v>9</v>
      </c>
      <c r="E609" t="s">
        <v>15</v>
      </c>
      <c r="F609">
        <v>98</v>
      </c>
      <c r="G609">
        <v>88</v>
      </c>
      <c r="H609">
        <v>8624</v>
      </c>
    </row>
    <row r="610" spans="1:8" x14ac:dyDescent="0.35">
      <c r="A610" s="2">
        <v>45317</v>
      </c>
      <c r="B610" s="7">
        <f t="shared" si="9"/>
        <v>1</v>
      </c>
      <c r="C610" s="7" t="str">
        <f>_xlfn.XLOOKUP(B610,catalogos!$A$2:$A$13,catalogos!$B$2:$B$13)</f>
        <v>January</v>
      </c>
      <c r="D610" t="s">
        <v>7</v>
      </c>
      <c r="E610" t="s">
        <v>12</v>
      </c>
      <c r="F610">
        <v>66</v>
      </c>
      <c r="G610">
        <v>67</v>
      </c>
      <c r="H610">
        <v>4422</v>
      </c>
    </row>
    <row r="611" spans="1:8" x14ac:dyDescent="0.35">
      <c r="A611" s="2">
        <v>45317</v>
      </c>
      <c r="B611" s="7">
        <f t="shared" si="9"/>
        <v>1</v>
      </c>
      <c r="C611" s="7" t="str">
        <f>_xlfn.XLOOKUP(B611,catalogos!$A$2:$A$13,catalogos!$B$2:$B$13)</f>
        <v>January</v>
      </c>
      <c r="D611" t="s">
        <v>6</v>
      </c>
      <c r="E611" t="s">
        <v>12</v>
      </c>
      <c r="F611">
        <v>65</v>
      </c>
      <c r="G611">
        <v>168</v>
      </c>
      <c r="H611">
        <v>10920</v>
      </c>
    </row>
    <row r="612" spans="1:8" x14ac:dyDescent="0.35">
      <c r="A612" s="2">
        <v>45317</v>
      </c>
      <c r="B612" s="7">
        <f t="shared" si="9"/>
        <v>1</v>
      </c>
      <c r="C612" s="7" t="str">
        <f>_xlfn.XLOOKUP(B612,catalogos!$A$2:$A$13,catalogos!$B$2:$B$13)</f>
        <v>January</v>
      </c>
      <c r="D612" t="s">
        <v>6</v>
      </c>
      <c r="E612" t="s">
        <v>11</v>
      </c>
      <c r="F612">
        <v>71</v>
      </c>
      <c r="G612">
        <v>394</v>
      </c>
      <c r="H612">
        <v>27974</v>
      </c>
    </row>
    <row r="613" spans="1:8" x14ac:dyDescent="0.35">
      <c r="A613" s="2">
        <v>45317</v>
      </c>
      <c r="B613" s="7">
        <f t="shared" si="9"/>
        <v>1</v>
      </c>
      <c r="C613" s="7" t="str">
        <f>_xlfn.XLOOKUP(B613,catalogos!$A$2:$A$13,catalogos!$B$2:$B$13)</f>
        <v>January</v>
      </c>
      <c r="D613" t="s">
        <v>9</v>
      </c>
      <c r="E613" t="s">
        <v>15</v>
      </c>
      <c r="F613">
        <v>40</v>
      </c>
      <c r="G613">
        <v>374</v>
      </c>
      <c r="H613">
        <v>14960</v>
      </c>
    </row>
    <row r="614" spans="1:8" x14ac:dyDescent="0.35">
      <c r="A614" s="2">
        <v>45317</v>
      </c>
      <c r="B614" s="7">
        <f t="shared" si="9"/>
        <v>1</v>
      </c>
      <c r="C614" s="7" t="str">
        <f>_xlfn.XLOOKUP(B614,catalogos!$A$2:$A$13,catalogos!$B$2:$B$13)</f>
        <v>January</v>
      </c>
      <c r="D614" t="s">
        <v>7</v>
      </c>
      <c r="E614" t="s">
        <v>15</v>
      </c>
      <c r="F614">
        <v>14</v>
      </c>
      <c r="G614">
        <v>467</v>
      </c>
      <c r="H614">
        <v>6538</v>
      </c>
    </row>
    <row r="615" spans="1:8" x14ac:dyDescent="0.35">
      <c r="A615" s="2">
        <v>45317</v>
      </c>
      <c r="B615" s="7">
        <f t="shared" si="9"/>
        <v>1</v>
      </c>
      <c r="C615" s="7" t="str">
        <f>_xlfn.XLOOKUP(B615,catalogos!$A$2:$A$13,catalogos!$B$2:$B$13)</f>
        <v>January</v>
      </c>
      <c r="D615" t="s">
        <v>8</v>
      </c>
      <c r="E615" t="s">
        <v>15</v>
      </c>
      <c r="F615">
        <v>78</v>
      </c>
      <c r="G615">
        <v>433</v>
      </c>
      <c r="H615">
        <v>33774</v>
      </c>
    </row>
    <row r="616" spans="1:8" x14ac:dyDescent="0.35">
      <c r="A616" s="2">
        <v>45317</v>
      </c>
      <c r="B616" s="7">
        <f t="shared" si="9"/>
        <v>1</v>
      </c>
      <c r="C616" s="7" t="str">
        <f>_xlfn.XLOOKUP(B616,catalogos!$A$2:$A$13,catalogos!$B$2:$B$13)</f>
        <v>January</v>
      </c>
      <c r="D616" t="s">
        <v>8</v>
      </c>
      <c r="E616" t="s">
        <v>13</v>
      </c>
      <c r="F616">
        <v>25</v>
      </c>
      <c r="G616">
        <v>498</v>
      </c>
      <c r="H616">
        <v>12450</v>
      </c>
    </row>
    <row r="617" spans="1:8" x14ac:dyDescent="0.35">
      <c r="A617" s="2">
        <v>45317</v>
      </c>
      <c r="B617" s="7">
        <f t="shared" si="9"/>
        <v>1</v>
      </c>
      <c r="C617" s="7" t="str">
        <f>_xlfn.XLOOKUP(B617,catalogos!$A$2:$A$13,catalogos!$B$2:$B$13)</f>
        <v>January</v>
      </c>
      <c r="D617" t="s">
        <v>6</v>
      </c>
      <c r="E617" t="s">
        <v>11</v>
      </c>
      <c r="F617">
        <v>4</v>
      </c>
      <c r="G617">
        <v>380</v>
      </c>
      <c r="H617">
        <v>1520</v>
      </c>
    </row>
    <row r="618" spans="1:8" x14ac:dyDescent="0.35">
      <c r="A618" s="2">
        <v>45317</v>
      </c>
      <c r="B618" s="7">
        <f t="shared" si="9"/>
        <v>1</v>
      </c>
      <c r="C618" s="7" t="str">
        <f>_xlfn.XLOOKUP(B618,catalogos!$A$2:$A$13,catalogos!$B$2:$B$13)</f>
        <v>January</v>
      </c>
      <c r="D618" t="s">
        <v>6</v>
      </c>
      <c r="E618" t="s">
        <v>14</v>
      </c>
      <c r="F618">
        <v>54</v>
      </c>
      <c r="G618">
        <v>187</v>
      </c>
      <c r="H618">
        <v>10098</v>
      </c>
    </row>
    <row r="619" spans="1:8" x14ac:dyDescent="0.35">
      <c r="A619" s="2">
        <v>45317</v>
      </c>
      <c r="B619" s="7">
        <f t="shared" si="9"/>
        <v>1</v>
      </c>
      <c r="C619" s="7" t="str">
        <f>_xlfn.XLOOKUP(B619,catalogos!$A$2:$A$13,catalogos!$B$2:$B$13)</f>
        <v>January</v>
      </c>
      <c r="D619" t="s">
        <v>6</v>
      </c>
      <c r="E619" t="s">
        <v>15</v>
      </c>
      <c r="F619">
        <v>39</v>
      </c>
      <c r="G619">
        <v>328</v>
      </c>
      <c r="H619">
        <v>12792</v>
      </c>
    </row>
    <row r="620" spans="1:8" x14ac:dyDescent="0.35">
      <c r="A620" s="2">
        <v>45317</v>
      </c>
      <c r="B620" s="7">
        <f t="shared" si="9"/>
        <v>1</v>
      </c>
      <c r="C620" s="7" t="str">
        <f>_xlfn.XLOOKUP(B620,catalogos!$A$2:$A$13,catalogos!$B$2:$B$13)</f>
        <v>January</v>
      </c>
      <c r="D620" t="s">
        <v>6</v>
      </c>
      <c r="E620" t="s">
        <v>12</v>
      </c>
      <c r="F620">
        <v>64</v>
      </c>
      <c r="G620">
        <v>427</v>
      </c>
      <c r="H620">
        <v>27328</v>
      </c>
    </row>
    <row r="621" spans="1:8" x14ac:dyDescent="0.35">
      <c r="A621" s="2">
        <v>45317</v>
      </c>
      <c r="B621" s="7">
        <f t="shared" si="9"/>
        <v>1</v>
      </c>
      <c r="C621" s="7" t="str">
        <f>_xlfn.XLOOKUP(B621,catalogos!$A$2:$A$13,catalogos!$B$2:$B$13)</f>
        <v>January</v>
      </c>
      <c r="D621" t="s">
        <v>9</v>
      </c>
      <c r="E621" t="s">
        <v>12</v>
      </c>
      <c r="F621">
        <v>37</v>
      </c>
      <c r="G621">
        <v>280</v>
      </c>
      <c r="H621">
        <v>10360</v>
      </c>
    </row>
    <row r="622" spans="1:8" x14ac:dyDescent="0.35">
      <c r="A622" s="2">
        <v>45317</v>
      </c>
      <c r="B622" s="7">
        <f t="shared" si="9"/>
        <v>1</v>
      </c>
      <c r="C622" s="7" t="str">
        <f>_xlfn.XLOOKUP(B622,catalogos!$A$2:$A$13,catalogos!$B$2:$B$13)</f>
        <v>January</v>
      </c>
      <c r="D622" t="s">
        <v>9</v>
      </c>
      <c r="E622" t="s">
        <v>13</v>
      </c>
      <c r="F622">
        <v>13</v>
      </c>
      <c r="G622">
        <v>333</v>
      </c>
      <c r="H622">
        <v>4329</v>
      </c>
    </row>
    <row r="623" spans="1:8" x14ac:dyDescent="0.35">
      <c r="A623" s="2">
        <v>45317</v>
      </c>
      <c r="B623" s="7">
        <f t="shared" si="9"/>
        <v>1</v>
      </c>
      <c r="C623" s="7" t="str">
        <f>_xlfn.XLOOKUP(B623,catalogos!$A$2:$A$13,catalogos!$B$2:$B$13)</f>
        <v>January</v>
      </c>
      <c r="D623" t="s">
        <v>7</v>
      </c>
      <c r="E623" t="s">
        <v>11</v>
      </c>
      <c r="F623">
        <v>7</v>
      </c>
      <c r="G623">
        <v>136</v>
      </c>
      <c r="H623">
        <v>952</v>
      </c>
    </row>
    <row r="624" spans="1:8" x14ac:dyDescent="0.35">
      <c r="A624" s="2">
        <v>45317</v>
      </c>
      <c r="B624" s="7">
        <f t="shared" si="9"/>
        <v>1</v>
      </c>
      <c r="C624" s="7" t="str">
        <f>_xlfn.XLOOKUP(B624,catalogos!$A$2:$A$13,catalogos!$B$2:$B$13)</f>
        <v>January</v>
      </c>
      <c r="D624" t="s">
        <v>8</v>
      </c>
      <c r="E624" t="s">
        <v>13</v>
      </c>
      <c r="F624">
        <v>8</v>
      </c>
      <c r="G624">
        <v>68</v>
      </c>
      <c r="H624">
        <v>544</v>
      </c>
    </row>
    <row r="625" spans="1:8" x14ac:dyDescent="0.35">
      <c r="A625" s="2">
        <v>45317</v>
      </c>
      <c r="B625" s="7">
        <f t="shared" si="9"/>
        <v>1</v>
      </c>
      <c r="C625" s="7" t="str">
        <f>_xlfn.XLOOKUP(B625,catalogos!$A$2:$A$13,catalogos!$B$2:$B$13)</f>
        <v>January</v>
      </c>
      <c r="D625" t="s">
        <v>6</v>
      </c>
      <c r="E625" t="s">
        <v>13</v>
      </c>
      <c r="F625">
        <v>90</v>
      </c>
      <c r="G625">
        <v>30</v>
      </c>
      <c r="H625">
        <v>2700</v>
      </c>
    </row>
    <row r="626" spans="1:8" x14ac:dyDescent="0.35">
      <c r="A626" s="2">
        <v>45318</v>
      </c>
      <c r="B626" s="7">
        <f t="shared" si="9"/>
        <v>1</v>
      </c>
      <c r="C626" s="7" t="str">
        <f>_xlfn.XLOOKUP(B626,catalogos!$A$2:$A$13,catalogos!$B$2:$B$13)</f>
        <v>January</v>
      </c>
      <c r="D626" t="s">
        <v>7</v>
      </c>
      <c r="E626" t="s">
        <v>15</v>
      </c>
      <c r="F626">
        <v>18</v>
      </c>
      <c r="G626">
        <v>312</v>
      </c>
      <c r="H626">
        <v>5616</v>
      </c>
    </row>
    <row r="627" spans="1:8" x14ac:dyDescent="0.35">
      <c r="A627" s="2">
        <v>45318</v>
      </c>
      <c r="B627" s="7">
        <f t="shared" si="9"/>
        <v>1</v>
      </c>
      <c r="C627" s="7" t="str">
        <f>_xlfn.XLOOKUP(B627,catalogos!$A$2:$A$13,catalogos!$B$2:$B$13)</f>
        <v>January</v>
      </c>
      <c r="D627" t="s">
        <v>6</v>
      </c>
      <c r="E627" t="s">
        <v>14</v>
      </c>
      <c r="F627">
        <v>44</v>
      </c>
      <c r="G627">
        <v>88</v>
      </c>
      <c r="H627">
        <v>3872</v>
      </c>
    </row>
    <row r="628" spans="1:8" x14ac:dyDescent="0.35">
      <c r="A628" s="2">
        <v>45318</v>
      </c>
      <c r="B628" s="7">
        <f t="shared" si="9"/>
        <v>1</v>
      </c>
      <c r="C628" s="7" t="str">
        <f>_xlfn.XLOOKUP(B628,catalogos!$A$2:$A$13,catalogos!$B$2:$B$13)</f>
        <v>January</v>
      </c>
      <c r="D628" t="s">
        <v>6</v>
      </c>
      <c r="E628" t="s">
        <v>11</v>
      </c>
      <c r="F628">
        <v>74</v>
      </c>
      <c r="G628">
        <v>118</v>
      </c>
      <c r="H628">
        <v>8732</v>
      </c>
    </row>
    <row r="629" spans="1:8" x14ac:dyDescent="0.35">
      <c r="A629" s="2">
        <v>45318</v>
      </c>
      <c r="B629" s="7">
        <f t="shared" si="9"/>
        <v>1</v>
      </c>
      <c r="C629" s="7" t="str">
        <f>_xlfn.XLOOKUP(B629,catalogos!$A$2:$A$13,catalogos!$B$2:$B$13)</f>
        <v>January</v>
      </c>
      <c r="D629" t="s">
        <v>8</v>
      </c>
      <c r="E629" t="s">
        <v>12</v>
      </c>
      <c r="F629">
        <v>58</v>
      </c>
      <c r="G629">
        <v>132</v>
      </c>
      <c r="H629">
        <v>7656</v>
      </c>
    </row>
    <row r="630" spans="1:8" x14ac:dyDescent="0.35">
      <c r="A630" s="2">
        <v>45318</v>
      </c>
      <c r="B630" s="7">
        <f t="shared" si="9"/>
        <v>1</v>
      </c>
      <c r="C630" s="7" t="str">
        <f>_xlfn.XLOOKUP(B630,catalogos!$A$2:$A$13,catalogos!$B$2:$B$13)</f>
        <v>January</v>
      </c>
      <c r="D630" t="s">
        <v>6</v>
      </c>
      <c r="E630" t="s">
        <v>11</v>
      </c>
      <c r="F630">
        <v>11</v>
      </c>
      <c r="G630">
        <v>305</v>
      </c>
      <c r="H630">
        <v>3355</v>
      </c>
    </row>
    <row r="631" spans="1:8" x14ac:dyDescent="0.35">
      <c r="A631" s="2">
        <v>45318</v>
      </c>
      <c r="B631" s="7">
        <f t="shared" si="9"/>
        <v>1</v>
      </c>
      <c r="C631" s="7" t="str">
        <f>_xlfn.XLOOKUP(B631,catalogos!$A$2:$A$13,catalogos!$B$2:$B$13)</f>
        <v>January</v>
      </c>
      <c r="D631" t="s">
        <v>10</v>
      </c>
      <c r="E631" t="s">
        <v>15</v>
      </c>
      <c r="F631">
        <v>59</v>
      </c>
      <c r="G631">
        <v>486</v>
      </c>
      <c r="H631">
        <v>28674</v>
      </c>
    </row>
    <row r="632" spans="1:8" x14ac:dyDescent="0.35">
      <c r="A632" s="2">
        <v>45318</v>
      </c>
      <c r="B632" s="7">
        <f t="shared" si="9"/>
        <v>1</v>
      </c>
      <c r="C632" s="7" t="str">
        <f>_xlfn.XLOOKUP(B632,catalogos!$A$2:$A$13,catalogos!$B$2:$B$13)</f>
        <v>January</v>
      </c>
      <c r="D632" t="s">
        <v>6</v>
      </c>
      <c r="E632" t="s">
        <v>14</v>
      </c>
      <c r="F632">
        <v>24</v>
      </c>
      <c r="G632">
        <v>97</v>
      </c>
      <c r="H632">
        <v>2328</v>
      </c>
    </row>
    <row r="633" spans="1:8" x14ac:dyDescent="0.35">
      <c r="A633" s="2">
        <v>45318</v>
      </c>
      <c r="B633" s="7">
        <f t="shared" si="9"/>
        <v>1</v>
      </c>
      <c r="C633" s="7" t="str">
        <f>_xlfn.XLOOKUP(B633,catalogos!$A$2:$A$13,catalogos!$B$2:$B$13)</f>
        <v>January</v>
      </c>
      <c r="D633" t="s">
        <v>9</v>
      </c>
      <c r="E633" t="s">
        <v>15</v>
      </c>
      <c r="F633">
        <v>49</v>
      </c>
      <c r="G633">
        <v>66</v>
      </c>
      <c r="H633">
        <v>3234</v>
      </c>
    </row>
    <row r="634" spans="1:8" x14ac:dyDescent="0.35">
      <c r="A634" s="2">
        <v>45318</v>
      </c>
      <c r="B634" s="7">
        <f t="shared" si="9"/>
        <v>1</v>
      </c>
      <c r="C634" s="7" t="str">
        <f>_xlfn.XLOOKUP(B634,catalogos!$A$2:$A$13,catalogos!$B$2:$B$13)</f>
        <v>January</v>
      </c>
      <c r="D634" t="s">
        <v>7</v>
      </c>
      <c r="E634" t="s">
        <v>14</v>
      </c>
      <c r="F634">
        <v>33</v>
      </c>
      <c r="G634">
        <v>241</v>
      </c>
      <c r="H634">
        <v>7953</v>
      </c>
    </row>
    <row r="635" spans="1:8" x14ac:dyDescent="0.35">
      <c r="A635" s="2">
        <v>45318</v>
      </c>
      <c r="B635" s="7">
        <f t="shared" si="9"/>
        <v>1</v>
      </c>
      <c r="C635" s="7" t="str">
        <f>_xlfn.XLOOKUP(B635,catalogos!$A$2:$A$13,catalogos!$B$2:$B$13)</f>
        <v>January</v>
      </c>
      <c r="D635" t="s">
        <v>9</v>
      </c>
      <c r="E635" t="s">
        <v>12</v>
      </c>
      <c r="F635">
        <v>62</v>
      </c>
      <c r="G635">
        <v>369</v>
      </c>
      <c r="H635">
        <v>22878</v>
      </c>
    </row>
    <row r="636" spans="1:8" x14ac:dyDescent="0.35">
      <c r="A636" s="2">
        <v>45318</v>
      </c>
      <c r="B636" s="7">
        <f t="shared" si="9"/>
        <v>1</v>
      </c>
      <c r="C636" s="7" t="str">
        <f>_xlfn.XLOOKUP(B636,catalogos!$A$2:$A$13,catalogos!$B$2:$B$13)</f>
        <v>January</v>
      </c>
      <c r="D636" t="s">
        <v>10</v>
      </c>
      <c r="E636" t="s">
        <v>15</v>
      </c>
      <c r="F636">
        <v>32</v>
      </c>
      <c r="G636">
        <v>326</v>
      </c>
      <c r="H636">
        <v>10432</v>
      </c>
    </row>
    <row r="637" spans="1:8" x14ac:dyDescent="0.35">
      <c r="A637" s="2">
        <v>45318</v>
      </c>
      <c r="B637" s="7">
        <f t="shared" si="9"/>
        <v>1</v>
      </c>
      <c r="C637" s="7" t="str">
        <f>_xlfn.XLOOKUP(B637,catalogos!$A$2:$A$13,catalogos!$B$2:$B$13)</f>
        <v>January</v>
      </c>
      <c r="D637" t="s">
        <v>7</v>
      </c>
      <c r="E637" t="s">
        <v>15</v>
      </c>
      <c r="F637">
        <v>20</v>
      </c>
      <c r="G637">
        <v>13</v>
      </c>
      <c r="H637">
        <v>260</v>
      </c>
    </row>
    <row r="638" spans="1:8" x14ac:dyDescent="0.35">
      <c r="A638" s="2">
        <v>45318</v>
      </c>
      <c r="B638" s="7">
        <f t="shared" si="9"/>
        <v>1</v>
      </c>
      <c r="C638" s="7" t="str">
        <f>_xlfn.XLOOKUP(B638,catalogos!$A$2:$A$13,catalogos!$B$2:$B$13)</f>
        <v>January</v>
      </c>
      <c r="D638" t="s">
        <v>8</v>
      </c>
      <c r="E638" t="s">
        <v>13</v>
      </c>
      <c r="F638">
        <v>47</v>
      </c>
      <c r="G638">
        <v>272</v>
      </c>
      <c r="H638">
        <v>12784</v>
      </c>
    </row>
    <row r="639" spans="1:8" x14ac:dyDescent="0.35">
      <c r="A639" s="2">
        <v>45318</v>
      </c>
      <c r="B639" s="7">
        <f t="shared" si="9"/>
        <v>1</v>
      </c>
      <c r="C639" s="7" t="str">
        <f>_xlfn.XLOOKUP(B639,catalogos!$A$2:$A$13,catalogos!$B$2:$B$13)</f>
        <v>January</v>
      </c>
      <c r="D639" t="s">
        <v>9</v>
      </c>
      <c r="E639" t="s">
        <v>13</v>
      </c>
      <c r="F639">
        <v>23</v>
      </c>
      <c r="G639">
        <v>340</v>
      </c>
      <c r="H639">
        <v>7820</v>
      </c>
    </row>
    <row r="640" spans="1:8" x14ac:dyDescent="0.35">
      <c r="A640" s="2">
        <v>45318</v>
      </c>
      <c r="B640" s="7">
        <f t="shared" si="9"/>
        <v>1</v>
      </c>
      <c r="C640" s="7" t="str">
        <f>_xlfn.XLOOKUP(B640,catalogos!$A$2:$A$13,catalogos!$B$2:$B$13)</f>
        <v>January</v>
      </c>
      <c r="D640" t="s">
        <v>8</v>
      </c>
      <c r="E640" t="s">
        <v>11</v>
      </c>
      <c r="F640">
        <v>58</v>
      </c>
      <c r="G640">
        <v>342</v>
      </c>
      <c r="H640">
        <v>19836</v>
      </c>
    </row>
    <row r="641" spans="1:8" x14ac:dyDescent="0.35">
      <c r="A641" s="2">
        <v>45318</v>
      </c>
      <c r="B641" s="7">
        <f t="shared" si="9"/>
        <v>1</v>
      </c>
      <c r="C641" s="7" t="str">
        <f>_xlfn.XLOOKUP(B641,catalogos!$A$2:$A$13,catalogos!$B$2:$B$13)</f>
        <v>January</v>
      </c>
      <c r="D641" t="s">
        <v>7</v>
      </c>
      <c r="E641" t="s">
        <v>12</v>
      </c>
      <c r="F641">
        <v>96</v>
      </c>
      <c r="G641">
        <v>313</v>
      </c>
      <c r="H641">
        <v>30048</v>
      </c>
    </row>
    <row r="642" spans="1:8" x14ac:dyDescent="0.35">
      <c r="A642" s="2">
        <v>45318</v>
      </c>
      <c r="B642" s="7">
        <f t="shared" si="9"/>
        <v>1</v>
      </c>
      <c r="C642" s="7" t="str">
        <f>_xlfn.XLOOKUP(B642,catalogos!$A$2:$A$13,catalogos!$B$2:$B$13)</f>
        <v>January</v>
      </c>
      <c r="D642" t="s">
        <v>7</v>
      </c>
      <c r="E642" t="s">
        <v>11</v>
      </c>
      <c r="F642">
        <v>88</v>
      </c>
      <c r="G642">
        <v>104</v>
      </c>
      <c r="H642">
        <v>9152</v>
      </c>
    </row>
    <row r="643" spans="1:8" x14ac:dyDescent="0.35">
      <c r="A643" s="2">
        <v>45318</v>
      </c>
      <c r="B643" s="7">
        <f t="shared" ref="B643:B706" si="10">MONTH(A643)</f>
        <v>1</v>
      </c>
      <c r="C643" s="7" t="str">
        <f>_xlfn.XLOOKUP(B643,catalogos!$A$2:$A$13,catalogos!$B$2:$B$13)</f>
        <v>January</v>
      </c>
      <c r="D643" t="s">
        <v>10</v>
      </c>
      <c r="E643" t="s">
        <v>11</v>
      </c>
      <c r="F643">
        <v>77</v>
      </c>
      <c r="G643">
        <v>51</v>
      </c>
      <c r="H643">
        <v>3927</v>
      </c>
    </row>
    <row r="644" spans="1:8" x14ac:dyDescent="0.35">
      <c r="A644" s="2">
        <v>45318</v>
      </c>
      <c r="B644" s="7">
        <f t="shared" si="10"/>
        <v>1</v>
      </c>
      <c r="C644" s="7" t="str">
        <f>_xlfn.XLOOKUP(B644,catalogos!$A$2:$A$13,catalogos!$B$2:$B$13)</f>
        <v>January</v>
      </c>
      <c r="D644" t="s">
        <v>8</v>
      </c>
      <c r="E644" t="s">
        <v>13</v>
      </c>
      <c r="F644">
        <v>12</v>
      </c>
      <c r="G644">
        <v>8</v>
      </c>
      <c r="H644">
        <v>96</v>
      </c>
    </row>
    <row r="645" spans="1:8" x14ac:dyDescent="0.35">
      <c r="A645" s="2">
        <v>45318</v>
      </c>
      <c r="B645" s="7">
        <f t="shared" si="10"/>
        <v>1</v>
      </c>
      <c r="C645" s="7" t="str">
        <f>_xlfn.XLOOKUP(B645,catalogos!$A$2:$A$13,catalogos!$B$2:$B$13)</f>
        <v>January</v>
      </c>
      <c r="D645" t="s">
        <v>9</v>
      </c>
      <c r="E645" t="s">
        <v>12</v>
      </c>
      <c r="F645">
        <v>36</v>
      </c>
      <c r="G645">
        <v>294</v>
      </c>
      <c r="H645">
        <v>10584</v>
      </c>
    </row>
    <row r="646" spans="1:8" x14ac:dyDescent="0.35">
      <c r="A646" s="2">
        <v>45318</v>
      </c>
      <c r="B646" s="7">
        <f t="shared" si="10"/>
        <v>1</v>
      </c>
      <c r="C646" s="7" t="str">
        <f>_xlfn.XLOOKUP(B646,catalogos!$A$2:$A$13,catalogos!$B$2:$B$13)</f>
        <v>January</v>
      </c>
      <c r="D646" t="s">
        <v>9</v>
      </c>
      <c r="E646" t="s">
        <v>14</v>
      </c>
      <c r="F646">
        <v>9</v>
      </c>
      <c r="G646">
        <v>350</v>
      </c>
      <c r="H646">
        <v>3150</v>
      </c>
    </row>
    <row r="647" spans="1:8" x14ac:dyDescent="0.35">
      <c r="A647" s="2">
        <v>45318</v>
      </c>
      <c r="B647" s="7">
        <f t="shared" si="10"/>
        <v>1</v>
      </c>
      <c r="C647" s="7" t="str">
        <f>_xlfn.XLOOKUP(B647,catalogos!$A$2:$A$13,catalogos!$B$2:$B$13)</f>
        <v>January</v>
      </c>
      <c r="D647" t="s">
        <v>9</v>
      </c>
      <c r="E647" t="s">
        <v>15</v>
      </c>
      <c r="F647">
        <v>57</v>
      </c>
      <c r="G647">
        <v>456</v>
      </c>
      <c r="H647">
        <v>25992</v>
      </c>
    </row>
    <row r="648" spans="1:8" x14ac:dyDescent="0.35">
      <c r="A648" s="2">
        <v>45318</v>
      </c>
      <c r="B648" s="7">
        <f t="shared" si="10"/>
        <v>1</v>
      </c>
      <c r="C648" s="7" t="str">
        <f>_xlfn.XLOOKUP(B648,catalogos!$A$2:$A$13,catalogos!$B$2:$B$13)</f>
        <v>January</v>
      </c>
      <c r="D648" t="s">
        <v>8</v>
      </c>
      <c r="E648" t="s">
        <v>14</v>
      </c>
      <c r="F648">
        <v>26</v>
      </c>
      <c r="G648">
        <v>239</v>
      </c>
      <c r="H648">
        <v>6214</v>
      </c>
    </row>
    <row r="649" spans="1:8" x14ac:dyDescent="0.35">
      <c r="A649" s="2">
        <v>45318</v>
      </c>
      <c r="B649" s="7">
        <f t="shared" si="10"/>
        <v>1</v>
      </c>
      <c r="C649" s="7" t="str">
        <f>_xlfn.XLOOKUP(B649,catalogos!$A$2:$A$13,catalogos!$B$2:$B$13)</f>
        <v>January</v>
      </c>
      <c r="D649" t="s">
        <v>6</v>
      </c>
      <c r="E649" t="s">
        <v>11</v>
      </c>
      <c r="F649">
        <v>20</v>
      </c>
      <c r="G649">
        <v>35</v>
      </c>
      <c r="H649">
        <v>700</v>
      </c>
    </row>
    <row r="650" spans="1:8" x14ac:dyDescent="0.35">
      <c r="A650" s="2">
        <v>45319</v>
      </c>
      <c r="B650" s="7">
        <f t="shared" si="10"/>
        <v>1</v>
      </c>
      <c r="C650" s="7" t="str">
        <f>_xlfn.XLOOKUP(B650,catalogos!$A$2:$A$13,catalogos!$B$2:$B$13)</f>
        <v>January</v>
      </c>
      <c r="D650" t="s">
        <v>9</v>
      </c>
      <c r="E650" t="s">
        <v>14</v>
      </c>
      <c r="F650">
        <v>75</v>
      </c>
      <c r="G650">
        <v>340</v>
      </c>
      <c r="H650">
        <v>25500</v>
      </c>
    </row>
    <row r="651" spans="1:8" x14ac:dyDescent="0.35">
      <c r="A651" s="2">
        <v>45319</v>
      </c>
      <c r="B651" s="7">
        <f t="shared" si="10"/>
        <v>1</v>
      </c>
      <c r="C651" s="7" t="str">
        <f>_xlfn.XLOOKUP(B651,catalogos!$A$2:$A$13,catalogos!$B$2:$B$13)</f>
        <v>January</v>
      </c>
      <c r="D651" t="s">
        <v>10</v>
      </c>
      <c r="E651" t="s">
        <v>13</v>
      </c>
      <c r="F651">
        <v>5</v>
      </c>
      <c r="G651">
        <v>107</v>
      </c>
      <c r="H651">
        <v>535</v>
      </c>
    </row>
    <row r="652" spans="1:8" x14ac:dyDescent="0.35">
      <c r="A652" s="2">
        <v>45319</v>
      </c>
      <c r="B652" s="7">
        <f t="shared" si="10"/>
        <v>1</v>
      </c>
      <c r="C652" s="7" t="str">
        <f>_xlfn.XLOOKUP(B652,catalogos!$A$2:$A$13,catalogos!$B$2:$B$13)</f>
        <v>January</v>
      </c>
      <c r="D652" t="s">
        <v>6</v>
      </c>
      <c r="E652" t="s">
        <v>13</v>
      </c>
      <c r="F652">
        <v>78</v>
      </c>
      <c r="G652">
        <v>123</v>
      </c>
      <c r="H652">
        <v>9594</v>
      </c>
    </row>
    <row r="653" spans="1:8" x14ac:dyDescent="0.35">
      <c r="A653" s="2">
        <v>45319</v>
      </c>
      <c r="B653" s="7">
        <f t="shared" si="10"/>
        <v>1</v>
      </c>
      <c r="C653" s="7" t="str">
        <f>_xlfn.XLOOKUP(B653,catalogos!$A$2:$A$13,catalogos!$B$2:$B$13)</f>
        <v>January</v>
      </c>
      <c r="D653" t="s">
        <v>8</v>
      </c>
      <c r="E653" t="s">
        <v>12</v>
      </c>
      <c r="F653">
        <v>68</v>
      </c>
      <c r="G653">
        <v>291</v>
      </c>
      <c r="H653">
        <v>19788</v>
      </c>
    </row>
    <row r="654" spans="1:8" x14ac:dyDescent="0.35">
      <c r="A654" s="2">
        <v>45319</v>
      </c>
      <c r="B654" s="7">
        <f t="shared" si="10"/>
        <v>1</v>
      </c>
      <c r="C654" s="7" t="str">
        <f>_xlfn.XLOOKUP(B654,catalogos!$A$2:$A$13,catalogos!$B$2:$B$13)</f>
        <v>January</v>
      </c>
      <c r="D654" t="s">
        <v>7</v>
      </c>
      <c r="E654" t="s">
        <v>15</v>
      </c>
      <c r="F654">
        <v>66</v>
      </c>
      <c r="G654">
        <v>303</v>
      </c>
      <c r="H654">
        <v>19998</v>
      </c>
    </row>
    <row r="655" spans="1:8" x14ac:dyDescent="0.35">
      <c r="A655" s="2">
        <v>45319</v>
      </c>
      <c r="B655" s="7">
        <f t="shared" si="10"/>
        <v>1</v>
      </c>
      <c r="C655" s="7" t="str">
        <f>_xlfn.XLOOKUP(B655,catalogos!$A$2:$A$13,catalogos!$B$2:$B$13)</f>
        <v>January</v>
      </c>
      <c r="D655" t="s">
        <v>7</v>
      </c>
      <c r="E655" t="s">
        <v>12</v>
      </c>
      <c r="F655">
        <v>1</v>
      </c>
      <c r="G655">
        <v>54</v>
      </c>
      <c r="H655">
        <v>54</v>
      </c>
    </row>
    <row r="656" spans="1:8" x14ac:dyDescent="0.35">
      <c r="A656" s="2">
        <v>45319</v>
      </c>
      <c r="B656" s="7">
        <f t="shared" si="10"/>
        <v>1</v>
      </c>
      <c r="C656" s="7" t="str">
        <f>_xlfn.XLOOKUP(B656,catalogos!$A$2:$A$13,catalogos!$B$2:$B$13)</f>
        <v>January</v>
      </c>
      <c r="D656" t="s">
        <v>7</v>
      </c>
      <c r="E656" t="s">
        <v>11</v>
      </c>
      <c r="F656">
        <v>5</v>
      </c>
      <c r="G656">
        <v>398</v>
      </c>
      <c r="H656">
        <v>1990</v>
      </c>
    </row>
    <row r="657" spans="1:8" x14ac:dyDescent="0.35">
      <c r="A657" s="2">
        <v>45319</v>
      </c>
      <c r="B657" s="7">
        <f t="shared" si="10"/>
        <v>1</v>
      </c>
      <c r="C657" s="7" t="str">
        <f>_xlfn.XLOOKUP(B657,catalogos!$A$2:$A$13,catalogos!$B$2:$B$13)</f>
        <v>January</v>
      </c>
      <c r="D657" t="s">
        <v>7</v>
      </c>
      <c r="E657" t="s">
        <v>15</v>
      </c>
      <c r="F657">
        <v>95</v>
      </c>
      <c r="G657">
        <v>484</v>
      </c>
      <c r="H657">
        <v>45980</v>
      </c>
    </row>
    <row r="658" spans="1:8" x14ac:dyDescent="0.35">
      <c r="A658" s="2">
        <v>45319</v>
      </c>
      <c r="B658" s="7">
        <f t="shared" si="10"/>
        <v>1</v>
      </c>
      <c r="C658" s="7" t="str">
        <f>_xlfn.XLOOKUP(B658,catalogos!$A$2:$A$13,catalogos!$B$2:$B$13)</f>
        <v>January</v>
      </c>
      <c r="D658" t="s">
        <v>10</v>
      </c>
      <c r="E658" t="s">
        <v>15</v>
      </c>
      <c r="F658">
        <v>57</v>
      </c>
      <c r="G658">
        <v>354</v>
      </c>
      <c r="H658">
        <v>20178</v>
      </c>
    </row>
    <row r="659" spans="1:8" x14ac:dyDescent="0.35">
      <c r="A659" s="2">
        <v>45319</v>
      </c>
      <c r="B659" s="7">
        <f t="shared" si="10"/>
        <v>1</v>
      </c>
      <c r="C659" s="7" t="str">
        <f>_xlfn.XLOOKUP(B659,catalogos!$A$2:$A$13,catalogos!$B$2:$B$13)</f>
        <v>January</v>
      </c>
      <c r="D659" t="s">
        <v>8</v>
      </c>
      <c r="E659" t="s">
        <v>15</v>
      </c>
      <c r="F659">
        <v>82</v>
      </c>
      <c r="G659">
        <v>463</v>
      </c>
      <c r="H659">
        <v>37966</v>
      </c>
    </row>
    <row r="660" spans="1:8" x14ac:dyDescent="0.35">
      <c r="A660" s="2">
        <v>45319</v>
      </c>
      <c r="B660" s="7">
        <f t="shared" si="10"/>
        <v>1</v>
      </c>
      <c r="C660" s="7" t="str">
        <f>_xlfn.XLOOKUP(B660,catalogos!$A$2:$A$13,catalogos!$B$2:$B$13)</f>
        <v>January</v>
      </c>
      <c r="D660" t="s">
        <v>9</v>
      </c>
      <c r="E660" t="s">
        <v>14</v>
      </c>
      <c r="F660">
        <v>85</v>
      </c>
      <c r="G660">
        <v>334</v>
      </c>
      <c r="H660">
        <v>28390</v>
      </c>
    </row>
    <row r="661" spans="1:8" x14ac:dyDescent="0.35">
      <c r="A661" s="2">
        <v>45319</v>
      </c>
      <c r="B661" s="7">
        <f t="shared" si="10"/>
        <v>1</v>
      </c>
      <c r="C661" s="7" t="str">
        <f>_xlfn.XLOOKUP(B661,catalogos!$A$2:$A$13,catalogos!$B$2:$B$13)</f>
        <v>January</v>
      </c>
      <c r="D661" t="s">
        <v>10</v>
      </c>
      <c r="E661" t="s">
        <v>14</v>
      </c>
      <c r="F661">
        <v>15</v>
      </c>
      <c r="G661">
        <v>212</v>
      </c>
      <c r="H661">
        <v>3180</v>
      </c>
    </row>
    <row r="662" spans="1:8" x14ac:dyDescent="0.35">
      <c r="A662" s="2">
        <v>45319</v>
      </c>
      <c r="B662" s="7">
        <f t="shared" si="10"/>
        <v>1</v>
      </c>
      <c r="C662" s="7" t="str">
        <f>_xlfn.XLOOKUP(B662,catalogos!$A$2:$A$13,catalogos!$B$2:$B$13)</f>
        <v>January</v>
      </c>
      <c r="D662" t="s">
        <v>8</v>
      </c>
      <c r="E662" t="s">
        <v>11</v>
      </c>
      <c r="F662">
        <v>23</v>
      </c>
      <c r="G662">
        <v>482</v>
      </c>
      <c r="H662">
        <v>11086</v>
      </c>
    </row>
    <row r="663" spans="1:8" x14ac:dyDescent="0.35">
      <c r="A663" s="2">
        <v>45319</v>
      </c>
      <c r="B663" s="7">
        <f t="shared" si="10"/>
        <v>1</v>
      </c>
      <c r="C663" s="7" t="str">
        <f>_xlfn.XLOOKUP(B663,catalogos!$A$2:$A$13,catalogos!$B$2:$B$13)</f>
        <v>January</v>
      </c>
      <c r="D663" t="s">
        <v>6</v>
      </c>
      <c r="E663" t="s">
        <v>12</v>
      </c>
      <c r="F663">
        <v>38</v>
      </c>
      <c r="G663">
        <v>351</v>
      </c>
      <c r="H663">
        <v>13338</v>
      </c>
    </row>
    <row r="664" spans="1:8" x14ac:dyDescent="0.35">
      <c r="A664" s="2">
        <v>45319</v>
      </c>
      <c r="B664" s="7">
        <f t="shared" si="10"/>
        <v>1</v>
      </c>
      <c r="C664" s="7" t="str">
        <f>_xlfn.XLOOKUP(B664,catalogos!$A$2:$A$13,catalogos!$B$2:$B$13)</f>
        <v>January</v>
      </c>
      <c r="D664" t="s">
        <v>7</v>
      </c>
      <c r="E664" t="s">
        <v>12</v>
      </c>
      <c r="F664">
        <v>32</v>
      </c>
      <c r="G664">
        <v>345</v>
      </c>
      <c r="H664">
        <v>11040</v>
      </c>
    </row>
    <row r="665" spans="1:8" x14ac:dyDescent="0.35">
      <c r="A665" s="2">
        <v>45319</v>
      </c>
      <c r="B665" s="7">
        <f t="shared" si="10"/>
        <v>1</v>
      </c>
      <c r="C665" s="7" t="str">
        <f>_xlfn.XLOOKUP(B665,catalogos!$A$2:$A$13,catalogos!$B$2:$B$13)</f>
        <v>January</v>
      </c>
      <c r="D665" t="s">
        <v>8</v>
      </c>
      <c r="E665" t="s">
        <v>13</v>
      </c>
      <c r="F665">
        <v>89</v>
      </c>
      <c r="G665">
        <v>189</v>
      </c>
      <c r="H665">
        <v>16821</v>
      </c>
    </row>
    <row r="666" spans="1:8" x14ac:dyDescent="0.35">
      <c r="A666" s="2">
        <v>45319</v>
      </c>
      <c r="B666" s="7">
        <f t="shared" si="10"/>
        <v>1</v>
      </c>
      <c r="C666" s="7" t="str">
        <f>_xlfn.XLOOKUP(B666,catalogos!$A$2:$A$13,catalogos!$B$2:$B$13)</f>
        <v>January</v>
      </c>
      <c r="D666" t="s">
        <v>6</v>
      </c>
      <c r="E666" t="s">
        <v>14</v>
      </c>
      <c r="F666">
        <v>64</v>
      </c>
      <c r="G666">
        <v>57</v>
      </c>
      <c r="H666">
        <v>3648</v>
      </c>
    </row>
    <row r="667" spans="1:8" x14ac:dyDescent="0.35">
      <c r="A667" s="2">
        <v>45319</v>
      </c>
      <c r="B667" s="7">
        <f t="shared" si="10"/>
        <v>1</v>
      </c>
      <c r="C667" s="7" t="str">
        <f>_xlfn.XLOOKUP(B667,catalogos!$A$2:$A$13,catalogos!$B$2:$B$13)</f>
        <v>January</v>
      </c>
      <c r="D667" t="s">
        <v>9</v>
      </c>
      <c r="E667" t="s">
        <v>13</v>
      </c>
      <c r="F667">
        <v>18</v>
      </c>
      <c r="G667">
        <v>25</v>
      </c>
      <c r="H667">
        <v>450</v>
      </c>
    </row>
    <row r="668" spans="1:8" x14ac:dyDescent="0.35">
      <c r="A668" s="2">
        <v>45319</v>
      </c>
      <c r="B668" s="7">
        <f t="shared" si="10"/>
        <v>1</v>
      </c>
      <c r="C668" s="7" t="str">
        <f>_xlfn.XLOOKUP(B668,catalogos!$A$2:$A$13,catalogos!$B$2:$B$13)</f>
        <v>January</v>
      </c>
      <c r="D668" t="s">
        <v>9</v>
      </c>
      <c r="E668" t="s">
        <v>13</v>
      </c>
      <c r="F668">
        <v>91</v>
      </c>
      <c r="G668">
        <v>10</v>
      </c>
      <c r="H668">
        <v>910</v>
      </c>
    </row>
    <row r="669" spans="1:8" x14ac:dyDescent="0.35">
      <c r="A669" s="2">
        <v>45319</v>
      </c>
      <c r="B669" s="7">
        <f t="shared" si="10"/>
        <v>1</v>
      </c>
      <c r="C669" s="7" t="str">
        <f>_xlfn.XLOOKUP(B669,catalogos!$A$2:$A$13,catalogos!$B$2:$B$13)</f>
        <v>January</v>
      </c>
      <c r="D669" t="s">
        <v>10</v>
      </c>
      <c r="E669" t="s">
        <v>14</v>
      </c>
      <c r="F669">
        <v>8</v>
      </c>
      <c r="G669">
        <v>57</v>
      </c>
      <c r="H669">
        <v>456</v>
      </c>
    </row>
    <row r="670" spans="1:8" x14ac:dyDescent="0.35">
      <c r="A670" s="2">
        <v>45319</v>
      </c>
      <c r="B670" s="7">
        <f t="shared" si="10"/>
        <v>1</v>
      </c>
      <c r="C670" s="7" t="str">
        <f>_xlfn.XLOOKUP(B670,catalogos!$A$2:$A$13,catalogos!$B$2:$B$13)</f>
        <v>January</v>
      </c>
      <c r="D670" t="s">
        <v>6</v>
      </c>
      <c r="E670" t="s">
        <v>11</v>
      </c>
      <c r="F670">
        <v>10</v>
      </c>
      <c r="G670">
        <v>212</v>
      </c>
      <c r="H670">
        <v>2120</v>
      </c>
    </row>
    <row r="671" spans="1:8" x14ac:dyDescent="0.35">
      <c r="A671" s="2">
        <v>45319</v>
      </c>
      <c r="B671" s="7">
        <f t="shared" si="10"/>
        <v>1</v>
      </c>
      <c r="C671" s="7" t="str">
        <f>_xlfn.XLOOKUP(B671,catalogos!$A$2:$A$13,catalogos!$B$2:$B$13)</f>
        <v>January</v>
      </c>
      <c r="D671" t="s">
        <v>10</v>
      </c>
      <c r="E671" t="s">
        <v>13</v>
      </c>
      <c r="F671">
        <v>26</v>
      </c>
      <c r="G671">
        <v>151</v>
      </c>
      <c r="H671">
        <v>3926</v>
      </c>
    </row>
    <row r="672" spans="1:8" x14ac:dyDescent="0.35">
      <c r="A672" s="2">
        <v>45319</v>
      </c>
      <c r="B672" s="7">
        <f t="shared" si="10"/>
        <v>1</v>
      </c>
      <c r="C672" s="7" t="str">
        <f>_xlfn.XLOOKUP(B672,catalogos!$A$2:$A$13,catalogos!$B$2:$B$13)</f>
        <v>January</v>
      </c>
      <c r="D672" t="s">
        <v>8</v>
      </c>
      <c r="E672" t="s">
        <v>14</v>
      </c>
      <c r="F672">
        <v>9</v>
      </c>
      <c r="G672">
        <v>182</v>
      </c>
      <c r="H672">
        <v>1638</v>
      </c>
    </row>
    <row r="673" spans="1:8" x14ac:dyDescent="0.35">
      <c r="A673" s="2">
        <v>45319</v>
      </c>
      <c r="B673" s="7">
        <f t="shared" si="10"/>
        <v>1</v>
      </c>
      <c r="C673" s="7" t="str">
        <f>_xlfn.XLOOKUP(B673,catalogos!$A$2:$A$13,catalogos!$B$2:$B$13)</f>
        <v>January</v>
      </c>
      <c r="D673" t="s">
        <v>10</v>
      </c>
      <c r="E673" t="s">
        <v>11</v>
      </c>
      <c r="F673">
        <v>85</v>
      </c>
      <c r="G673">
        <v>396</v>
      </c>
      <c r="H673">
        <v>33660</v>
      </c>
    </row>
    <row r="674" spans="1:8" x14ac:dyDescent="0.35">
      <c r="A674" s="2">
        <v>45320</v>
      </c>
      <c r="B674" s="7">
        <f t="shared" si="10"/>
        <v>1</v>
      </c>
      <c r="C674" s="7" t="str">
        <f>_xlfn.XLOOKUP(B674,catalogos!$A$2:$A$13,catalogos!$B$2:$B$13)</f>
        <v>January</v>
      </c>
      <c r="D674" t="s">
        <v>7</v>
      </c>
      <c r="E674" t="s">
        <v>12</v>
      </c>
      <c r="F674">
        <v>15</v>
      </c>
      <c r="G674">
        <v>398</v>
      </c>
      <c r="H674">
        <v>5970</v>
      </c>
    </row>
    <row r="675" spans="1:8" x14ac:dyDescent="0.35">
      <c r="A675" s="2">
        <v>45320</v>
      </c>
      <c r="B675" s="7">
        <f t="shared" si="10"/>
        <v>1</v>
      </c>
      <c r="C675" s="7" t="str">
        <f>_xlfn.XLOOKUP(B675,catalogos!$A$2:$A$13,catalogos!$B$2:$B$13)</f>
        <v>January</v>
      </c>
      <c r="D675" t="s">
        <v>9</v>
      </c>
      <c r="E675" t="s">
        <v>12</v>
      </c>
      <c r="F675">
        <v>78</v>
      </c>
      <c r="G675">
        <v>330</v>
      </c>
      <c r="H675">
        <v>25740</v>
      </c>
    </row>
    <row r="676" spans="1:8" x14ac:dyDescent="0.35">
      <c r="A676" s="2">
        <v>45320</v>
      </c>
      <c r="B676" s="7">
        <f t="shared" si="10"/>
        <v>1</v>
      </c>
      <c r="C676" s="7" t="str">
        <f>_xlfn.XLOOKUP(B676,catalogos!$A$2:$A$13,catalogos!$B$2:$B$13)</f>
        <v>January</v>
      </c>
      <c r="D676" t="s">
        <v>10</v>
      </c>
      <c r="E676" t="s">
        <v>12</v>
      </c>
      <c r="F676">
        <v>71</v>
      </c>
      <c r="G676">
        <v>257</v>
      </c>
      <c r="H676">
        <v>18247</v>
      </c>
    </row>
    <row r="677" spans="1:8" x14ac:dyDescent="0.35">
      <c r="A677" s="2">
        <v>45320</v>
      </c>
      <c r="B677" s="7">
        <f t="shared" si="10"/>
        <v>1</v>
      </c>
      <c r="C677" s="7" t="str">
        <f>_xlfn.XLOOKUP(B677,catalogos!$A$2:$A$13,catalogos!$B$2:$B$13)</f>
        <v>January</v>
      </c>
      <c r="D677" t="s">
        <v>7</v>
      </c>
      <c r="E677" t="s">
        <v>13</v>
      </c>
      <c r="F677">
        <v>59</v>
      </c>
      <c r="G677">
        <v>18</v>
      </c>
      <c r="H677">
        <v>1062</v>
      </c>
    </row>
    <row r="678" spans="1:8" x14ac:dyDescent="0.35">
      <c r="A678" s="2">
        <v>45320</v>
      </c>
      <c r="B678" s="7">
        <f t="shared" si="10"/>
        <v>1</v>
      </c>
      <c r="C678" s="7" t="str">
        <f>_xlfn.XLOOKUP(B678,catalogos!$A$2:$A$13,catalogos!$B$2:$B$13)</f>
        <v>January</v>
      </c>
      <c r="D678" t="s">
        <v>7</v>
      </c>
      <c r="E678" t="s">
        <v>12</v>
      </c>
      <c r="F678">
        <v>66</v>
      </c>
      <c r="G678">
        <v>323</v>
      </c>
      <c r="H678">
        <v>21318</v>
      </c>
    </row>
    <row r="679" spans="1:8" x14ac:dyDescent="0.35">
      <c r="A679" s="2">
        <v>45320</v>
      </c>
      <c r="B679" s="7">
        <f t="shared" si="10"/>
        <v>1</v>
      </c>
      <c r="C679" s="7" t="str">
        <f>_xlfn.XLOOKUP(B679,catalogos!$A$2:$A$13,catalogos!$B$2:$B$13)</f>
        <v>January</v>
      </c>
      <c r="D679" t="s">
        <v>9</v>
      </c>
      <c r="E679" t="s">
        <v>15</v>
      </c>
      <c r="F679">
        <v>72</v>
      </c>
      <c r="G679">
        <v>453</v>
      </c>
      <c r="H679">
        <v>32616</v>
      </c>
    </row>
    <row r="680" spans="1:8" x14ac:dyDescent="0.35">
      <c r="A680" s="2">
        <v>45320</v>
      </c>
      <c r="B680" s="7">
        <f t="shared" si="10"/>
        <v>1</v>
      </c>
      <c r="C680" s="7" t="str">
        <f>_xlfn.XLOOKUP(B680,catalogos!$A$2:$A$13,catalogos!$B$2:$B$13)</f>
        <v>January</v>
      </c>
      <c r="D680" t="s">
        <v>10</v>
      </c>
      <c r="E680" t="s">
        <v>13</v>
      </c>
      <c r="F680">
        <v>35</v>
      </c>
      <c r="G680">
        <v>319</v>
      </c>
      <c r="H680">
        <v>11165</v>
      </c>
    </row>
    <row r="681" spans="1:8" x14ac:dyDescent="0.35">
      <c r="A681" s="2">
        <v>45320</v>
      </c>
      <c r="B681" s="7">
        <f t="shared" si="10"/>
        <v>1</v>
      </c>
      <c r="C681" s="7" t="str">
        <f>_xlfn.XLOOKUP(B681,catalogos!$A$2:$A$13,catalogos!$B$2:$B$13)</f>
        <v>January</v>
      </c>
      <c r="D681" t="s">
        <v>8</v>
      </c>
      <c r="E681" t="s">
        <v>12</v>
      </c>
      <c r="F681">
        <v>93</v>
      </c>
      <c r="G681">
        <v>375</v>
      </c>
      <c r="H681">
        <v>34875</v>
      </c>
    </row>
    <row r="682" spans="1:8" x14ac:dyDescent="0.35">
      <c r="A682" s="2">
        <v>45320</v>
      </c>
      <c r="B682" s="7">
        <f t="shared" si="10"/>
        <v>1</v>
      </c>
      <c r="C682" s="7" t="str">
        <f>_xlfn.XLOOKUP(B682,catalogos!$A$2:$A$13,catalogos!$B$2:$B$13)</f>
        <v>January</v>
      </c>
      <c r="D682" t="s">
        <v>7</v>
      </c>
      <c r="E682" t="s">
        <v>13</v>
      </c>
      <c r="F682">
        <v>92</v>
      </c>
      <c r="G682">
        <v>343</v>
      </c>
      <c r="H682">
        <v>31556</v>
      </c>
    </row>
    <row r="683" spans="1:8" x14ac:dyDescent="0.35">
      <c r="A683" s="2">
        <v>45320</v>
      </c>
      <c r="B683" s="7">
        <f t="shared" si="10"/>
        <v>1</v>
      </c>
      <c r="C683" s="7" t="str">
        <f>_xlfn.XLOOKUP(B683,catalogos!$A$2:$A$13,catalogos!$B$2:$B$13)</f>
        <v>January</v>
      </c>
      <c r="D683" t="s">
        <v>9</v>
      </c>
      <c r="E683" t="s">
        <v>14</v>
      </c>
      <c r="F683">
        <v>72</v>
      </c>
      <c r="G683">
        <v>71</v>
      </c>
      <c r="H683">
        <v>5112</v>
      </c>
    </row>
    <row r="684" spans="1:8" x14ac:dyDescent="0.35">
      <c r="A684" s="2">
        <v>45320</v>
      </c>
      <c r="B684" s="7">
        <f t="shared" si="10"/>
        <v>1</v>
      </c>
      <c r="C684" s="7" t="str">
        <f>_xlfn.XLOOKUP(B684,catalogos!$A$2:$A$13,catalogos!$B$2:$B$13)</f>
        <v>January</v>
      </c>
      <c r="D684" t="s">
        <v>7</v>
      </c>
      <c r="E684" t="s">
        <v>13</v>
      </c>
      <c r="F684">
        <v>12</v>
      </c>
      <c r="G684">
        <v>303</v>
      </c>
      <c r="H684">
        <v>3636</v>
      </c>
    </row>
    <row r="685" spans="1:8" x14ac:dyDescent="0.35">
      <c r="A685" s="2">
        <v>45320</v>
      </c>
      <c r="B685" s="7">
        <f t="shared" si="10"/>
        <v>1</v>
      </c>
      <c r="C685" s="7" t="str">
        <f>_xlfn.XLOOKUP(B685,catalogos!$A$2:$A$13,catalogos!$B$2:$B$13)</f>
        <v>January</v>
      </c>
      <c r="D685" t="s">
        <v>6</v>
      </c>
      <c r="E685" t="s">
        <v>11</v>
      </c>
      <c r="F685">
        <v>98</v>
      </c>
      <c r="G685">
        <v>446</v>
      </c>
      <c r="H685">
        <v>43708</v>
      </c>
    </row>
    <row r="686" spans="1:8" x14ac:dyDescent="0.35">
      <c r="A686" s="2">
        <v>45320</v>
      </c>
      <c r="B686" s="7">
        <f t="shared" si="10"/>
        <v>1</v>
      </c>
      <c r="C686" s="7" t="str">
        <f>_xlfn.XLOOKUP(B686,catalogos!$A$2:$A$13,catalogos!$B$2:$B$13)</f>
        <v>January</v>
      </c>
      <c r="D686" t="s">
        <v>7</v>
      </c>
      <c r="E686" t="s">
        <v>15</v>
      </c>
      <c r="F686">
        <v>88</v>
      </c>
      <c r="G686">
        <v>274</v>
      </c>
      <c r="H686">
        <v>24112</v>
      </c>
    </row>
    <row r="687" spans="1:8" x14ac:dyDescent="0.35">
      <c r="A687" s="2">
        <v>45320</v>
      </c>
      <c r="B687" s="7">
        <f t="shared" si="10"/>
        <v>1</v>
      </c>
      <c r="C687" s="7" t="str">
        <f>_xlfn.XLOOKUP(B687,catalogos!$A$2:$A$13,catalogos!$B$2:$B$13)</f>
        <v>January</v>
      </c>
      <c r="D687" t="s">
        <v>6</v>
      </c>
      <c r="E687" t="s">
        <v>11</v>
      </c>
      <c r="F687">
        <v>24</v>
      </c>
      <c r="G687">
        <v>112</v>
      </c>
      <c r="H687">
        <v>2688</v>
      </c>
    </row>
    <row r="688" spans="1:8" x14ac:dyDescent="0.35">
      <c r="A688" s="2">
        <v>45320</v>
      </c>
      <c r="B688" s="7">
        <f t="shared" si="10"/>
        <v>1</v>
      </c>
      <c r="C688" s="7" t="str">
        <f>_xlfn.XLOOKUP(B688,catalogos!$A$2:$A$13,catalogos!$B$2:$B$13)</f>
        <v>January</v>
      </c>
      <c r="D688" t="s">
        <v>7</v>
      </c>
      <c r="E688" t="s">
        <v>13</v>
      </c>
      <c r="F688">
        <v>17</v>
      </c>
      <c r="G688">
        <v>55</v>
      </c>
      <c r="H688">
        <v>935</v>
      </c>
    </row>
    <row r="689" spans="1:8" x14ac:dyDescent="0.35">
      <c r="A689" s="2">
        <v>45320</v>
      </c>
      <c r="B689" s="7">
        <f t="shared" si="10"/>
        <v>1</v>
      </c>
      <c r="C689" s="7" t="str">
        <f>_xlfn.XLOOKUP(B689,catalogos!$A$2:$A$13,catalogos!$B$2:$B$13)</f>
        <v>January</v>
      </c>
      <c r="D689" t="s">
        <v>7</v>
      </c>
      <c r="E689" t="s">
        <v>11</v>
      </c>
      <c r="F689">
        <v>35</v>
      </c>
      <c r="G689">
        <v>193</v>
      </c>
      <c r="H689">
        <v>6755</v>
      </c>
    </row>
    <row r="690" spans="1:8" x14ac:dyDescent="0.35">
      <c r="A690" s="2">
        <v>45320</v>
      </c>
      <c r="B690" s="7">
        <f t="shared" si="10"/>
        <v>1</v>
      </c>
      <c r="C690" s="7" t="str">
        <f>_xlfn.XLOOKUP(B690,catalogos!$A$2:$A$13,catalogos!$B$2:$B$13)</f>
        <v>January</v>
      </c>
      <c r="D690" t="s">
        <v>9</v>
      </c>
      <c r="E690" t="s">
        <v>14</v>
      </c>
      <c r="F690">
        <v>22</v>
      </c>
      <c r="G690">
        <v>246</v>
      </c>
      <c r="H690">
        <v>5412</v>
      </c>
    </row>
    <row r="691" spans="1:8" x14ac:dyDescent="0.35">
      <c r="A691" s="2">
        <v>45320</v>
      </c>
      <c r="B691" s="7">
        <f t="shared" si="10"/>
        <v>1</v>
      </c>
      <c r="C691" s="7" t="str">
        <f>_xlfn.XLOOKUP(B691,catalogos!$A$2:$A$13,catalogos!$B$2:$B$13)</f>
        <v>January</v>
      </c>
      <c r="D691" t="s">
        <v>10</v>
      </c>
      <c r="E691" t="s">
        <v>11</v>
      </c>
      <c r="F691">
        <v>82</v>
      </c>
      <c r="G691">
        <v>161</v>
      </c>
      <c r="H691">
        <v>13202</v>
      </c>
    </row>
    <row r="692" spans="1:8" x14ac:dyDescent="0.35">
      <c r="A692" s="2">
        <v>45320</v>
      </c>
      <c r="B692" s="7">
        <f t="shared" si="10"/>
        <v>1</v>
      </c>
      <c r="C692" s="7" t="str">
        <f>_xlfn.XLOOKUP(B692,catalogos!$A$2:$A$13,catalogos!$B$2:$B$13)</f>
        <v>January</v>
      </c>
      <c r="D692" t="s">
        <v>9</v>
      </c>
      <c r="E692" t="s">
        <v>15</v>
      </c>
      <c r="F692">
        <v>26</v>
      </c>
      <c r="G692">
        <v>323</v>
      </c>
      <c r="H692">
        <v>8398</v>
      </c>
    </row>
    <row r="693" spans="1:8" x14ac:dyDescent="0.35">
      <c r="A693" s="2">
        <v>45320</v>
      </c>
      <c r="B693" s="7">
        <f t="shared" si="10"/>
        <v>1</v>
      </c>
      <c r="C693" s="7" t="str">
        <f>_xlfn.XLOOKUP(B693,catalogos!$A$2:$A$13,catalogos!$B$2:$B$13)</f>
        <v>January</v>
      </c>
      <c r="D693" t="s">
        <v>10</v>
      </c>
      <c r="E693" t="s">
        <v>12</v>
      </c>
      <c r="F693">
        <v>94</v>
      </c>
      <c r="G693">
        <v>26</v>
      </c>
      <c r="H693">
        <v>2444</v>
      </c>
    </row>
    <row r="694" spans="1:8" x14ac:dyDescent="0.35">
      <c r="A694" s="2">
        <v>45320</v>
      </c>
      <c r="B694" s="7">
        <f t="shared" si="10"/>
        <v>1</v>
      </c>
      <c r="C694" s="7" t="str">
        <f>_xlfn.XLOOKUP(B694,catalogos!$A$2:$A$13,catalogos!$B$2:$B$13)</f>
        <v>January</v>
      </c>
      <c r="D694" t="s">
        <v>10</v>
      </c>
      <c r="E694" t="s">
        <v>13</v>
      </c>
      <c r="F694">
        <v>75</v>
      </c>
      <c r="G694">
        <v>368</v>
      </c>
      <c r="H694">
        <v>27600</v>
      </c>
    </row>
    <row r="695" spans="1:8" x14ac:dyDescent="0.35">
      <c r="A695" s="2">
        <v>45320</v>
      </c>
      <c r="B695" s="7">
        <f t="shared" si="10"/>
        <v>1</v>
      </c>
      <c r="C695" s="7" t="str">
        <f>_xlfn.XLOOKUP(B695,catalogos!$A$2:$A$13,catalogos!$B$2:$B$13)</f>
        <v>January</v>
      </c>
      <c r="D695" t="s">
        <v>10</v>
      </c>
      <c r="E695" t="s">
        <v>13</v>
      </c>
      <c r="F695">
        <v>31</v>
      </c>
      <c r="G695">
        <v>239</v>
      </c>
      <c r="H695">
        <v>7409</v>
      </c>
    </row>
    <row r="696" spans="1:8" x14ac:dyDescent="0.35">
      <c r="A696" s="2">
        <v>45320</v>
      </c>
      <c r="B696" s="7">
        <f t="shared" si="10"/>
        <v>1</v>
      </c>
      <c r="C696" s="7" t="str">
        <f>_xlfn.XLOOKUP(B696,catalogos!$A$2:$A$13,catalogos!$B$2:$B$13)</f>
        <v>January</v>
      </c>
      <c r="D696" t="s">
        <v>7</v>
      </c>
      <c r="E696" t="s">
        <v>15</v>
      </c>
      <c r="F696">
        <v>55</v>
      </c>
      <c r="G696">
        <v>73</v>
      </c>
      <c r="H696">
        <v>4015</v>
      </c>
    </row>
    <row r="697" spans="1:8" x14ac:dyDescent="0.35">
      <c r="A697" s="2">
        <v>45320</v>
      </c>
      <c r="B697" s="7">
        <f t="shared" si="10"/>
        <v>1</v>
      </c>
      <c r="C697" s="7" t="str">
        <f>_xlfn.XLOOKUP(B697,catalogos!$A$2:$A$13,catalogos!$B$2:$B$13)</f>
        <v>January</v>
      </c>
      <c r="D697" t="s">
        <v>9</v>
      </c>
      <c r="E697" t="s">
        <v>15</v>
      </c>
      <c r="F697">
        <v>27</v>
      </c>
      <c r="G697">
        <v>24</v>
      </c>
      <c r="H697">
        <v>648</v>
      </c>
    </row>
    <row r="698" spans="1:8" x14ac:dyDescent="0.35">
      <c r="A698" s="2">
        <v>45321</v>
      </c>
      <c r="B698" s="7">
        <f t="shared" si="10"/>
        <v>1</v>
      </c>
      <c r="C698" s="7" t="str">
        <f>_xlfn.XLOOKUP(B698,catalogos!$A$2:$A$13,catalogos!$B$2:$B$13)</f>
        <v>January</v>
      </c>
      <c r="D698" t="s">
        <v>7</v>
      </c>
      <c r="E698" t="s">
        <v>11</v>
      </c>
      <c r="F698">
        <v>23</v>
      </c>
      <c r="G698">
        <v>136</v>
      </c>
      <c r="H698">
        <v>3128</v>
      </c>
    </row>
    <row r="699" spans="1:8" x14ac:dyDescent="0.35">
      <c r="A699" s="2">
        <v>45321</v>
      </c>
      <c r="B699" s="7">
        <f t="shared" si="10"/>
        <v>1</v>
      </c>
      <c r="C699" s="7" t="str">
        <f>_xlfn.XLOOKUP(B699,catalogos!$A$2:$A$13,catalogos!$B$2:$B$13)</f>
        <v>January</v>
      </c>
      <c r="D699" t="s">
        <v>10</v>
      </c>
      <c r="E699" t="s">
        <v>11</v>
      </c>
      <c r="F699">
        <v>83</v>
      </c>
      <c r="G699">
        <v>106</v>
      </c>
      <c r="H699">
        <v>8798</v>
      </c>
    </row>
    <row r="700" spans="1:8" x14ac:dyDescent="0.35">
      <c r="A700" s="2">
        <v>45321</v>
      </c>
      <c r="B700" s="7">
        <f t="shared" si="10"/>
        <v>1</v>
      </c>
      <c r="C700" s="7" t="str">
        <f>_xlfn.XLOOKUP(B700,catalogos!$A$2:$A$13,catalogos!$B$2:$B$13)</f>
        <v>January</v>
      </c>
      <c r="D700" t="s">
        <v>6</v>
      </c>
      <c r="E700" t="s">
        <v>11</v>
      </c>
      <c r="F700">
        <v>78</v>
      </c>
      <c r="G700">
        <v>411</v>
      </c>
      <c r="H700">
        <v>32058</v>
      </c>
    </row>
    <row r="701" spans="1:8" x14ac:dyDescent="0.35">
      <c r="A701" s="2">
        <v>45321</v>
      </c>
      <c r="B701" s="7">
        <f t="shared" si="10"/>
        <v>1</v>
      </c>
      <c r="C701" s="7" t="str">
        <f>_xlfn.XLOOKUP(B701,catalogos!$A$2:$A$13,catalogos!$B$2:$B$13)</f>
        <v>January</v>
      </c>
      <c r="D701" t="s">
        <v>10</v>
      </c>
      <c r="E701" t="s">
        <v>15</v>
      </c>
      <c r="F701">
        <v>70</v>
      </c>
      <c r="G701">
        <v>401</v>
      </c>
      <c r="H701">
        <v>28070</v>
      </c>
    </row>
    <row r="702" spans="1:8" x14ac:dyDescent="0.35">
      <c r="A702" s="2">
        <v>45321</v>
      </c>
      <c r="B702" s="7">
        <f t="shared" si="10"/>
        <v>1</v>
      </c>
      <c r="C702" s="7" t="str">
        <f>_xlfn.XLOOKUP(B702,catalogos!$A$2:$A$13,catalogos!$B$2:$B$13)</f>
        <v>January</v>
      </c>
      <c r="D702" t="s">
        <v>10</v>
      </c>
      <c r="E702" t="s">
        <v>14</v>
      </c>
      <c r="F702">
        <v>66</v>
      </c>
      <c r="G702">
        <v>33</v>
      </c>
      <c r="H702">
        <v>2178</v>
      </c>
    </row>
    <row r="703" spans="1:8" x14ac:dyDescent="0.35">
      <c r="A703" s="2">
        <v>45321</v>
      </c>
      <c r="B703" s="7">
        <f t="shared" si="10"/>
        <v>1</v>
      </c>
      <c r="C703" s="7" t="str">
        <f>_xlfn.XLOOKUP(B703,catalogos!$A$2:$A$13,catalogos!$B$2:$B$13)</f>
        <v>January</v>
      </c>
      <c r="D703" t="s">
        <v>10</v>
      </c>
      <c r="E703" t="s">
        <v>13</v>
      </c>
      <c r="F703">
        <v>83</v>
      </c>
      <c r="G703">
        <v>106</v>
      </c>
      <c r="H703">
        <v>8798</v>
      </c>
    </row>
    <row r="704" spans="1:8" x14ac:dyDescent="0.35">
      <c r="A704" s="2">
        <v>45321</v>
      </c>
      <c r="B704" s="7">
        <f t="shared" si="10"/>
        <v>1</v>
      </c>
      <c r="C704" s="7" t="str">
        <f>_xlfn.XLOOKUP(B704,catalogos!$A$2:$A$13,catalogos!$B$2:$B$13)</f>
        <v>January</v>
      </c>
      <c r="D704" t="s">
        <v>6</v>
      </c>
      <c r="E704" t="s">
        <v>11</v>
      </c>
      <c r="F704">
        <v>92</v>
      </c>
      <c r="G704">
        <v>103</v>
      </c>
      <c r="H704">
        <v>9476</v>
      </c>
    </row>
    <row r="705" spans="1:8" x14ac:dyDescent="0.35">
      <c r="A705" s="2">
        <v>45321</v>
      </c>
      <c r="B705" s="7">
        <f t="shared" si="10"/>
        <v>1</v>
      </c>
      <c r="C705" s="7" t="str">
        <f>_xlfn.XLOOKUP(B705,catalogos!$A$2:$A$13,catalogos!$B$2:$B$13)</f>
        <v>January</v>
      </c>
      <c r="D705" t="s">
        <v>7</v>
      </c>
      <c r="E705" t="s">
        <v>14</v>
      </c>
      <c r="F705">
        <v>7</v>
      </c>
      <c r="G705">
        <v>14</v>
      </c>
      <c r="H705">
        <v>98</v>
      </c>
    </row>
    <row r="706" spans="1:8" x14ac:dyDescent="0.35">
      <c r="A706" s="2">
        <v>45321</v>
      </c>
      <c r="B706" s="7">
        <f t="shared" si="10"/>
        <v>1</v>
      </c>
      <c r="C706" s="7" t="str">
        <f>_xlfn.XLOOKUP(B706,catalogos!$A$2:$A$13,catalogos!$B$2:$B$13)</f>
        <v>January</v>
      </c>
      <c r="D706" t="s">
        <v>8</v>
      </c>
      <c r="E706" t="s">
        <v>14</v>
      </c>
      <c r="F706">
        <v>38</v>
      </c>
      <c r="G706">
        <v>475</v>
      </c>
      <c r="H706">
        <v>18050</v>
      </c>
    </row>
    <row r="707" spans="1:8" x14ac:dyDescent="0.35">
      <c r="A707" s="2">
        <v>45321</v>
      </c>
      <c r="B707" s="7">
        <f t="shared" ref="B707:B770" si="11">MONTH(A707)</f>
        <v>1</v>
      </c>
      <c r="C707" s="7" t="str">
        <f>_xlfn.XLOOKUP(B707,catalogos!$A$2:$A$13,catalogos!$B$2:$B$13)</f>
        <v>January</v>
      </c>
      <c r="D707" t="s">
        <v>9</v>
      </c>
      <c r="E707" t="s">
        <v>14</v>
      </c>
      <c r="F707">
        <v>75</v>
      </c>
      <c r="G707">
        <v>284</v>
      </c>
      <c r="H707">
        <v>21300</v>
      </c>
    </row>
    <row r="708" spans="1:8" x14ac:dyDescent="0.35">
      <c r="A708" s="2">
        <v>45321</v>
      </c>
      <c r="B708" s="7">
        <f t="shared" si="11"/>
        <v>1</v>
      </c>
      <c r="C708" s="7" t="str">
        <f>_xlfn.XLOOKUP(B708,catalogos!$A$2:$A$13,catalogos!$B$2:$B$13)</f>
        <v>January</v>
      </c>
      <c r="D708" t="s">
        <v>6</v>
      </c>
      <c r="E708" t="s">
        <v>15</v>
      </c>
      <c r="F708">
        <v>66</v>
      </c>
      <c r="G708">
        <v>28</v>
      </c>
      <c r="H708">
        <v>1848</v>
      </c>
    </row>
    <row r="709" spans="1:8" x14ac:dyDescent="0.35">
      <c r="A709" s="2">
        <v>45321</v>
      </c>
      <c r="B709" s="7">
        <f t="shared" si="11"/>
        <v>1</v>
      </c>
      <c r="C709" s="7" t="str">
        <f>_xlfn.XLOOKUP(B709,catalogos!$A$2:$A$13,catalogos!$B$2:$B$13)</f>
        <v>January</v>
      </c>
      <c r="D709" t="s">
        <v>8</v>
      </c>
      <c r="E709" t="s">
        <v>11</v>
      </c>
      <c r="F709">
        <v>44</v>
      </c>
      <c r="G709">
        <v>282</v>
      </c>
      <c r="H709">
        <v>12408</v>
      </c>
    </row>
    <row r="710" spans="1:8" x14ac:dyDescent="0.35">
      <c r="A710" s="2">
        <v>45321</v>
      </c>
      <c r="B710" s="7">
        <f t="shared" si="11"/>
        <v>1</v>
      </c>
      <c r="C710" s="7" t="str">
        <f>_xlfn.XLOOKUP(B710,catalogos!$A$2:$A$13,catalogos!$B$2:$B$13)</f>
        <v>January</v>
      </c>
      <c r="D710" t="s">
        <v>10</v>
      </c>
      <c r="E710" t="s">
        <v>15</v>
      </c>
      <c r="F710">
        <v>92</v>
      </c>
      <c r="G710">
        <v>96</v>
      </c>
      <c r="H710">
        <v>8832</v>
      </c>
    </row>
    <row r="711" spans="1:8" x14ac:dyDescent="0.35">
      <c r="A711" s="2">
        <v>45321</v>
      </c>
      <c r="B711" s="7">
        <f t="shared" si="11"/>
        <v>1</v>
      </c>
      <c r="C711" s="7" t="str">
        <f>_xlfn.XLOOKUP(B711,catalogos!$A$2:$A$13,catalogos!$B$2:$B$13)</f>
        <v>January</v>
      </c>
      <c r="D711" t="s">
        <v>6</v>
      </c>
      <c r="E711" t="s">
        <v>11</v>
      </c>
      <c r="F711">
        <v>46</v>
      </c>
      <c r="G711">
        <v>483</v>
      </c>
      <c r="H711">
        <v>22218</v>
      </c>
    </row>
    <row r="712" spans="1:8" x14ac:dyDescent="0.35">
      <c r="A712" s="2">
        <v>45321</v>
      </c>
      <c r="B712" s="7">
        <f t="shared" si="11"/>
        <v>1</v>
      </c>
      <c r="C712" s="7" t="str">
        <f>_xlfn.XLOOKUP(B712,catalogos!$A$2:$A$13,catalogos!$B$2:$B$13)</f>
        <v>January</v>
      </c>
      <c r="D712" t="s">
        <v>10</v>
      </c>
      <c r="E712" t="s">
        <v>14</v>
      </c>
      <c r="F712">
        <v>60</v>
      </c>
      <c r="G712">
        <v>252</v>
      </c>
      <c r="H712">
        <v>15120</v>
      </c>
    </row>
    <row r="713" spans="1:8" x14ac:dyDescent="0.35">
      <c r="A713" s="2">
        <v>45321</v>
      </c>
      <c r="B713" s="7">
        <f t="shared" si="11"/>
        <v>1</v>
      </c>
      <c r="C713" s="7" t="str">
        <f>_xlfn.XLOOKUP(B713,catalogos!$A$2:$A$13,catalogos!$B$2:$B$13)</f>
        <v>January</v>
      </c>
      <c r="D713" t="s">
        <v>6</v>
      </c>
      <c r="E713" t="s">
        <v>12</v>
      </c>
      <c r="F713">
        <v>4</v>
      </c>
      <c r="G713">
        <v>342</v>
      </c>
      <c r="H713">
        <v>1368</v>
      </c>
    </row>
    <row r="714" spans="1:8" x14ac:dyDescent="0.35">
      <c r="A714" s="2">
        <v>45321</v>
      </c>
      <c r="B714" s="7">
        <f t="shared" si="11"/>
        <v>1</v>
      </c>
      <c r="C714" s="7" t="str">
        <f>_xlfn.XLOOKUP(B714,catalogos!$A$2:$A$13,catalogos!$B$2:$B$13)</f>
        <v>January</v>
      </c>
      <c r="D714" t="s">
        <v>7</v>
      </c>
      <c r="E714" t="s">
        <v>11</v>
      </c>
      <c r="F714">
        <v>47</v>
      </c>
      <c r="G714">
        <v>61</v>
      </c>
      <c r="H714">
        <v>2867</v>
      </c>
    </row>
    <row r="715" spans="1:8" x14ac:dyDescent="0.35">
      <c r="A715" s="2">
        <v>45321</v>
      </c>
      <c r="B715" s="7">
        <f t="shared" si="11"/>
        <v>1</v>
      </c>
      <c r="C715" s="7" t="str">
        <f>_xlfn.XLOOKUP(B715,catalogos!$A$2:$A$13,catalogos!$B$2:$B$13)</f>
        <v>January</v>
      </c>
      <c r="D715" t="s">
        <v>8</v>
      </c>
      <c r="E715" t="s">
        <v>11</v>
      </c>
      <c r="F715">
        <v>66</v>
      </c>
      <c r="G715">
        <v>9</v>
      </c>
      <c r="H715">
        <v>594</v>
      </c>
    </row>
    <row r="716" spans="1:8" x14ac:dyDescent="0.35">
      <c r="A716" s="2">
        <v>45321</v>
      </c>
      <c r="B716" s="7">
        <f t="shared" si="11"/>
        <v>1</v>
      </c>
      <c r="C716" s="7" t="str">
        <f>_xlfn.XLOOKUP(B716,catalogos!$A$2:$A$13,catalogos!$B$2:$B$13)</f>
        <v>January</v>
      </c>
      <c r="D716" t="s">
        <v>6</v>
      </c>
      <c r="E716" t="s">
        <v>14</v>
      </c>
      <c r="F716">
        <v>34</v>
      </c>
      <c r="G716">
        <v>479</v>
      </c>
      <c r="H716">
        <v>16286</v>
      </c>
    </row>
    <row r="717" spans="1:8" x14ac:dyDescent="0.35">
      <c r="A717" s="2">
        <v>45321</v>
      </c>
      <c r="B717" s="7">
        <f t="shared" si="11"/>
        <v>1</v>
      </c>
      <c r="C717" s="7" t="str">
        <f>_xlfn.XLOOKUP(B717,catalogos!$A$2:$A$13,catalogos!$B$2:$B$13)</f>
        <v>January</v>
      </c>
      <c r="D717" t="s">
        <v>6</v>
      </c>
      <c r="E717" t="s">
        <v>11</v>
      </c>
      <c r="F717">
        <v>99</v>
      </c>
      <c r="G717">
        <v>418</v>
      </c>
      <c r="H717">
        <v>41382</v>
      </c>
    </row>
    <row r="718" spans="1:8" x14ac:dyDescent="0.35">
      <c r="A718" s="2">
        <v>45321</v>
      </c>
      <c r="B718" s="7">
        <f t="shared" si="11"/>
        <v>1</v>
      </c>
      <c r="C718" s="7" t="str">
        <f>_xlfn.XLOOKUP(B718,catalogos!$A$2:$A$13,catalogos!$B$2:$B$13)</f>
        <v>January</v>
      </c>
      <c r="D718" t="s">
        <v>9</v>
      </c>
      <c r="E718" t="s">
        <v>12</v>
      </c>
      <c r="F718">
        <v>47</v>
      </c>
      <c r="G718">
        <v>50</v>
      </c>
      <c r="H718">
        <v>2350</v>
      </c>
    </row>
    <row r="719" spans="1:8" x14ac:dyDescent="0.35">
      <c r="A719" s="2">
        <v>45321</v>
      </c>
      <c r="B719" s="7">
        <f t="shared" si="11"/>
        <v>1</v>
      </c>
      <c r="C719" s="7" t="str">
        <f>_xlfn.XLOOKUP(B719,catalogos!$A$2:$A$13,catalogos!$B$2:$B$13)</f>
        <v>January</v>
      </c>
      <c r="D719" t="s">
        <v>6</v>
      </c>
      <c r="E719" t="s">
        <v>13</v>
      </c>
      <c r="F719">
        <v>87</v>
      </c>
      <c r="G719">
        <v>344</v>
      </c>
      <c r="H719">
        <v>29928</v>
      </c>
    </row>
    <row r="720" spans="1:8" x14ac:dyDescent="0.35">
      <c r="A720" s="2">
        <v>45321</v>
      </c>
      <c r="B720" s="7">
        <f t="shared" si="11"/>
        <v>1</v>
      </c>
      <c r="C720" s="7" t="str">
        <f>_xlfn.XLOOKUP(B720,catalogos!$A$2:$A$13,catalogos!$B$2:$B$13)</f>
        <v>January</v>
      </c>
      <c r="D720" t="s">
        <v>7</v>
      </c>
      <c r="E720" t="s">
        <v>13</v>
      </c>
      <c r="F720">
        <v>31</v>
      </c>
      <c r="G720">
        <v>77</v>
      </c>
      <c r="H720">
        <v>2387</v>
      </c>
    </row>
    <row r="721" spans="1:8" x14ac:dyDescent="0.35">
      <c r="A721" s="2">
        <v>45321</v>
      </c>
      <c r="B721" s="7">
        <f t="shared" si="11"/>
        <v>1</v>
      </c>
      <c r="C721" s="7" t="str">
        <f>_xlfn.XLOOKUP(B721,catalogos!$A$2:$A$13,catalogos!$B$2:$B$13)</f>
        <v>January</v>
      </c>
      <c r="D721" t="s">
        <v>7</v>
      </c>
      <c r="E721" t="s">
        <v>15</v>
      </c>
      <c r="F721">
        <v>2</v>
      </c>
      <c r="G721">
        <v>280</v>
      </c>
      <c r="H721">
        <v>560</v>
      </c>
    </row>
    <row r="722" spans="1:8" x14ac:dyDescent="0.35">
      <c r="A722" s="2">
        <v>45322</v>
      </c>
      <c r="B722" s="7">
        <f t="shared" si="11"/>
        <v>1</v>
      </c>
      <c r="C722" s="7" t="str">
        <f>_xlfn.XLOOKUP(B722,catalogos!$A$2:$A$13,catalogos!$B$2:$B$13)</f>
        <v>January</v>
      </c>
      <c r="D722" t="s">
        <v>6</v>
      </c>
      <c r="E722" t="s">
        <v>14</v>
      </c>
      <c r="F722">
        <v>29</v>
      </c>
      <c r="G722">
        <v>152</v>
      </c>
      <c r="H722">
        <v>4408</v>
      </c>
    </row>
    <row r="723" spans="1:8" x14ac:dyDescent="0.35">
      <c r="A723" s="2">
        <v>45322</v>
      </c>
      <c r="B723" s="7">
        <f t="shared" si="11"/>
        <v>1</v>
      </c>
      <c r="C723" s="7" t="str">
        <f>_xlfn.XLOOKUP(B723,catalogos!$A$2:$A$13,catalogos!$B$2:$B$13)</f>
        <v>January</v>
      </c>
      <c r="D723" t="s">
        <v>6</v>
      </c>
      <c r="E723" t="s">
        <v>13</v>
      </c>
      <c r="F723">
        <v>40</v>
      </c>
      <c r="G723">
        <v>321</v>
      </c>
      <c r="H723">
        <v>12840</v>
      </c>
    </row>
    <row r="724" spans="1:8" x14ac:dyDescent="0.35">
      <c r="A724" s="2">
        <v>45322</v>
      </c>
      <c r="B724" s="7">
        <f t="shared" si="11"/>
        <v>1</v>
      </c>
      <c r="C724" s="7" t="str">
        <f>_xlfn.XLOOKUP(B724,catalogos!$A$2:$A$13,catalogos!$B$2:$B$13)</f>
        <v>January</v>
      </c>
      <c r="D724" t="s">
        <v>6</v>
      </c>
      <c r="E724" t="s">
        <v>14</v>
      </c>
      <c r="F724">
        <v>18</v>
      </c>
      <c r="G724">
        <v>135</v>
      </c>
      <c r="H724">
        <v>2430</v>
      </c>
    </row>
    <row r="725" spans="1:8" x14ac:dyDescent="0.35">
      <c r="A725" s="2">
        <v>45322</v>
      </c>
      <c r="B725" s="7">
        <f t="shared" si="11"/>
        <v>1</v>
      </c>
      <c r="C725" s="7" t="str">
        <f>_xlfn.XLOOKUP(B725,catalogos!$A$2:$A$13,catalogos!$B$2:$B$13)</f>
        <v>January</v>
      </c>
      <c r="D725" t="s">
        <v>6</v>
      </c>
      <c r="E725" t="s">
        <v>11</v>
      </c>
      <c r="F725">
        <v>87</v>
      </c>
      <c r="G725">
        <v>414</v>
      </c>
      <c r="H725">
        <v>36018</v>
      </c>
    </row>
    <row r="726" spans="1:8" x14ac:dyDescent="0.35">
      <c r="A726" s="2">
        <v>45322</v>
      </c>
      <c r="B726" s="7">
        <f t="shared" si="11"/>
        <v>1</v>
      </c>
      <c r="C726" s="7" t="str">
        <f>_xlfn.XLOOKUP(B726,catalogos!$A$2:$A$13,catalogos!$B$2:$B$13)</f>
        <v>January</v>
      </c>
      <c r="D726" t="s">
        <v>10</v>
      </c>
      <c r="E726" t="s">
        <v>11</v>
      </c>
      <c r="F726">
        <v>68</v>
      </c>
      <c r="G726">
        <v>422</v>
      </c>
      <c r="H726">
        <v>28696</v>
      </c>
    </row>
    <row r="727" spans="1:8" x14ac:dyDescent="0.35">
      <c r="A727" s="2">
        <v>45322</v>
      </c>
      <c r="B727" s="7">
        <f t="shared" si="11"/>
        <v>1</v>
      </c>
      <c r="C727" s="7" t="str">
        <f>_xlfn.XLOOKUP(B727,catalogos!$A$2:$A$13,catalogos!$B$2:$B$13)</f>
        <v>January</v>
      </c>
      <c r="D727" t="s">
        <v>8</v>
      </c>
      <c r="E727" t="s">
        <v>15</v>
      </c>
      <c r="F727">
        <v>55</v>
      </c>
      <c r="G727">
        <v>197</v>
      </c>
      <c r="H727">
        <v>10835</v>
      </c>
    </row>
    <row r="728" spans="1:8" x14ac:dyDescent="0.35">
      <c r="A728" s="2">
        <v>45322</v>
      </c>
      <c r="B728" s="7">
        <f t="shared" si="11"/>
        <v>1</v>
      </c>
      <c r="C728" s="7" t="str">
        <f>_xlfn.XLOOKUP(B728,catalogos!$A$2:$A$13,catalogos!$B$2:$B$13)</f>
        <v>January</v>
      </c>
      <c r="D728" t="s">
        <v>7</v>
      </c>
      <c r="E728" t="s">
        <v>15</v>
      </c>
      <c r="F728">
        <v>86</v>
      </c>
      <c r="G728">
        <v>224</v>
      </c>
      <c r="H728">
        <v>19264</v>
      </c>
    </row>
    <row r="729" spans="1:8" x14ac:dyDescent="0.35">
      <c r="A729" s="2">
        <v>45322</v>
      </c>
      <c r="B729" s="7">
        <f t="shared" si="11"/>
        <v>1</v>
      </c>
      <c r="C729" s="7" t="str">
        <f>_xlfn.XLOOKUP(B729,catalogos!$A$2:$A$13,catalogos!$B$2:$B$13)</f>
        <v>January</v>
      </c>
      <c r="D729" t="s">
        <v>7</v>
      </c>
      <c r="E729" t="s">
        <v>14</v>
      </c>
      <c r="F729">
        <v>20</v>
      </c>
      <c r="G729">
        <v>319</v>
      </c>
      <c r="H729">
        <v>6380</v>
      </c>
    </row>
    <row r="730" spans="1:8" x14ac:dyDescent="0.35">
      <c r="A730" s="2">
        <v>45322</v>
      </c>
      <c r="B730" s="7">
        <f t="shared" si="11"/>
        <v>1</v>
      </c>
      <c r="C730" s="7" t="str">
        <f>_xlfn.XLOOKUP(B730,catalogos!$A$2:$A$13,catalogos!$B$2:$B$13)</f>
        <v>January</v>
      </c>
      <c r="D730" t="s">
        <v>10</v>
      </c>
      <c r="E730" t="s">
        <v>15</v>
      </c>
      <c r="F730">
        <v>85</v>
      </c>
      <c r="G730">
        <v>14</v>
      </c>
      <c r="H730">
        <v>1190</v>
      </c>
    </row>
    <row r="731" spans="1:8" x14ac:dyDescent="0.35">
      <c r="A731" s="2">
        <v>45322</v>
      </c>
      <c r="B731" s="7">
        <f t="shared" si="11"/>
        <v>1</v>
      </c>
      <c r="C731" s="7" t="str">
        <f>_xlfn.XLOOKUP(B731,catalogos!$A$2:$A$13,catalogos!$B$2:$B$13)</f>
        <v>January</v>
      </c>
      <c r="D731" t="s">
        <v>8</v>
      </c>
      <c r="E731" t="s">
        <v>12</v>
      </c>
      <c r="F731">
        <v>30</v>
      </c>
      <c r="G731">
        <v>478</v>
      </c>
      <c r="H731">
        <v>14340</v>
      </c>
    </row>
    <row r="732" spans="1:8" x14ac:dyDescent="0.35">
      <c r="A732" s="2">
        <v>45322</v>
      </c>
      <c r="B732" s="7">
        <f t="shared" si="11"/>
        <v>1</v>
      </c>
      <c r="C732" s="7" t="str">
        <f>_xlfn.XLOOKUP(B732,catalogos!$A$2:$A$13,catalogos!$B$2:$B$13)</f>
        <v>January</v>
      </c>
      <c r="D732" t="s">
        <v>10</v>
      </c>
      <c r="E732" t="s">
        <v>15</v>
      </c>
      <c r="F732">
        <v>51</v>
      </c>
      <c r="G732">
        <v>241</v>
      </c>
      <c r="H732">
        <v>12291</v>
      </c>
    </row>
    <row r="733" spans="1:8" x14ac:dyDescent="0.35">
      <c r="A733" s="2">
        <v>45322</v>
      </c>
      <c r="B733" s="7">
        <f t="shared" si="11"/>
        <v>1</v>
      </c>
      <c r="C733" s="7" t="str">
        <f>_xlfn.XLOOKUP(B733,catalogos!$A$2:$A$13,catalogos!$B$2:$B$13)</f>
        <v>January</v>
      </c>
      <c r="D733" t="s">
        <v>7</v>
      </c>
      <c r="E733" t="s">
        <v>12</v>
      </c>
      <c r="F733">
        <v>60</v>
      </c>
      <c r="G733">
        <v>407</v>
      </c>
      <c r="H733">
        <v>24420</v>
      </c>
    </row>
    <row r="734" spans="1:8" x14ac:dyDescent="0.35">
      <c r="A734" s="2">
        <v>45322</v>
      </c>
      <c r="B734" s="7">
        <f t="shared" si="11"/>
        <v>1</v>
      </c>
      <c r="C734" s="7" t="str">
        <f>_xlfn.XLOOKUP(B734,catalogos!$A$2:$A$13,catalogos!$B$2:$B$13)</f>
        <v>January</v>
      </c>
      <c r="D734" t="s">
        <v>10</v>
      </c>
      <c r="E734" t="s">
        <v>14</v>
      </c>
      <c r="F734">
        <v>83</v>
      </c>
      <c r="G734">
        <v>150</v>
      </c>
      <c r="H734">
        <v>12450</v>
      </c>
    </row>
    <row r="735" spans="1:8" x14ac:dyDescent="0.35">
      <c r="A735" s="2">
        <v>45322</v>
      </c>
      <c r="B735" s="7">
        <f t="shared" si="11"/>
        <v>1</v>
      </c>
      <c r="C735" s="7" t="str">
        <f>_xlfn.XLOOKUP(B735,catalogos!$A$2:$A$13,catalogos!$B$2:$B$13)</f>
        <v>January</v>
      </c>
      <c r="D735" t="s">
        <v>9</v>
      </c>
      <c r="E735" t="s">
        <v>15</v>
      </c>
      <c r="F735">
        <v>35</v>
      </c>
      <c r="G735">
        <v>264</v>
      </c>
      <c r="H735">
        <v>9240</v>
      </c>
    </row>
    <row r="736" spans="1:8" x14ac:dyDescent="0.35">
      <c r="A736" s="2">
        <v>45322</v>
      </c>
      <c r="B736" s="7">
        <f t="shared" si="11"/>
        <v>1</v>
      </c>
      <c r="C736" s="7" t="str">
        <f>_xlfn.XLOOKUP(B736,catalogos!$A$2:$A$13,catalogos!$B$2:$B$13)</f>
        <v>January</v>
      </c>
      <c r="D736" t="s">
        <v>10</v>
      </c>
      <c r="E736" t="s">
        <v>15</v>
      </c>
      <c r="F736">
        <v>49</v>
      </c>
      <c r="G736">
        <v>472</v>
      </c>
      <c r="H736">
        <v>23128</v>
      </c>
    </row>
    <row r="737" spans="1:8" x14ac:dyDescent="0.35">
      <c r="A737" s="2">
        <v>45322</v>
      </c>
      <c r="B737" s="7">
        <f t="shared" si="11"/>
        <v>1</v>
      </c>
      <c r="C737" s="7" t="str">
        <f>_xlfn.XLOOKUP(B737,catalogos!$A$2:$A$13,catalogos!$B$2:$B$13)</f>
        <v>January</v>
      </c>
      <c r="D737" t="s">
        <v>9</v>
      </c>
      <c r="E737" t="s">
        <v>13</v>
      </c>
      <c r="F737">
        <v>78</v>
      </c>
      <c r="G737">
        <v>225</v>
      </c>
      <c r="H737">
        <v>17550</v>
      </c>
    </row>
    <row r="738" spans="1:8" x14ac:dyDescent="0.35">
      <c r="A738" s="2">
        <v>45322</v>
      </c>
      <c r="B738" s="7">
        <f t="shared" si="11"/>
        <v>1</v>
      </c>
      <c r="C738" s="7" t="str">
        <f>_xlfn.XLOOKUP(B738,catalogos!$A$2:$A$13,catalogos!$B$2:$B$13)</f>
        <v>January</v>
      </c>
      <c r="D738" t="s">
        <v>9</v>
      </c>
      <c r="E738" t="s">
        <v>13</v>
      </c>
      <c r="F738">
        <v>52</v>
      </c>
      <c r="G738">
        <v>84</v>
      </c>
      <c r="H738">
        <v>4368</v>
      </c>
    </row>
    <row r="739" spans="1:8" x14ac:dyDescent="0.35">
      <c r="A739" s="2">
        <v>45322</v>
      </c>
      <c r="B739" s="7">
        <f t="shared" si="11"/>
        <v>1</v>
      </c>
      <c r="C739" s="7" t="str">
        <f>_xlfn.XLOOKUP(B739,catalogos!$A$2:$A$13,catalogos!$B$2:$B$13)</f>
        <v>January</v>
      </c>
      <c r="D739" t="s">
        <v>7</v>
      </c>
      <c r="E739" t="s">
        <v>14</v>
      </c>
      <c r="F739">
        <v>21</v>
      </c>
      <c r="G739">
        <v>477</v>
      </c>
      <c r="H739">
        <v>10017</v>
      </c>
    </row>
    <row r="740" spans="1:8" x14ac:dyDescent="0.35">
      <c r="A740" s="2">
        <v>45322</v>
      </c>
      <c r="B740" s="7">
        <f t="shared" si="11"/>
        <v>1</v>
      </c>
      <c r="C740" s="7" t="str">
        <f>_xlfn.XLOOKUP(B740,catalogos!$A$2:$A$13,catalogos!$B$2:$B$13)</f>
        <v>January</v>
      </c>
      <c r="D740" t="s">
        <v>9</v>
      </c>
      <c r="E740" t="s">
        <v>11</v>
      </c>
      <c r="F740">
        <v>67</v>
      </c>
      <c r="G740">
        <v>48</v>
      </c>
      <c r="H740">
        <v>3216</v>
      </c>
    </row>
    <row r="741" spans="1:8" x14ac:dyDescent="0.35">
      <c r="A741" s="2">
        <v>45322</v>
      </c>
      <c r="B741" s="7">
        <f t="shared" si="11"/>
        <v>1</v>
      </c>
      <c r="C741" s="7" t="str">
        <f>_xlfn.XLOOKUP(B741,catalogos!$A$2:$A$13,catalogos!$B$2:$B$13)</f>
        <v>January</v>
      </c>
      <c r="D741" t="s">
        <v>10</v>
      </c>
      <c r="E741" t="s">
        <v>13</v>
      </c>
      <c r="F741">
        <v>10</v>
      </c>
      <c r="G741">
        <v>458</v>
      </c>
      <c r="H741">
        <v>4580</v>
      </c>
    </row>
    <row r="742" spans="1:8" x14ac:dyDescent="0.35">
      <c r="A742" s="2">
        <v>45322</v>
      </c>
      <c r="B742" s="7">
        <f t="shared" si="11"/>
        <v>1</v>
      </c>
      <c r="C742" s="7" t="str">
        <f>_xlfn.XLOOKUP(B742,catalogos!$A$2:$A$13,catalogos!$B$2:$B$13)</f>
        <v>January</v>
      </c>
      <c r="D742" t="s">
        <v>6</v>
      </c>
      <c r="E742" t="s">
        <v>13</v>
      </c>
      <c r="F742">
        <v>80</v>
      </c>
      <c r="G742">
        <v>40</v>
      </c>
      <c r="H742">
        <v>3200</v>
      </c>
    </row>
    <row r="743" spans="1:8" x14ac:dyDescent="0.35">
      <c r="A743" s="2">
        <v>45322</v>
      </c>
      <c r="B743" s="7">
        <f t="shared" si="11"/>
        <v>1</v>
      </c>
      <c r="C743" s="7" t="str">
        <f>_xlfn.XLOOKUP(B743,catalogos!$A$2:$A$13,catalogos!$B$2:$B$13)</f>
        <v>January</v>
      </c>
      <c r="D743" t="s">
        <v>10</v>
      </c>
      <c r="E743" t="s">
        <v>14</v>
      </c>
      <c r="F743">
        <v>62</v>
      </c>
      <c r="G743">
        <v>329</v>
      </c>
      <c r="H743">
        <v>20398</v>
      </c>
    </row>
    <row r="744" spans="1:8" x14ac:dyDescent="0.35">
      <c r="A744" s="2">
        <v>45322</v>
      </c>
      <c r="B744" s="7">
        <f t="shared" si="11"/>
        <v>1</v>
      </c>
      <c r="C744" s="7" t="str">
        <f>_xlfn.XLOOKUP(B744,catalogos!$A$2:$A$13,catalogos!$B$2:$B$13)</f>
        <v>January</v>
      </c>
      <c r="D744" t="s">
        <v>7</v>
      </c>
      <c r="E744" t="s">
        <v>12</v>
      </c>
      <c r="F744">
        <v>87</v>
      </c>
      <c r="G744">
        <v>66</v>
      </c>
      <c r="H744">
        <v>5742</v>
      </c>
    </row>
    <row r="745" spans="1:8" x14ac:dyDescent="0.35">
      <c r="A745" s="2">
        <v>45322</v>
      </c>
      <c r="B745" s="7">
        <f t="shared" si="11"/>
        <v>1</v>
      </c>
      <c r="C745" s="7" t="str">
        <f>_xlfn.XLOOKUP(B745,catalogos!$A$2:$A$13,catalogos!$B$2:$B$13)</f>
        <v>January</v>
      </c>
      <c r="D745" t="s">
        <v>7</v>
      </c>
      <c r="E745" t="s">
        <v>15</v>
      </c>
      <c r="F745">
        <v>37</v>
      </c>
      <c r="G745">
        <v>443</v>
      </c>
      <c r="H745">
        <v>16391</v>
      </c>
    </row>
    <row r="746" spans="1:8" x14ac:dyDescent="0.35">
      <c r="A746" s="2">
        <v>45323</v>
      </c>
      <c r="B746" s="7">
        <f t="shared" si="11"/>
        <v>2</v>
      </c>
      <c r="C746" s="7" t="str">
        <f>_xlfn.XLOOKUP(B746,catalogos!$A$2:$A$13,catalogos!$B$2:$B$13)</f>
        <v>February</v>
      </c>
      <c r="D746" t="s">
        <v>9</v>
      </c>
      <c r="E746" t="s">
        <v>15</v>
      </c>
      <c r="F746">
        <v>96</v>
      </c>
      <c r="G746">
        <v>229</v>
      </c>
      <c r="H746">
        <v>21984</v>
      </c>
    </row>
    <row r="747" spans="1:8" x14ac:dyDescent="0.35">
      <c r="A747" s="2">
        <v>45323</v>
      </c>
      <c r="B747" s="7">
        <f t="shared" si="11"/>
        <v>2</v>
      </c>
      <c r="C747" s="7" t="str">
        <f>_xlfn.XLOOKUP(B747,catalogos!$A$2:$A$13,catalogos!$B$2:$B$13)</f>
        <v>February</v>
      </c>
      <c r="D747" t="s">
        <v>8</v>
      </c>
      <c r="E747" t="s">
        <v>15</v>
      </c>
      <c r="F747">
        <v>31</v>
      </c>
      <c r="G747">
        <v>131</v>
      </c>
      <c r="H747">
        <v>4061</v>
      </c>
    </row>
    <row r="748" spans="1:8" x14ac:dyDescent="0.35">
      <c r="A748" s="2">
        <v>45323</v>
      </c>
      <c r="B748" s="7">
        <f t="shared" si="11"/>
        <v>2</v>
      </c>
      <c r="C748" s="7" t="str">
        <f>_xlfn.XLOOKUP(B748,catalogos!$A$2:$A$13,catalogos!$B$2:$B$13)</f>
        <v>February</v>
      </c>
      <c r="D748" t="s">
        <v>8</v>
      </c>
      <c r="E748" t="s">
        <v>11</v>
      </c>
      <c r="F748">
        <v>59</v>
      </c>
      <c r="G748">
        <v>409</v>
      </c>
      <c r="H748">
        <v>24131</v>
      </c>
    </row>
    <row r="749" spans="1:8" x14ac:dyDescent="0.35">
      <c r="A749" s="2">
        <v>45323</v>
      </c>
      <c r="B749" s="7">
        <f t="shared" si="11"/>
        <v>2</v>
      </c>
      <c r="C749" s="7" t="str">
        <f>_xlfn.XLOOKUP(B749,catalogos!$A$2:$A$13,catalogos!$B$2:$B$13)</f>
        <v>February</v>
      </c>
      <c r="D749" t="s">
        <v>10</v>
      </c>
      <c r="E749" t="s">
        <v>15</v>
      </c>
      <c r="F749">
        <v>63</v>
      </c>
      <c r="G749">
        <v>125</v>
      </c>
      <c r="H749">
        <v>7875</v>
      </c>
    </row>
    <row r="750" spans="1:8" x14ac:dyDescent="0.35">
      <c r="A750" s="2">
        <v>45323</v>
      </c>
      <c r="B750" s="7">
        <f t="shared" si="11"/>
        <v>2</v>
      </c>
      <c r="C750" s="7" t="str">
        <f>_xlfn.XLOOKUP(B750,catalogos!$A$2:$A$13,catalogos!$B$2:$B$13)</f>
        <v>February</v>
      </c>
      <c r="D750" t="s">
        <v>8</v>
      </c>
      <c r="E750" t="s">
        <v>14</v>
      </c>
      <c r="F750">
        <v>51</v>
      </c>
      <c r="G750">
        <v>228</v>
      </c>
      <c r="H750">
        <v>11628</v>
      </c>
    </row>
    <row r="751" spans="1:8" x14ac:dyDescent="0.35">
      <c r="A751" s="2">
        <v>45323</v>
      </c>
      <c r="B751" s="7">
        <f t="shared" si="11"/>
        <v>2</v>
      </c>
      <c r="C751" s="7" t="str">
        <f>_xlfn.XLOOKUP(B751,catalogos!$A$2:$A$13,catalogos!$B$2:$B$13)</f>
        <v>February</v>
      </c>
      <c r="D751" t="s">
        <v>7</v>
      </c>
      <c r="E751" t="s">
        <v>14</v>
      </c>
      <c r="F751">
        <v>69</v>
      </c>
      <c r="G751">
        <v>379</v>
      </c>
      <c r="H751">
        <v>26151</v>
      </c>
    </row>
    <row r="752" spans="1:8" x14ac:dyDescent="0.35">
      <c r="A752" s="2">
        <v>45323</v>
      </c>
      <c r="B752" s="7">
        <f t="shared" si="11"/>
        <v>2</v>
      </c>
      <c r="C752" s="7" t="str">
        <f>_xlfn.XLOOKUP(B752,catalogos!$A$2:$A$13,catalogos!$B$2:$B$13)</f>
        <v>February</v>
      </c>
      <c r="D752" t="s">
        <v>9</v>
      </c>
      <c r="E752" t="s">
        <v>11</v>
      </c>
      <c r="F752">
        <v>55</v>
      </c>
      <c r="G752">
        <v>405</v>
      </c>
      <c r="H752">
        <v>22275</v>
      </c>
    </row>
    <row r="753" spans="1:8" x14ac:dyDescent="0.35">
      <c r="A753" s="2">
        <v>45323</v>
      </c>
      <c r="B753" s="7">
        <f t="shared" si="11"/>
        <v>2</v>
      </c>
      <c r="C753" s="7" t="str">
        <f>_xlfn.XLOOKUP(B753,catalogos!$A$2:$A$13,catalogos!$B$2:$B$13)</f>
        <v>February</v>
      </c>
      <c r="D753" t="s">
        <v>9</v>
      </c>
      <c r="E753" t="s">
        <v>15</v>
      </c>
      <c r="F753">
        <v>73</v>
      </c>
      <c r="G753">
        <v>114</v>
      </c>
      <c r="H753">
        <v>8322</v>
      </c>
    </row>
    <row r="754" spans="1:8" x14ac:dyDescent="0.35">
      <c r="A754" s="2">
        <v>45323</v>
      </c>
      <c r="B754" s="7">
        <f t="shared" si="11"/>
        <v>2</v>
      </c>
      <c r="C754" s="7" t="str">
        <f>_xlfn.XLOOKUP(B754,catalogos!$A$2:$A$13,catalogos!$B$2:$B$13)</f>
        <v>February</v>
      </c>
      <c r="D754" t="s">
        <v>7</v>
      </c>
      <c r="E754" t="s">
        <v>15</v>
      </c>
      <c r="F754">
        <v>12</v>
      </c>
      <c r="G754">
        <v>296</v>
      </c>
      <c r="H754">
        <v>3552</v>
      </c>
    </row>
    <row r="755" spans="1:8" x14ac:dyDescent="0.35">
      <c r="A755" s="2">
        <v>45323</v>
      </c>
      <c r="B755" s="7">
        <f t="shared" si="11"/>
        <v>2</v>
      </c>
      <c r="C755" s="7" t="str">
        <f>_xlfn.XLOOKUP(B755,catalogos!$A$2:$A$13,catalogos!$B$2:$B$13)</f>
        <v>February</v>
      </c>
      <c r="D755" t="s">
        <v>7</v>
      </c>
      <c r="E755" t="s">
        <v>14</v>
      </c>
      <c r="F755">
        <v>14</v>
      </c>
      <c r="G755">
        <v>360</v>
      </c>
      <c r="H755">
        <v>5040</v>
      </c>
    </row>
    <row r="756" spans="1:8" x14ac:dyDescent="0.35">
      <c r="A756" s="2">
        <v>45323</v>
      </c>
      <c r="B756" s="7">
        <f t="shared" si="11"/>
        <v>2</v>
      </c>
      <c r="C756" s="7" t="str">
        <f>_xlfn.XLOOKUP(B756,catalogos!$A$2:$A$13,catalogos!$B$2:$B$13)</f>
        <v>February</v>
      </c>
      <c r="D756" t="s">
        <v>6</v>
      </c>
      <c r="E756" t="s">
        <v>13</v>
      </c>
      <c r="F756">
        <v>68</v>
      </c>
      <c r="G756">
        <v>447</v>
      </c>
      <c r="H756">
        <v>30396</v>
      </c>
    </row>
    <row r="757" spans="1:8" x14ac:dyDescent="0.35">
      <c r="A757" s="2">
        <v>45323</v>
      </c>
      <c r="B757" s="7">
        <f t="shared" si="11"/>
        <v>2</v>
      </c>
      <c r="C757" s="7" t="str">
        <f>_xlfn.XLOOKUP(B757,catalogos!$A$2:$A$13,catalogos!$B$2:$B$13)</f>
        <v>February</v>
      </c>
      <c r="D757" t="s">
        <v>7</v>
      </c>
      <c r="E757" t="s">
        <v>14</v>
      </c>
      <c r="F757">
        <v>71</v>
      </c>
      <c r="G757">
        <v>9</v>
      </c>
      <c r="H757">
        <v>639</v>
      </c>
    </row>
    <row r="758" spans="1:8" x14ac:dyDescent="0.35">
      <c r="A758" s="2">
        <v>45323</v>
      </c>
      <c r="B758" s="7">
        <f t="shared" si="11"/>
        <v>2</v>
      </c>
      <c r="C758" s="7" t="str">
        <f>_xlfn.XLOOKUP(B758,catalogos!$A$2:$A$13,catalogos!$B$2:$B$13)</f>
        <v>February</v>
      </c>
      <c r="D758" t="s">
        <v>9</v>
      </c>
      <c r="E758" t="s">
        <v>13</v>
      </c>
      <c r="F758">
        <v>30</v>
      </c>
      <c r="G758">
        <v>271</v>
      </c>
      <c r="H758">
        <v>8130</v>
      </c>
    </row>
    <row r="759" spans="1:8" x14ac:dyDescent="0.35">
      <c r="A759" s="2">
        <v>45323</v>
      </c>
      <c r="B759" s="7">
        <f t="shared" si="11"/>
        <v>2</v>
      </c>
      <c r="C759" s="7" t="str">
        <f>_xlfn.XLOOKUP(B759,catalogos!$A$2:$A$13,catalogos!$B$2:$B$13)</f>
        <v>February</v>
      </c>
      <c r="D759" t="s">
        <v>9</v>
      </c>
      <c r="E759" t="s">
        <v>13</v>
      </c>
      <c r="F759">
        <v>63</v>
      </c>
      <c r="G759">
        <v>375</v>
      </c>
      <c r="H759">
        <v>23625</v>
      </c>
    </row>
    <row r="760" spans="1:8" x14ac:dyDescent="0.35">
      <c r="A760" s="2">
        <v>45323</v>
      </c>
      <c r="B760" s="7">
        <f t="shared" si="11"/>
        <v>2</v>
      </c>
      <c r="C760" s="7" t="str">
        <f>_xlfn.XLOOKUP(B760,catalogos!$A$2:$A$13,catalogos!$B$2:$B$13)</f>
        <v>February</v>
      </c>
      <c r="D760" t="s">
        <v>7</v>
      </c>
      <c r="E760" t="s">
        <v>13</v>
      </c>
      <c r="F760">
        <v>71</v>
      </c>
      <c r="G760">
        <v>270</v>
      </c>
      <c r="H760">
        <v>19170</v>
      </c>
    </row>
    <row r="761" spans="1:8" x14ac:dyDescent="0.35">
      <c r="A761" s="2">
        <v>45323</v>
      </c>
      <c r="B761" s="7">
        <f t="shared" si="11"/>
        <v>2</v>
      </c>
      <c r="C761" s="7" t="str">
        <f>_xlfn.XLOOKUP(B761,catalogos!$A$2:$A$13,catalogos!$B$2:$B$13)</f>
        <v>February</v>
      </c>
      <c r="D761" t="s">
        <v>6</v>
      </c>
      <c r="E761" t="s">
        <v>11</v>
      </c>
      <c r="F761">
        <v>62</v>
      </c>
      <c r="G761">
        <v>145</v>
      </c>
      <c r="H761">
        <v>8990</v>
      </c>
    </row>
    <row r="762" spans="1:8" x14ac:dyDescent="0.35">
      <c r="A762" s="2">
        <v>45323</v>
      </c>
      <c r="B762" s="7">
        <f t="shared" si="11"/>
        <v>2</v>
      </c>
      <c r="C762" s="7" t="str">
        <f>_xlfn.XLOOKUP(B762,catalogos!$A$2:$A$13,catalogos!$B$2:$B$13)</f>
        <v>February</v>
      </c>
      <c r="D762" t="s">
        <v>7</v>
      </c>
      <c r="E762" t="s">
        <v>15</v>
      </c>
      <c r="F762">
        <v>80</v>
      </c>
      <c r="G762">
        <v>276</v>
      </c>
      <c r="H762">
        <v>22080</v>
      </c>
    </row>
    <row r="763" spans="1:8" x14ac:dyDescent="0.35">
      <c r="A763" s="2">
        <v>45323</v>
      </c>
      <c r="B763" s="7">
        <f t="shared" si="11"/>
        <v>2</v>
      </c>
      <c r="C763" s="7" t="str">
        <f>_xlfn.XLOOKUP(B763,catalogos!$A$2:$A$13,catalogos!$B$2:$B$13)</f>
        <v>February</v>
      </c>
      <c r="D763" t="s">
        <v>10</v>
      </c>
      <c r="E763" t="s">
        <v>12</v>
      </c>
      <c r="F763">
        <v>88</v>
      </c>
      <c r="G763">
        <v>21</v>
      </c>
      <c r="H763">
        <v>1848</v>
      </c>
    </row>
    <row r="764" spans="1:8" x14ac:dyDescent="0.35">
      <c r="A764" s="2">
        <v>45323</v>
      </c>
      <c r="B764" s="7">
        <f t="shared" si="11"/>
        <v>2</v>
      </c>
      <c r="C764" s="7" t="str">
        <f>_xlfn.XLOOKUP(B764,catalogos!$A$2:$A$13,catalogos!$B$2:$B$13)</f>
        <v>February</v>
      </c>
      <c r="D764" t="s">
        <v>6</v>
      </c>
      <c r="E764" t="s">
        <v>12</v>
      </c>
      <c r="F764">
        <v>74</v>
      </c>
      <c r="G764">
        <v>46</v>
      </c>
      <c r="H764">
        <v>3404</v>
      </c>
    </row>
    <row r="765" spans="1:8" x14ac:dyDescent="0.35">
      <c r="A765" s="2">
        <v>45323</v>
      </c>
      <c r="B765" s="7">
        <f t="shared" si="11"/>
        <v>2</v>
      </c>
      <c r="C765" s="7" t="str">
        <f>_xlfn.XLOOKUP(B765,catalogos!$A$2:$A$13,catalogos!$B$2:$B$13)</f>
        <v>February</v>
      </c>
      <c r="D765" t="s">
        <v>6</v>
      </c>
      <c r="E765" t="s">
        <v>12</v>
      </c>
      <c r="F765">
        <v>40</v>
      </c>
      <c r="G765">
        <v>469</v>
      </c>
      <c r="H765">
        <v>18760</v>
      </c>
    </row>
    <row r="766" spans="1:8" x14ac:dyDescent="0.35">
      <c r="A766" s="2">
        <v>45323</v>
      </c>
      <c r="B766" s="7">
        <f t="shared" si="11"/>
        <v>2</v>
      </c>
      <c r="C766" s="7" t="str">
        <f>_xlfn.XLOOKUP(B766,catalogos!$A$2:$A$13,catalogos!$B$2:$B$13)</f>
        <v>February</v>
      </c>
      <c r="D766" t="s">
        <v>9</v>
      </c>
      <c r="E766" t="s">
        <v>14</v>
      </c>
      <c r="F766">
        <v>25</v>
      </c>
      <c r="G766">
        <v>145</v>
      </c>
      <c r="H766">
        <v>3625</v>
      </c>
    </row>
    <row r="767" spans="1:8" x14ac:dyDescent="0.35">
      <c r="A767" s="2">
        <v>45323</v>
      </c>
      <c r="B767" s="7">
        <f t="shared" si="11"/>
        <v>2</v>
      </c>
      <c r="C767" s="7" t="str">
        <f>_xlfn.XLOOKUP(B767,catalogos!$A$2:$A$13,catalogos!$B$2:$B$13)</f>
        <v>February</v>
      </c>
      <c r="D767" t="s">
        <v>6</v>
      </c>
      <c r="E767" t="s">
        <v>14</v>
      </c>
      <c r="F767">
        <v>9</v>
      </c>
      <c r="G767">
        <v>89</v>
      </c>
      <c r="H767">
        <v>801</v>
      </c>
    </row>
    <row r="768" spans="1:8" x14ac:dyDescent="0.35">
      <c r="A768" s="2">
        <v>45323</v>
      </c>
      <c r="B768" s="7">
        <f t="shared" si="11"/>
        <v>2</v>
      </c>
      <c r="C768" s="7" t="str">
        <f>_xlfn.XLOOKUP(B768,catalogos!$A$2:$A$13,catalogos!$B$2:$B$13)</f>
        <v>February</v>
      </c>
      <c r="D768" t="s">
        <v>6</v>
      </c>
      <c r="E768" t="s">
        <v>13</v>
      </c>
      <c r="F768">
        <v>84</v>
      </c>
      <c r="G768">
        <v>375</v>
      </c>
      <c r="H768">
        <v>31500</v>
      </c>
    </row>
    <row r="769" spans="1:8" x14ac:dyDescent="0.35">
      <c r="A769" s="2">
        <v>45323</v>
      </c>
      <c r="B769" s="7">
        <f t="shared" si="11"/>
        <v>2</v>
      </c>
      <c r="C769" s="7" t="str">
        <f>_xlfn.XLOOKUP(B769,catalogos!$A$2:$A$13,catalogos!$B$2:$B$13)</f>
        <v>February</v>
      </c>
      <c r="D769" t="s">
        <v>8</v>
      </c>
      <c r="E769" t="s">
        <v>14</v>
      </c>
      <c r="F769">
        <v>74</v>
      </c>
      <c r="G769">
        <v>248</v>
      </c>
      <c r="H769">
        <v>18352</v>
      </c>
    </row>
    <row r="770" spans="1:8" x14ac:dyDescent="0.35">
      <c r="A770" s="2">
        <v>45324</v>
      </c>
      <c r="B770" s="7">
        <f t="shared" si="11"/>
        <v>2</v>
      </c>
      <c r="C770" s="7" t="str">
        <f>_xlfn.XLOOKUP(B770,catalogos!$A$2:$A$13,catalogos!$B$2:$B$13)</f>
        <v>February</v>
      </c>
      <c r="D770" t="s">
        <v>7</v>
      </c>
      <c r="E770" t="s">
        <v>12</v>
      </c>
      <c r="F770">
        <v>61</v>
      </c>
      <c r="G770">
        <v>424</v>
      </c>
      <c r="H770">
        <v>25864</v>
      </c>
    </row>
    <row r="771" spans="1:8" x14ac:dyDescent="0.35">
      <c r="A771" s="2">
        <v>45324</v>
      </c>
      <c r="B771" s="7">
        <f t="shared" ref="B771:B834" si="12">MONTH(A771)</f>
        <v>2</v>
      </c>
      <c r="C771" s="7" t="str">
        <f>_xlfn.XLOOKUP(B771,catalogos!$A$2:$A$13,catalogos!$B$2:$B$13)</f>
        <v>February</v>
      </c>
      <c r="D771" t="s">
        <v>7</v>
      </c>
      <c r="E771" t="s">
        <v>15</v>
      </c>
      <c r="F771">
        <v>7</v>
      </c>
      <c r="G771">
        <v>374</v>
      </c>
      <c r="H771">
        <v>2618</v>
      </c>
    </row>
    <row r="772" spans="1:8" x14ac:dyDescent="0.35">
      <c r="A772" s="2">
        <v>45324</v>
      </c>
      <c r="B772" s="7">
        <f t="shared" si="12"/>
        <v>2</v>
      </c>
      <c r="C772" s="7" t="str">
        <f>_xlfn.XLOOKUP(B772,catalogos!$A$2:$A$13,catalogos!$B$2:$B$13)</f>
        <v>February</v>
      </c>
      <c r="D772" t="s">
        <v>8</v>
      </c>
      <c r="E772" t="s">
        <v>13</v>
      </c>
      <c r="F772">
        <v>68</v>
      </c>
      <c r="G772">
        <v>398</v>
      </c>
      <c r="H772">
        <v>27064</v>
      </c>
    </row>
    <row r="773" spans="1:8" x14ac:dyDescent="0.35">
      <c r="A773" s="2">
        <v>45324</v>
      </c>
      <c r="B773" s="7">
        <f t="shared" si="12"/>
        <v>2</v>
      </c>
      <c r="C773" s="7" t="str">
        <f>_xlfn.XLOOKUP(B773,catalogos!$A$2:$A$13,catalogos!$B$2:$B$13)</f>
        <v>February</v>
      </c>
      <c r="D773" t="s">
        <v>6</v>
      </c>
      <c r="E773" t="s">
        <v>11</v>
      </c>
      <c r="F773">
        <v>62</v>
      </c>
      <c r="G773">
        <v>95</v>
      </c>
      <c r="H773">
        <v>5890</v>
      </c>
    </row>
    <row r="774" spans="1:8" x14ac:dyDescent="0.35">
      <c r="A774" s="2">
        <v>45324</v>
      </c>
      <c r="B774" s="7">
        <f t="shared" si="12"/>
        <v>2</v>
      </c>
      <c r="C774" s="7" t="str">
        <f>_xlfn.XLOOKUP(B774,catalogos!$A$2:$A$13,catalogos!$B$2:$B$13)</f>
        <v>February</v>
      </c>
      <c r="D774" t="s">
        <v>6</v>
      </c>
      <c r="E774" t="s">
        <v>13</v>
      </c>
      <c r="F774">
        <v>70</v>
      </c>
      <c r="G774">
        <v>300</v>
      </c>
      <c r="H774">
        <v>21000</v>
      </c>
    </row>
    <row r="775" spans="1:8" x14ac:dyDescent="0.35">
      <c r="A775" s="2">
        <v>45324</v>
      </c>
      <c r="B775" s="7">
        <f t="shared" si="12"/>
        <v>2</v>
      </c>
      <c r="C775" s="7" t="str">
        <f>_xlfn.XLOOKUP(B775,catalogos!$A$2:$A$13,catalogos!$B$2:$B$13)</f>
        <v>February</v>
      </c>
      <c r="D775" t="s">
        <v>6</v>
      </c>
      <c r="E775" t="s">
        <v>11</v>
      </c>
      <c r="F775">
        <v>34</v>
      </c>
      <c r="G775">
        <v>413</v>
      </c>
      <c r="H775">
        <v>14042</v>
      </c>
    </row>
    <row r="776" spans="1:8" x14ac:dyDescent="0.35">
      <c r="A776" s="2">
        <v>45324</v>
      </c>
      <c r="B776" s="7">
        <f t="shared" si="12"/>
        <v>2</v>
      </c>
      <c r="C776" s="7" t="str">
        <f>_xlfn.XLOOKUP(B776,catalogos!$A$2:$A$13,catalogos!$B$2:$B$13)</f>
        <v>February</v>
      </c>
      <c r="D776" t="s">
        <v>8</v>
      </c>
      <c r="E776" t="s">
        <v>12</v>
      </c>
      <c r="F776">
        <v>58</v>
      </c>
      <c r="G776">
        <v>188</v>
      </c>
      <c r="H776">
        <v>10904</v>
      </c>
    </row>
    <row r="777" spans="1:8" x14ac:dyDescent="0.35">
      <c r="A777" s="2">
        <v>45324</v>
      </c>
      <c r="B777" s="7">
        <f t="shared" si="12"/>
        <v>2</v>
      </c>
      <c r="C777" s="7" t="str">
        <f>_xlfn.XLOOKUP(B777,catalogos!$A$2:$A$13,catalogos!$B$2:$B$13)</f>
        <v>February</v>
      </c>
      <c r="D777" t="s">
        <v>10</v>
      </c>
      <c r="E777" t="s">
        <v>13</v>
      </c>
      <c r="F777">
        <v>25</v>
      </c>
      <c r="G777">
        <v>113</v>
      </c>
      <c r="H777">
        <v>2825</v>
      </c>
    </row>
    <row r="778" spans="1:8" x14ac:dyDescent="0.35">
      <c r="A778" s="2">
        <v>45324</v>
      </c>
      <c r="B778" s="7">
        <f t="shared" si="12"/>
        <v>2</v>
      </c>
      <c r="C778" s="7" t="str">
        <f>_xlfn.XLOOKUP(B778,catalogos!$A$2:$A$13,catalogos!$B$2:$B$13)</f>
        <v>February</v>
      </c>
      <c r="D778" t="s">
        <v>6</v>
      </c>
      <c r="E778" t="s">
        <v>14</v>
      </c>
      <c r="F778">
        <v>66</v>
      </c>
      <c r="G778">
        <v>327</v>
      </c>
      <c r="H778">
        <v>21582</v>
      </c>
    </row>
    <row r="779" spans="1:8" x14ac:dyDescent="0.35">
      <c r="A779" s="2">
        <v>45324</v>
      </c>
      <c r="B779" s="7">
        <f t="shared" si="12"/>
        <v>2</v>
      </c>
      <c r="C779" s="7" t="str">
        <f>_xlfn.XLOOKUP(B779,catalogos!$A$2:$A$13,catalogos!$B$2:$B$13)</f>
        <v>February</v>
      </c>
      <c r="D779" t="s">
        <v>10</v>
      </c>
      <c r="E779" t="s">
        <v>11</v>
      </c>
      <c r="F779">
        <v>36</v>
      </c>
      <c r="G779">
        <v>42</v>
      </c>
      <c r="H779">
        <v>1512</v>
      </c>
    </row>
    <row r="780" spans="1:8" x14ac:dyDescent="0.35">
      <c r="A780" s="2">
        <v>45324</v>
      </c>
      <c r="B780" s="7">
        <f t="shared" si="12"/>
        <v>2</v>
      </c>
      <c r="C780" s="7" t="str">
        <f>_xlfn.XLOOKUP(B780,catalogos!$A$2:$A$13,catalogos!$B$2:$B$13)</f>
        <v>February</v>
      </c>
      <c r="D780" t="s">
        <v>6</v>
      </c>
      <c r="E780" t="s">
        <v>11</v>
      </c>
      <c r="F780">
        <v>46</v>
      </c>
      <c r="G780">
        <v>366</v>
      </c>
      <c r="H780">
        <v>16836</v>
      </c>
    </row>
    <row r="781" spans="1:8" x14ac:dyDescent="0.35">
      <c r="A781" s="2">
        <v>45324</v>
      </c>
      <c r="B781" s="7">
        <f t="shared" si="12"/>
        <v>2</v>
      </c>
      <c r="C781" s="7" t="str">
        <f>_xlfn.XLOOKUP(B781,catalogos!$A$2:$A$13,catalogos!$B$2:$B$13)</f>
        <v>February</v>
      </c>
      <c r="D781" t="s">
        <v>8</v>
      </c>
      <c r="E781" t="s">
        <v>12</v>
      </c>
      <c r="F781">
        <v>25</v>
      </c>
      <c r="G781">
        <v>72</v>
      </c>
      <c r="H781">
        <v>1800</v>
      </c>
    </row>
    <row r="782" spans="1:8" x14ac:dyDescent="0.35">
      <c r="A782" s="2">
        <v>45324</v>
      </c>
      <c r="B782" s="7">
        <f t="shared" si="12"/>
        <v>2</v>
      </c>
      <c r="C782" s="7" t="str">
        <f>_xlfn.XLOOKUP(B782,catalogos!$A$2:$A$13,catalogos!$B$2:$B$13)</f>
        <v>February</v>
      </c>
      <c r="D782" t="s">
        <v>10</v>
      </c>
      <c r="E782" t="s">
        <v>12</v>
      </c>
      <c r="F782">
        <v>98</v>
      </c>
      <c r="G782">
        <v>93</v>
      </c>
      <c r="H782">
        <v>9114</v>
      </c>
    </row>
    <row r="783" spans="1:8" x14ac:dyDescent="0.35">
      <c r="A783" s="2">
        <v>45324</v>
      </c>
      <c r="B783" s="7">
        <f t="shared" si="12"/>
        <v>2</v>
      </c>
      <c r="C783" s="7" t="str">
        <f>_xlfn.XLOOKUP(B783,catalogos!$A$2:$A$13,catalogos!$B$2:$B$13)</f>
        <v>February</v>
      </c>
      <c r="D783" t="s">
        <v>7</v>
      </c>
      <c r="E783" t="s">
        <v>12</v>
      </c>
      <c r="F783">
        <v>47</v>
      </c>
      <c r="G783">
        <v>254</v>
      </c>
      <c r="H783">
        <v>11938</v>
      </c>
    </row>
    <row r="784" spans="1:8" x14ac:dyDescent="0.35">
      <c r="A784" s="2">
        <v>45324</v>
      </c>
      <c r="B784" s="7">
        <f t="shared" si="12"/>
        <v>2</v>
      </c>
      <c r="C784" s="7" t="str">
        <f>_xlfn.XLOOKUP(B784,catalogos!$A$2:$A$13,catalogos!$B$2:$B$13)</f>
        <v>February</v>
      </c>
      <c r="D784" t="s">
        <v>10</v>
      </c>
      <c r="E784" t="s">
        <v>13</v>
      </c>
      <c r="F784">
        <v>37</v>
      </c>
      <c r="G784">
        <v>357</v>
      </c>
      <c r="H784">
        <v>13209</v>
      </c>
    </row>
    <row r="785" spans="1:8" x14ac:dyDescent="0.35">
      <c r="A785" s="2">
        <v>45324</v>
      </c>
      <c r="B785" s="7">
        <f t="shared" si="12"/>
        <v>2</v>
      </c>
      <c r="C785" s="7" t="str">
        <f>_xlfn.XLOOKUP(B785,catalogos!$A$2:$A$13,catalogos!$B$2:$B$13)</f>
        <v>February</v>
      </c>
      <c r="D785" t="s">
        <v>6</v>
      </c>
      <c r="E785" t="s">
        <v>11</v>
      </c>
      <c r="F785">
        <v>76</v>
      </c>
      <c r="G785">
        <v>192</v>
      </c>
      <c r="H785">
        <v>14592</v>
      </c>
    </row>
    <row r="786" spans="1:8" x14ac:dyDescent="0.35">
      <c r="A786" s="2">
        <v>45324</v>
      </c>
      <c r="B786" s="7">
        <f t="shared" si="12"/>
        <v>2</v>
      </c>
      <c r="C786" s="7" t="str">
        <f>_xlfn.XLOOKUP(B786,catalogos!$A$2:$A$13,catalogos!$B$2:$B$13)</f>
        <v>February</v>
      </c>
      <c r="D786" t="s">
        <v>10</v>
      </c>
      <c r="E786" t="s">
        <v>13</v>
      </c>
      <c r="F786">
        <v>3</v>
      </c>
      <c r="G786">
        <v>214</v>
      </c>
      <c r="H786">
        <v>642</v>
      </c>
    </row>
    <row r="787" spans="1:8" x14ac:dyDescent="0.35">
      <c r="A787" s="2">
        <v>45324</v>
      </c>
      <c r="B787" s="7">
        <f t="shared" si="12"/>
        <v>2</v>
      </c>
      <c r="C787" s="7" t="str">
        <f>_xlfn.XLOOKUP(B787,catalogos!$A$2:$A$13,catalogos!$B$2:$B$13)</f>
        <v>February</v>
      </c>
      <c r="D787" t="s">
        <v>7</v>
      </c>
      <c r="E787" t="s">
        <v>15</v>
      </c>
      <c r="F787">
        <v>36</v>
      </c>
      <c r="G787">
        <v>35</v>
      </c>
      <c r="H787">
        <v>1260</v>
      </c>
    </row>
    <row r="788" spans="1:8" x14ac:dyDescent="0.35">
      <c r="A788" s="2">
        <v>45324</v>
      </c>
      <c r="B788" s="7">
        <f t="shared" si="12"/>
        <v>2</v>
      </c>
      <c r="C788" s="7" t="str">
        <f>_xlfn.XLOOKUP(B788,catalogos!$A$2:$A$13,catalogos!$B$2:$B$13)</f>
        <v>February</v>
      </c>
      <c r="D788" t="s">
        <v>6</v>
      </c>
      <c r="E788" t="s">
        <v>11</v>
      </c>
      <c r="F788">
        <v>57</v>
      </c>
      <c r="G788">
        <v>307</v>
      </c>
      <c r="H788">
        <v>17499</v>
      </c>
    </row>
    <row r="789" spans="1:8" x14ac:dyDescent="0.35">
      <c r="A789" s="2">
        <v>45324</v>
      </c>
      <c r="B789" s="7">
        <f t="shared" si="12"/>
        <v>2</v>
      </c>
      <c r="C789" s="7" t="str">
        <f>_xlfn.XLOOKUP(B789,catalogos!$A$2:$A$13,catalogos!$B$2:$B$13)</f>
        <v>February</v>
      </c>
      <c r="D789" t="s">
        <v>10</v>
      </c>
      <c r="E789" t="s">
        <v>12</v>
      </c>
      <c r="F789">
        <v>13</v>
      </c>
      <c r="G789">
        <v>189</v>
      </c>
      <c r="H789">
        <v>2457</v>
      </c>
    </row>
    <row r="790" spans="1:8" x14ac:dyDescent="0.35">
      <c r="A790" s="2">
        <v>45324</v>
      </c>
      <c r="B790" s="7">
        <f t="shared" si="12"/>
        <v>2</v>
      </c>
      <c r="C790" s="7" t="str">
        <f>_xlfn.XLOOKUP(B790,catalogos!$A$2:$A$13,catalogos!$B$2:$B$13)</f>
        <v>February</v>
      </c>
      <c r="D790" t="s">
        <v>6</v>
      </c>
      <c r="E790" t="s">
        <v>11</v>
      </c>
      <c r="F790">
        <v>15</v>
      </c>
      <c r="G790">
        <v>6</v>
      </c>
      <c r="H790">
        <v>90</v>
      </c>
    </row>
    <row r="791" spans="1:8" x14ac:dyDescent="0.35">
      <c r="A791" s="2">
        <v>45324</v>
      </c>
      <c r="B791" s="7">
        <f t="shared" si="12"/>
        <v>2</v>
      </c>
      <c r="C791" s="7" t="str">
        <f>_xlfn.XLOOKUP(B791,catalogos!$A$2:$A$13,catalogos!$B$2:$B$13)</f>
        <v>February</v>
      </c>
      <c r="D791" t="s">
        <v>10</v>
      </c>
      <c r="E791" t="s">
        <v>13</v>
      </c>
      <c r="F791">
        <v>10</v>
      </c>
      <c r="G791">
        <v>200</v>
      </c>
      <c r="H791">
        <v>2000</v>
      </c>
    </row>
    <row r="792" spans="1:8" x14ac:dyDescent="0.35">
      <c r="A792" s="2">
        <v>45324</v>
      </c>
      <c r="B792" s="7">
        <f t="shared" si="12"/>
        <v>2</v>
      </c>
      <c r="C792" s="7" t="str">
        <f>_xlfn.XLOOKUP(B792,catalogos!$A$2:$A$13,catalogos!$B$2:$B$13)</f>
        <v>February</v>
      </c>
      <c r="D792" t="s">
        <v>6</v>
      </c>
      <c r="E792" t="s">
        <v>15</v>
      </c>
      <c r="F792">
        <v>44</v>
      </c>
      <c r="G792">
        <v>244</v>
      </c>
      <c r="H792">
        <v>10736</v>
      </c>
    </row>
    <row r="793" spans="1:8" x14ac:dyDescent="0.35">
      <c r="A793" s="2">
        <v>45324</v>
      </c>
      <c r="B793" s="7">
        <f t="shared" si="12"/>
        <v>2</v>
      </c>
      <c r="C793" s="7" t="str">
        <f>_xlfn.XLOOKUP(B793,catalogos!$A$2:$A$13,catalogos!$B$2:$B$13)</f>
        <v>February</v>
      </c>
      <c r="D793" t="s">
        <v>10</v>
      </c>
      <c r="E793" t="s">
        <v>13</v>
      </c>
      <c r="F793">
        <v>42</v>
      </c>
      <c r="G793">
        <v>10</v>
      </c>
      <c r="H793">
        <v>420</v>
      </c>
    </row>
    <row r="794" spans="1:8" x14ac:dyDescent="0.35">
      <c r="A794" s="2">
        <v>45325</v>
      </c>
      <c r="B794" s="7">
        <f t="shared" si="12"/>
        <v>2</v>
      </c>
      <c r="C794" s="7" t="str">
        <f>_xlfn.XLOOKUP(B794,catalogos!$A$2:$A$13,catalogos!$B$2:$B$13)</f>
        <v>February</v>
      </c>
      <c r="D794" t="s">
        <v>9</v>
      </c>
      <c r="E794" t="s">
        <v>14</v>
      </c>
      <c r="F794">
        <v>66</v>
      </c>
      <c r="G794">
        <v>353</v>
      </c>
      <c r="H794">
        <v>23298</v>
      </c>
    </row>
    <row r="795" spans="1:8" x14ac:dyDescent="0.35">
      <c r="A795" s="2">
        <v>45325</v>
      </c>
      <c r="B795" s="7">
        <f t="shared" si="12"/>
        <v>2</v>
      </c>
      <c r="C795" s="7" t="str">
        <f>_xlfn.XLOOKUP(B795,catalogos!$A$2:$A$13,catalogos!$B$2:$B$13)</f>
        <v>February</v>
      </c>
      <c r="D795" t="s">
        <v>7</v>
      </c>
      <c r="E795" t="s">
        <v>15</v>
      </c>
      <c r="F795">
        <v>3</v>
      </c>
      <c r="G795">
        <v>330</v>
      </c>
      <c r="H795">
        <v>990</v>
      </c>
    </row>
    <row r="796" spans="1:8" x14ac:dyDescent="0.35">
      <c r="A796" s="2">
        <v>45325</v>
      </c>
      <c r="B796" s="7">
        <f t="shared" si="12"/>
        <v>2</v>
      </c>
      <c r="C796" s="7" t="str">
        <f>_xlfn.XLOOKUP(B796,catalogos!$A$2:$A$13,catalogos!$B$2:$B$13)</f>
        <v>February</v>
      </c>
      <c r="D796" t="s">
        <v>8</v>
      </c>
      <c r="E796" t="s">
        <v>11</v>
      </c>
      <c r="F796">
        <v>44</v>
      </c>
      <c r="G796">
        <v>386</v>
      </c>
      <c r="H796">
        <v>16984</v>
      </c>
    </row>
    <row r="797" spans="1:8" x14ac:dyDescent="0.35">
      <c r="A797" s="2">
        <v>45325</v>
      </c>
      <c r="B797" s="7">
        <f t="shared" si="12"/>
        <v>2</v>
      </c>
      <c r="C797" s="7" t="str">
        <f>_xlfn.XLOOKUP(B797,catalogos!$A$2:$A$13,catalogos!$B$2:$B$13)</f>
        <v>February</v>
      </c>
      <c r="D797" t="s">
        <v>10</v>
      </c>
      <c r="E797" t="s">
        <v>12</v>
      </c>
      <c r="F797">
        <v>35</v>
      </c>
      <c r="G797">
        <v>261</v>
      </c>
      <c r="H797">
        <v>9135</v>
      </c>
    </row>
    <row r="798" spans="1:8" x14ac:dyDescent="0.35">
      <c r="A798" s="2">
        <v>45325</v>
      </c>
      <c r="B798" s="7">
        <f t="shared" si="12"/>
        <v>2</v>
      </c>
      <c r="C798" s="7" t="str">
        <f>_xlfn.XLOOKUP(B798,catalogos!$A$2:$A$13,catalogos!$B$2:$B$13)</f>
        <v>February</v>
      </c>
      <c r="D798" t="s">
        <v>8</v>
      </c>
      <c r="E798" t="s">
        <v>14</v>
      </c>
      <c r="F798">
        <v>8</v>
      </c>
      <c r="G798">
        <v>268</v>
      </c>
      <c r="H798">
        <v>2144</v>
      </c>
    </row>
    <row r="799" spans="1:8" x14ac:dyDescent="0.35">
      <c r="A799" s="2">
        <v>45325</v>
      </c>
      <c r="B799" s="7">
        <f t="shared" si="12"/>
        <v>2</v>
      </c>
      <c r="C799" s="7" t="str">
        <f>_xlfn.XLOOKUP(B799,catalogos!$A$2:$A$13,catalogos!$B$2:$B$13)</f>
        <v>February</v>
      </c>
      <c r="D799" t="s">
        <v>10</v>
      </c>
      <c r="E799" t="s">
        <v>13</v>
      </c>
      <c r="F799">
        <v>13</v>
      </c>
      <c r="G799">
        <v>268</v>
      </c>
      <c r="H799">
        <v>3484</v>
      </c>
    </row>
    <row r="800" spans="1:8" x14ac:dyDescent="0.35">
      <c r="A800" s="2">
        <v>45325</v>
      </c>
      <c r="B800" s="7">
        <f t="shared" si="12"/>
        <v>2</v>
      </c>
      <c r="C800" s="7" t="str">
        <f>_xlfn.XLOOKUP(B800,catalogos!$A$2:$A$13,catalogos!$B$2:$B$13)</f>
        <v>February</v>
      </c>
      <c r="D800" t="s">
        <v>6</v>
      </c>
      <c r="E800" t="s">
        <v>13</v>
      </c>
      <c r="F800">
        <v>29</v>
      </c>
      <c r="G800">
        <v>313</v>
      </c>
      <c r="H800">
        <v>9077</v>
      </c>
    </row>
    <row r="801" spans="1:8" x14ac:dyDescent="0.35">
      <c r="A801" s="2">
        <v>45325</v>
      </c>
      <c r="B801" s="7">
        <f t="shared" si="12"/>
        <v>2</v>
      </c>
      <c r="C801" s="7" t="str">
        <f>_xlfn.XLOOKUP(B801,catalogos!$A$2:$A$13,catalogos!$B$2:$B$13)</f>
        <v>February</v>
      </c>
      <c r="D801" t="s">
        <v>9</v>
      </c>
      <c r="E801" t="s">
        <v>15</v>
      </c>
      <c r="F801">
        <v>77</v>
      </c>
      <c r="G801">
        <v>95</v>
      </c>
      <c r="H801">
        <v>7315</v>
      </c>
    </row>
    <row r="802" spans="1:8" x14ac:dyDescent="0.35">
      <c r="A802" s="2">
        <v>45325</v>
      </c>
      <c r="B802" s="7">
        <f t="shared" si="12"/>
        <v>2</v>
      </c>
      <c r="C802" s="7" t="str">
        <f>_xlfn.XLOOKUP(B802,catalogos!$A$2:$A$13,catalogos!$B$2:$B$13)</f>
        <v>February</v>
      </c>
      <c r="D802" t="s">
        <v>6</v>
      </c>
      <c r="E802" t="s">
        <v>11</v>
      </c>
      <c r="F802">
        <v>89</v>
      </c>
      <c r="G802">
        <v>225</v>
      </c>
      <c r="H802">
        <v>20025</v>
      </c>
    </row>
    <row r="803" spans="1:8" x14ac:dyDescent="0.35">
      <c r="A803" s="2">
        <v>45325</v>
      </c>
      <c r="B803" s="7">
        <f t="shared" si="12"/>
        <v>2</v>
      </c>
      <c r="C803" s="7" t="str">
        <f>_xlfn.XLOOKUP(B803,catalogos!$A$2:$A$13,catalogos!$B$2:$B$13)</f>
        <v>February</v>
      </c>
      <c r="D803" t="s">
        <v>6</v>
      </c>
      <c r="E803" t="s">
        <v>15</v>
      </c>
      <c r="F803">
        <v>21</v>
      </c>
      <c r="G803">
        <v>432</v>
      </c>
      <c r="H803">
        <v>9072</v>
      </c>
    </row>
    <row r="804" spans="1:8" x14ac:dyDescent="0.35">
      <c r="A804" s="2">
        <v>45325</v>
      </c>
      <c r="B804" s="7">
        <f t="shared" si="12"/>
        <v>2</v>
      </c>
      <c r="C804" s="7" t="str">
        <f>_xlfn.XLOOKUP(B804,catalogos!$A$2:$A$13,catalogos!$B$2:$B$13)</f>
        <v>February</v>
      </c>
      <c r="D804" t="s">
        <v>8</v>
      </c>
      <c r="E804" t="s">
        <v>11</v>
      </c>
      <c r="F804">
        <v>53</v>
      </c>
      <c r="G804">
        <v>267</v>
      </c>
      <c r="H804">
        <v>14151</v>
      </c>
    </row>
    <row r="805" spans="1:8" x14ac:dyDescent="0.35">
      <c r="A805" s="2">
        <v>45325</v>
      </c>
      <c r="B805" s="7">
        <f t="shared" si="12"/>
        <v>2</v>
      </c>
      <c r="C805" s="7" t="str">
        <f>_xlfn.XLOOKUP(B805,catalogos!$A$2:$A$13,catalogos!$B$2:$B$13)</f>
        <v>February</v>
      </c>
      <c r="D805" t="s">
        <v>6</v>
      </c>
      <c r="E805" t="s">
        <v>12</v>
      </c>
      <c r="F805">
        <v>69</v>
      </c>
      <c r="G805">
        <v>474</v>
      </c>
      <c r="H805">
        <v>32706</v>
      </c>
    </row>
    <row r="806" spans="1:8" x14ac:dyDescent="0.35">
      <c r="A806" s="2">
        <v>45325</v>
      </c>
      <c r="B806" s="7">
        <f t="shared" si="12"/>
        <v>2</v>
      </c>
      <c r="C806" s="7" t="str">
        <f>_xlfn.XLOOKUP(B806,catalogos!$A$2:$A$13,catalogos!$B$2:$B$13)</f>
        <v>February</v>
      </c>
      <c r="D806" t="s">
        <v>6</v>
      </c>
      <c r="E806" t="s">
        <v>14</v>
      </c>
      <c r="F806">
        <v>95</v>
      </c>
      <c r="G806">
        <v>270</v>
      </c>
      <c r="H806">
        <v>25650</v>
      </c>
    </row>
    <row r="807" spans="1:8" x14ac:dyDescent="0.35">
      <c r="A807" s="2">
        <v>45325</v>
      </c>
      <c r="B807" s="7">
        <f t="shared" si="12"/>
        <v>2</v>
      </c>
      <c r="C807" s="7" t="str">
        <f>_xlfn.XLOOKUP(B807,catalogos!$A$2:$A$13,catalogos!$B$2:$B$13)</f>
        <v>February</v>
      </c>
      <c r="D807" t="s">
        <v>7</v>
      </c>
      <c r="E807" t="s">
        <v>15</v>
      </c>
      <c r="F807">
        <v>79</v>
      </c>
      <c r="G807">
        <v>412</v>
      </c>
      <c r="H807">
        <v>32548</v>
      </c>
    </row>
    <row r="808" spans="1:8" x14ac:dyDescent="0.35">
      <c r="A808" s="2">
        <v>45325</v>
      </c>
      <c r="B808" s="7">
        <f t="shared" si="12"/>
        <v>2</v>
      </c>
      <c r="C808" s="7" t="str">
        <f>_xlfn.XLOOKUP(B808,catalogos!$A$2:$A$13,catalogos!$B$2:$B$13)</f>
        <v>February</v>
      </c>
      <c r="D808" t="s">
        <v>7</v>
      </c>
      <c r="E808" t="s">
        <v>12</v>
      </c>
      <c r="F808">
        <v>22</v>
      </c>
      <c r="G808">
        <v>228</v>
      </c>
      <c r="H808">
        <v>5016</v>
      </c>
    </row>
    <row r="809" spans="1:8" x14ac:dyDescent="0.35">
      <c r="A809" s="2">
        <v>45325</v>
      </c>
      <c r="B809" s="7">
        <f t="shared" si="12"/>
        <v>2</v>
      </c>
      <c r="C809" s="7" t="str">
        <f>_xlfn.XLOOKUP(B809,catalogos!$A$2:$A$13,catalogos!$B$2:$B$13)</f>
        <v>February</v>
      </c>
      <c r="D809" t="s">
        <v>10</v>
      </c>
      <c r="E809" t="s">
        <v>11</v>
      </c>
      <c r="F809">
        <v>59</v>
      </c>
      <c r="G809">
        <v>493</v>
      </c>
      <c r="H809">
        <v>29087</v>
      </c>
    </row>
    <row r="810" spans="1:8" x14ac:dyDescent="0.35">
      <c r="A810" s="2">
        <v>45325</v>
      </c>
      <c r="B810" s="7">
        <f t="shared" si="12"/>
        <v>2</v>
      </c>
      <c r="C810" s="7" t="str">
        <f>_xlfn.XLOOKUP(B810,catalogos!$A$2:$A$13,catalogos!$B$2:$B$13)</f>
        <v>February</v>
      </c>
      <c r="D810" t="s">
        <v>7</v>
      </c>
      <c r="E810" t="s">
        <v>15</v>
      </c>
      <c r="F810">
        <v>77</v>
      </c>
      <c r="G810">
        <v>382</v>
      </c>
      <c r="H810">
        <v>29414</v>
      </c>
    </row>
    <row r="811" spans="1:8" x14ac:dyDescent="0.35">
      <c r="A811" s="2">
        <v>45325</v>
      </c>
      <c r="B811" s="7">
        <f t="shared" si="12"/>
        <v>2</v>
      </c>
      <c r="C811" s="7" t="str">
        <f>_xlfn.XLOOKUP(B811,catalogos!$A$2:$A$13,catalogos!$B$2:$B$13)</f>
        <v>February</v>
      </c>
      <c r="D811" t="s">
        <v>7</v>
      </c>
      <c r="E811" t="s">
        <v>14</v>
      </c>
      <c r="F811">
        <v>92</v>
      </c>
      <c r="G811">
        <v>490</v>
      </c>
      <c r="H811">
        <v>45080</v>
      </c>
    </row>
    <row r="812" spans="1:8" x14ac:dyDescent="0.35">
      <c r="A812" s="2">
        <v>45325</v>
      </c>
      <c r="B812" s="7">
        <f t="shared" si="12"/>
        <v>2</v>
      </c>
      <c r="C812" s="7" t="str">
        <f>_xlfn.XLOOKUP(B812,catalogos!$A$2:$A$13,catalogos!$B$2:$B$13)</f>
        <v>February</v>
      </c>
      <c r="D812" t="s">
        <v>6</v>
      </c>
      <c r="E812" t="s">
        <v>13</v>
      </c>
      <c r="F812">
        <v>43</v>
      </c>
      <c r="G812">
        <v>420</v>
      </c>
      <c r="H812">
        <v>18060</v>
      </c>
    </row>
    <row r="813" spans="1:8" x14ac:dyDescent="0.35">
      <c r="A813" s="2">
        <v>45325</v>
      </c>
      <c r="B813" s="7">
        <f t="shared" si="12"/>
        <v>2</v>
      </c>
      <c r="C813" s="7" t="str">
        <f>_xlfn.XLOOKUP(B813,catalogos!$A$2:$A$13,catalogos!$B$2:$B$13)</f>
        <v>February</v>
      </c>
      <c r="D813" t="s">
        <v>9</v>
      </c>
      <c r="E813" t="s">
        <v>13</v>
      </c>
      <c r="F813">
        <v>55</v>
      </c>
      <c r="G813">
        <v>279</v>
      </c>
      <c r="H813">
        <v>15345</v>
      </c>
    </row>
    <row r="814" spans="1:8" x14ac:dyDescent="0.35">
      <c r="A814" s="2">
        <v>45325</v>
      </c>
      <c r="B814" s="7">
        <f t="shared" si="12"/>
        <v>2</v>
      </c>
      <c r="C814" s="7" t="str">
        <f>_xlfn.XLOOKUP(B814,catalogos!$A$2:$A$13,catalogos!$B$2:$B$13)</f>
        <v>February</v>
      </c>
      <c r="D814" t="s">
        <v>8</v>
      </c>
      <c r="E814" t="s">
        <v>15</v>
      </c>
      <c r="F814">
        <v>98</v>
      </c>
      <c r="G814">
        <v>43</v>
      </c>
      <c r="H814">
        <v>4214</v>
      </c>
    </row>
    <row r="815" spans="1:8" x14ac:dyDescent="0.35">
      <c r="A815" s="2">
        <v>45325</v>
      </c>
      <c r="B815" s="7">
        <f t="shared" si="12"/>
        <v>2</v>
      </c>
      <c r="C815" s="7" t="str">
        <f>_xlfn.XLOOKUP(B815,catalogos!$A$2:$A$13,catalogos!$B$2:$B$13)</f>
        <v>February</v>
      </c>
      <c r="D815" t="s">
        <v>10</v>
      </c>
      <c r="E815" t="s">
        <v>15</v>
      </c>
      <c r="F815">
        <v>99</v>
      </c>
      <c r="G815">
        <v>72</v>
      </c>
      <c r="H815">
        <v>7128</v>
      </c>
    </row>
    <row r="816" spans="1:8" x14ac:dyDescent="0.35">
      <c r="A816" s="2">
        <v>45325</v>
      </c>
      <c r="B816" s="7">
        <f t="shared" si="12"/>
        <v>2</v>
      </c>
      <c r="C816" s="7" t="str">
        <f>_xlfn.XLOOKUP(B816,catalogos!$A$2:$A$13,catalogos!$B$2:$B$13)</f>
        <v>February</v>
      </c>
      <c r="D816" t="s">
        <v>8</v>
      </c>
      <c r="E816" t="s">
        <v>14</v>
      </c>
      <c r="F816">
        <v>68</v>
      </c>
      <c r="G816">
        <v>151</v>
      </c>
      <c r="H816">
        <v>10268</v>
      </c>
    </row>
    <row r="817" spans="1:8" x14ac:dyDescent="0.35">
      <c r="A817" s="2">
        <v>45325</v>
      </c>
      <c r="B817" s="7">
        <f t="shared" si="12"/>
        <v>2</v>
      </c>
      <c r="C817" s="7" t="str">
        <f>_xlfn.XLOOKUP(B817,catalogos!$A$2:$A$13,catalogos!$B$2:$B$13)</f>
        <v>February</v>
      </c>
      <c r="D817" t="s">
        <v>10</v>
      </c>
      <c r="E817" t="s">
        <v>14</v>
      </c>
      <c r="F817">
        <v>93</v>
      </c>
      <c r="G817">
        <v>443</v>
      </c>
      <c r="H817">
        <v>41199</v>
      </c>
    </row>
    <row r="818" spans="1:8" x14ac:dyDescent="0.35">
      <c r="A818" s="2">
        <v>45326</v>
      </c>
      <c r="B818" s="7">
        <f t="shared" si="12"/>
        <v>2</v>
      </c>
      <c r="C818" s="7" t="str">
        <f>_xlfn.XLOOKUP(B818,catalogos!$A$2:$A$13,catalogos!$B$2:$B$13)</f>
        <v>February</v>
      </c>
      <c r="D818" t="s">
        <v>7</v>
      </c>
      <c r="E818" t="s">
        <v>15</v>
      </c>
      <c r="F818">
        <v>97</v>
      </c>
      <c r="G818">
        <v>41</v>
      </c>
      <c r="H818">
        <v>3977</v>
      </c>
    </row>
    <row r="819" spans="1:8" x14ac:dyDescent="0.35">
      <c r="A819" s="2">
        <v>45326</v>
      </c>
      <c r="B819" s="7">
        <f t="shared" si="12"/>
        <v>2</v>
      </c>
      <c r="C819" s="7" t="str">
        <f>_xlfn.XLOOKUP(B819,catalogos!$A$2:$A$13,catalogos!$B$2:$B$13)</f>
        <v>February</v>
      </c>
      <c r="D819" t="s">
        <v>8</v>
      </c>
      <c r="E819" t="s">
        <v>14</v>
      </c>
      <c r="F819">
        <v>16</v>
      </c>
      <c r="G819">
        <v>279</v>
      </c>
      <c r="H819">
        <v>4464</v>
      </c>
    </row>
    <row r="820" spans="1:8" x14ac:dyDescent="0.35">
      <c r="A820" s="2">
        <v>45326</v>
      </c>
      <c r="B820" s="7">
        <f t="shared" si="12"/>
        <v>2</v>
      </c>
      <c r="C820" s="7" t="str">
        <f>_xlfn.XLOOKUP(B820,catalogos!$A$2:$A$13,catalogos!$B$2:$B$13)</f>
        <v>February</v>
      </c>
      <c r="D820" t="s">
        <v>10</v>
      </c>
      <c r="E820" t="s">
        <v>11</v>
      </c>
      <c r="F820">
        <v>97</v>
      </c>
      <c r="G820">
        <v>295</v>
      </c>
      <c r="H820">
        <v>28615</v>
      </c>
    </row>
    <row r="821" spans="1:8" x14ac:dyDescent="0.35">
      <c r="A821" s="2">
        <v>45326</v>
      </c>
      <c r="B821" s="7">
        <f t="shared" si="12"/>
        <v>2</v>
      </c>
      <c r="C821" s="7" t="str">
        <f>_xlfn.XLOOKUP(B821,catalogos!$A$2:$A$13,catalogos!$B$2:$B$13)</f>
        <v>February</v>
      </c>
      <c r="D821" t="s">
        <v>9</v>
      </c>
      <c r="E821" t="s">
        <v>13</v>
      </c>
      <c r="F821">
        <v>7</v>
      </c>
      <c r="G821">
        <v>359</v>
      </c>
      <c r="H821">
        <v>2513</v>
      </c>
    </row>
    <row r="822" spans="1:8" x14ac:dyDescent="0.35">
      <c r="A822" s="2">
        <v>45326</v>
      </c>
      <c r="B822" s="7">
        <f t="shared" si="12"/>
        <v>2</v>
      </c>
      <c r="C822" s="7" t="str">
        <f>_xlfn.XLOOKUP(B822,catalogos!$A$2:$A$13,catalogos!$B$2:$B$13)</f>
        <v>February</v>
      </c>
      <c r="D822" t="s">
        <v>6</v>
      </c>
      <c r="E822" t="s">
        <v>13</v>
      </c>
      <c r="F822">
        <v>5</v>
      </c>
      <c r="G822">
        <v>104</v>
      </c>
      <c r="H822">
        <v>520</v>
      </c>
    </row>
    <row r="823" spans="1:8" x14ac:dyDescent="0.35">
      <c r="A823" s="2">
        <v>45326</v>
      </c>
      <c r="B823" s="7">
        <f t="shared" si="12"/>
        <v>2</v>
      </c>
      <c r="C823" s="7" t="str">
        <f>_xlfn.XLOOKUP(B823,catalogos!$A$2:$A$13,catalogos!$B$2:$B$13)</f>
        <v>February</v>
      </c>
      <c r="D823" t="s">
        <v>7</v>
      </c>
      <c r="E823" t="s">
        <v>13</v>
      </c>
      <c r="F823">
        <v>24</v>
      </c>
      <c r="G823">
        <v>178</v>
      </c>
      <c r="H823">
        <v>4272</v>
      </c>
    </row>
    <row r="824" spans="1:8" x14ac:dyDescent="0.35">
      <c r="A824" s="2">
        <v>45326</v>
      </c>
      <c r="B824" s="7">
        <f t="shared" si="12"/>
        <v>2</v>
      </c>
      <c r="C824" s="7" t="str">
        <f>_xlfn.XLOOKUP(B824,catalogos!$A$2:$A$13,catalogos!$B$2:$B$13)</f>
        <v>February</v>
      </c>
      <c r="D824" t="s">
        <v>8</v>
      </c>
      <c r="E824" t="s">
        <v>12</v>
      </c>
      <c r="F824">
        <v>24</v>
      </c>
      <c r="G824">
        <v>111</v>
      </c>
      <c r="H824">
        <v>2664</v>
      </c>
    </row>
    <row r="825" spans="1:8" x14ac:dyDescent="0.35">
      <c r="A825" s="2">
        <v>45326</v>
      </c>
      <c r="B825" s="7">
        <f t="shared" si="12"/>
        <v>2</v>
      </c>
      <c r="C825" s="7" t="str">
        <f>_xlfn.XLOOKUP(B825,catalogos!$A$2:$A$13,catalogos!$B$2:$B$13)</f>
        <v>February</v>
      </c>
      <c r="D825" t="s">
        <v>7</v>
      </c>
      <c r="E825" t="s">
        <v>11</v>
      </c>
      <c r="F825">
        <v>8</v>
      </c>
      <c r="G825">
        <v>193</v>
      </c>
      <c r="H825">
        <v>1544</v>
      </c>
    </row>
    <row r="826" spans="1:8" x14ac:dyDescent="0.35">
      <c r="A826" s="2">
        <v>45326</v>
      </c>
      <c r="B826" s="7">
        <f t="shared" si="12"/>
        <v>2</v>
      </c>
      <c r="C826" s="7" t="str">
        <f>_xlfn.XLOOKUP(B826,catalogos!$A$2:$A$13,catalogos!$B$2:$B$13)</f>
        <v>February</v>
      </c>
      <c r="D826" t="s">
        <v>10</v>
      </c>
      <c r="E826" t="s">
        <v>11</v>
      </c>
      <c r="F826">
        <v>12</v>
      </c>
      <c r="G826">
        <v>398</v>
      </c>
      <c r="H826">
        <v>4776</v>
      </c>
    </row>
    <row r="827" spans="1:8" x14ac:dyDescent="0.35">
      <c r="A827" s="2">
        <v>45326</v>
      </c>
      <c r="B827" s="7">
        <f t="shared" si="12"/>
        <v>2</v>
      </c>
      <c r="C827" s="7" t="str">
        <f>_xlfn.XLOOKUP(B827,catalogos!$A$2:$A$13,catalogos!$B$2:$B$13)</f>
        <v>February</v>
      </c>
      <c r="D827" t="s">
        <v>9</v>
      </c>
      <c r="E827" t="s">
        <v>13</v>
      </c>
      <c r="F827">
        <v>21</v>
      </c>
      <c r="G827">
        <v>330</v>
      </c>
      <c r="H827">
        <v>6930</v>
      </c>
    </row>
    <row r="828" spans="1:8" x14ac:dyDescent="0.35">
      <c r="A828" s="2">
        <v>45326</v>
      </c>
      <c r="B828" s="7">
        <f t="shared" si="12"/>
        <v>2</v>
      </c>
      <c r="C828" s="7" t="str">
        <f>_xlfn.XLOOKUP(B828,catalogos!$A$2:$A$13,catalogos!$B$2:$B$13)</f>
        <v>February</v>
      </c>
      <c r="D828" t="s">
        <v>10</v>
      </c>
      <c r="E828" t="s">
        <v>14</v>
      </c>
      <c r="F828">
        <v>27</v>
      </c>
      <c r="G828">
        <v>246</v>
      </c>
      <c r="H828">
        <v>6642</v>
      </c>
    </row>
    <row r="829" spans="1:8" x14ac:dyDescent="0.35">
      <c r="A829" s="2">
        <v>45326</v>
      </c>
      <c r="B829" s="7">
        <f t="shared" si="12"/>
        <v>2</v>
      </c>
      <c r="C829" s="7" t="str">
        <f>_xlfn.XLOOKUP(B829,catalogos!$A$2:$A$13,catalogos!$B$2:$B$13)</f>
        <v>February</v>
      </c>
      <c r="D829" t="s">
        <v>7</v>
      </c>
      <c r="E829" t="s">
        <v>13</v>
      </c>
      <c r="F829">
        <v>12</v>
      </c>
      <c r="G829">
        <v>464</v>
      </c>
      <c r="H829">
        <v>5568</v>
      </c>
    </row>
    <row r="830" spans="1:8" x14ac:dyDescent="0.35">
      <c r="A830" s="2">
        <v>45326</v>
      </c>
      <c r="B830" s="7">
        <f t="shared" si="12"/>
        <v>2</v>
      </c>
      <c r="C830" s="7" t="str">
        <f>_xlfn.XLOOKUP(B830,catalogos!$A$2:$A$13,catalogos!$B$2:$B$13)</f>
        <v>February</v>
      </c>
      <c r="D830" t="s">
        <v>7</v>
      </c>
      <c r="E830" t="s">
        <v>15</v>
      </c>
      <c r="F830">
        <v>62</v>
      </c>
      <c r="G830">
        <v>231</v>
      </c>
      <c r="H830">
        <v>14322</v>
      </c>
    </row>
    <row r="831" spans="1:8" x14ac:dyDescent="0.35">
      <c r="A831" s="2">
        <v>45326</v>
      </c>
      <c r="B831" s="7">
        <f t="shared" si="12"/>
        <v>2</v>
      </c>
      <c r="C831" s="7" t="str">
        <f>_xlfn.XLOOKUP(B831,catalogos!$A$2:$A$13,catalogos!$B$2:$B$13)</f>
        <v>February</v>
      </c>
      <c r="D831" t="s">
        <v>9</v>
      </c>
      <c r="E831" t="s">
        <v>15</v>
      </c>
      <c r="F831">
        <v>6</v>
      </c>
      <c r="G831">
        <v>360</v>
      </c>
      <c r="H831">
        <v>2160</v>
      </c>
    </row>
    <row r="832" spans="1:8" x14ac:dyDescent="0.35">
      <c r="A832" s="2">
        <v>45326</v>
      </c>
      <c r="B832" s="7">
        <f t="shared" si="12"/>
        <v>2</v>
      </c>
      <c r="C832" s="7" t="str">
        <f>_xlfn.XLOOKUP(B832,catalogos!$A$2:$A$13,catalogos!$B$2:$B$13)</f>
        <v>February</v>
      </c>
      <c r="D832" t="s">
        <v>6</v>
      </c>
      <c r="E832" t="s">
        <v>15</v>
      </c>
      <c r="F832">
        <v>85</v>
      </c>
      <c r="G832">
        <v>73</v>
      </c>
      <c r="H832">
        <v>6205</v>
      </c>
    </row>
    <row r="833" spans="1:8" x14ac:dyDescent="0.35">
      <c r="A833" s="2">
        <v>45326</v>
      </c>
      <c r="B833" s="7">
        <f t="shared" si="12"/>
        <v>2</v>
      </c>
      <c r="C833" s="7" t="str">
        <f>_xlfn.XLOOKUP(B833,catalogos!$A$2:$A$13,catalogos!$B$2:$B$13)</f>
        <v>February</v>
      </c>
      <c r="D833" t="s">
        <v>6</v>
      </c>
      <c r="E833" t="s">
        <v>13</v>
      </c>
      <c r="F833">
        <v>44</v>
      </c>
      <c r="G833">
        <v>282</v>
      </c>
      <c r="H833">
        <v>12408</v>
      </c>
    </row>
    <row r="834" spans="1:8" x14ac:dyDescent="0.35">
      <c r="A834" s="2">
        <v>45326</v>
      </c>
      <c r="B834" s="7">
        <f t="shared" si="12"/>
        <v>2</v>
      </c>
      <c r="C834" s="7" t="str">
        <f>_xlfn.XLOOKUP(B834,catalogos!$A$2:$A$13,catalogos!$B$2:$B$13)</f>
        <v>February</v>
      </c>
      <c r="D834" t="s">
        <v>9</v>
      </c>
      <c r="E834" t="s">
        <v>15</v>
      </c>
      <c r="F834">
        <v>40</v>
      </c>
      <c r="G834">
        <v>135</v>
      </c>
      <c r="H834">
        <v>5400</v>
      </c>
    </row>
    <row r="835" spans="1:8" x14ac:dyDescent="0.35">
      <c r="A835" s="2">
        <v>45326</v>
      </c>
      <c r="B835" s="7">
        <f t="shared" ref="B835:B898" si="13">MONTH(A835)</f>
        <v>2</v>
      </c>
      <c r="C835" s="7" t="str">
        <f>_xlfn.XLOOKUP(B835,catalogos!$A$2:$A$13,catalogos!$B$2:$B$13)</f>
        <v>February</v>
      </c>
      <c r="D835" t="s">
        <v>7</v>
      </c>
      <c r="E835" t="s">
        <v>13</v>
      </c>
      <c r="F835">
        <v>84</v>
      </c>
      <c r="G835">
        <v>248</v>
      </c>
      <c r="H835">
        <v>20832</v>
      </c>
    </row>
    <row r="836" spans="1:8" x14ac:dyDescent="0.35">
      <c r="A836" s="2">
        <v>45326</v>
      </c>
      <c r="B836" s="7">
        <f t="shared" si="13"/>
        <v>2</v>
      </c>
      <c r="C836" s="7" t="str">
        <f>_xlfn.XLOOKUP(B836,catalogos!$A$2:$A$13,catalogos!$B$2:$B$13)</f>
        <v>February</v>
      </c>
      <c r="D836" t="s">
        <v>10</v>
      </c>
      <c r="E836" t="s">
        <v>14</v>
      </c>
      <c r="F836">
        <v>44</v>
      </c>
      <c r="G836">
        <v>358</v>
      </c>
      <c r="H836">
        <v>15752</v>
      </c>
    </row>
    <row r="837" spans="1:8" x14ac:dyDescent="0.35">
      <c r="A837" s="2">
        <v>45326</v>
      </c>
      <c r="B837" s="7">
        <f t="shared" si="13"/>
        <v>2</v>
      </c>
      <c r="C837" s="7" t="str">
        <f>_xlfn.XLOOKUP(B837,catalogos!$A$2:$A$13,catalogos!$B$2:$B$13)</f>
        <v>February</v>
      </c>
      <c r="D837" t="s">
        <v>10</v>
      </c>
      <c r="E837" t="s">
        <v>14</v>
      </c>
      <c r="F837">
        <v>6</v>
      </c>
      <c r="G837">
        <v>85</v>
      </c>
      <c r="H837">
        <v>510</v>
      </c>
    </row>
    <row r="838" spans="1:8" x14ac:dyDescent="0.35">
      <c r="A838" s="2">
        <v>45326</v>
      </c>
      <c r="B838" s="7">
        <f t="shared" si="13"/>
        <v>2</v>
      </c>
      <c r="C838" s="7" t="str">
        <f>_xlfn.XLOOKUP(B838,catalogos!$A$2:$A$13,catalogos!$B$2:$B$13)</f>
        <v>February</v>
      </c>
      <c r="D838" t="s">
        <v>7</v>
      </c>
      <c r="E838" t="s">
        <v>11</v>
      </c>
      <c r="F838">
        <v>62</v>
      </c>
      <c r="G838">
        <v>361</v>
      </c>
      <c r="H838">
        <v>22382</v>
      </c>
    </row>
    <row r="839" spans="1:8" x14ac:dyDescent="0.35">
      <c r="A839" s="2">
        <v>45326</v>
      </c>
      <c r="B839" s="7">
        <f t="shared" si="13"/>
        <v>2</v>
      </c>
      <c r="C839" s="7" t="str">
        <f>_xlfn.XLOOKUP(B839,catalogos!$A$2:$A$13,catalogos!$B$2:$B$13)</f>
        <v>February</v>
      </c>
      <c r="D839" t="s">
        <v>7</v>
      </c>
      <c r="E839" t="s">
        <v>12</v>
      </c>
      <c r="F839">
        <v>12</v>
      </c>
      <c r="G839">
        <v>475</v>
      </c>
      <c r="H839">
        <v>5700</v>
      </c>
    </row>
    <row r="840" spans="1:8" x14ac:dyDescent="0.35">
      <c r="A840" s="2">
        <v>45326</v>
      </c>
      <c r="B840" s="7">
        <f t="shared" si="13"/>
        <v>2</v>
      </c>
      <c r="C840" s="7" t="str">
        <f>_xlfn.XLOOKUP(B840,catalogos!$A$2:$A$13,catalogos!$B$2:$B$13)</f>
        <v>February</v>
      </c>
      <c r="D840" t="s">
        <v>7</v>
      </c>
      <c r="E840" t="s">
        <v>14</v>
      </c>
      <c r="F840">
        <v>80</v>
      </c>
      <c r="G840">
        <v>398</v>
      </c>
      <c r="H840">
        <v>31840</v>
      </c>
    </row>
    <row r="841" spans="1:8" x14ac:dyDescent="0.35">
      <c r="A841" s="2">
        <v>45326</v>
      </c>
      <c r="B841" s="7">
        <f t="shared" si="13"/>
        <v>2</v>
      </c>
      <c r="C841" s="7" t="str">
        <f>_xlfn.XLOOKUP(B841,catalogos!$A$2:$A$13,catalogos!$B$2:$B$13)</f>
        <v>February</v>
      </c>
      <c r="D841" t="s">
        <v>8</v>
      </c>
      <c r="E841" t="s">
        <v>13</v>
      </c>
      <c r="F841">
        <v>54</v>
      </c>
      <c r="G841">
        <v>93</v>
      </c>
      <c r="H841">
        <v>5022</v>
      </c>
    </row>
    <row r="842" spans="1:8" x14ac:dyDescent="0.35">
      <c r="A842" s="2">
        <v>45327</v>
      </c>
      <c r="B842" s="7">
        <f t="shared" si="13"/>
        <v>2</v>
      </c>
      <c r="C842" s="7" t="str">
        <f>_xlfn.XLOOKUP(B842,catalogos!$A$2:$A$13,catalogos!$B$2:$B$13)</f>
        <v>February</v>
      </c>
      <c r="D842" t="s">
        <v>8</v>
      </c>
      <c r="E842" t="s">
        <v>12</v>
      </c>
      <c r="F842">
        <v>27</v>
      </c>
      <c r="G842">
        <v>312</v>
      </c>
      <c r="H842">
        <v>8424</v>
      </c>
    </row>
    <row r="843" spans="1:8" x14ac:dyDescent="0.35">
      <c r="A843" s="2">
        <v>45327</v>
      </c>
      <c r="B843" s="7">
        <f t="shared" si="13"/>
        <v>2</v>
      </c>
      <c r="C843" s="7" t="str">
        <f>_xlfn.XLOOKUP(B843,catalogos!$A$2:$A$13,catalogos!$B$2:$B$13)</f>
        <v>February</v>
      </c>
      <c r="D843" t="s">
        <v>8</v>
      </c>
      <c r="E843" t="s">
        <v>15</v>
      </c>
      <c r="F843">
        <v>79</v>
      </c>
      <c r="G843">
        <v>175</v>
      </c>
      <c r="H843">
        <v>13825</v>
      </c>
    </row>
    <row r="844" spans="1:8" x14ac:dyDescent="0.35">
      <c r="A844" s="2">
        <v>45327</v>
      </c>
      <c r="B844" s="7">
        <f t="shared" si="13"/>
        <v>2</v>
      </c>
      <c r="C844" s="7" t="str">
        <f>_xlfn.XLOOKUP(B844,catalogos!$A$2:$A$13,catalogos!$B$2:$B$13)</f>
        <v>February</v>
      </c>
      <c r="D844" t="s">
        <v>7</v>
      </c>
      <c r="E844" t="s">
        <v>14</v>
      </c>
      <c r="F844">
        <v>42</v>
      </c>
      <c r="G844">
        <v>358</v>
      </c>
      <c r="H844">
        <v>15036</v>
      </c>
    </row>
    <row r="845" spans="1:8" x14ac:dyDescent="0.35">
      <c r="A845" s="2">
        <v>45327</v>
      </c>
      <c r="B845" s="7">
        <f t="shared" si="13"/>
        <v>2</v>
      </c>
      <c r="C845" s="7" t="str">
        <f>_xlfn.XLOOKUP(B845,catalogos!$A$2:$A$13,catalogos!$B$2:$B$13)</f>
        <v>February</v>
      </c>
      <c r="D845" t="s">
        <v>9</v>
      </c>
      <c r="E845" t="s">
        <v>13</v>
      </c>
      <c r="F845">
        <v>97</v>
      </c>
      <c r="G845">
        <v>18</v>
      </c>
      <c r="H845">
        <v>1746</v>
      </c>
    </row>
    <row r="846" spans="1:8" x14ac:dyDescent="0.35">
      <c r="A846" s="2">
        <v>45327</v>
      </c>
      <c r="B846" s="7">
        <f t="shared" si="13"/>
        <v>2</v>
      </c>
      <c r="C846" s="7" t="str">
        <f>_xlfn.XLOOKUP(B846,catalogos!$A$2:$A$13,catalogos!$B$2:$B$13)</f>
        <v>February</v>
      </c>
      <c r="D846" t="s">
        <v>8</v>
      </c>
      <c r="E846" t="s">
        <v>14</v>
      </c>
      <c r="F846">
        <v>29</v>
      </c>
      <c r="G846">
        <v>368</v>
      </c>
      <c r="H846">
        <v>10672</v>
      </c>
    </row>
    <row r="847" spans="1:8" x14ac:dyDescent="0.35">
      <c r="A847" s="2">
        <v>45327</v>
      </c>
      <c r="B847" s="7">
        <f t="shared" si="13"/>
        <v>2</v>
      </c>
      <c r="C847" s="7" t="str">
        <f>_xlfn.XLOOKUP(B847,catalogos!$A$2:$A$13,catalogos!$B$2:$B$13)</f>
        <v>February</v>
      </c>
      <c r="D847" t="s">
        <v>6</v>
      </c>
      <c r="E847" t="s">
        <v>13</v>
      </c>
      <c r="F847">
        <v>42</v>
      </c>
      <c r="G847">
        <v>306</v>
      </c>
      <c r="H847">
        <v>12852</v>
      </c>
    </row>
    <row r="848" spans="1:8" x14ac:dyDescent="0.35">
      <c r="A848" s="2">
        <v>45327</v>
      </c>
      <c r="B848" s="7">
        <f t="shared" si="13"/>
        <v>2</v>
      </c>
      <c r="C848" s="7" t="str">
        <f>_xlfn.XLOOKUP(B848,catalogos!$A$2:$A$13,catalogos!$B$2:$B$13)</f>
        <v>February</v>
      </c>
      <c r="D848" t="s">
        <v>8</v>
      </c>
      <c r="E848" t="s">
        <v>15</v>
      </c>
      <c r="F848">
        <v>60</v>
      </c>
      <c r="G848">
        <v>226</v>
      </c>
      <c r="H848">
        <v>13560</v>
      </c>
    </row>
    <row r="849" spans="1:8" x14ac:dyDescent="0.35">
      <c r="A849" s="2">
        <v>45327</v>
      </c>
      <c r="B849" s="7">
        <f t="shared" si="13"/>
        <v>2</v>
      </c>
      <c r="C849" s="7" t="str">
        <f>_xlfn.XLOOKUP(B849,catalogos!$A$2:$A$13,catalogos!$B$2:$B$13)</f>
        <v>February</v>
      </c>
      <c r="D849" t="s">
        <v>7</v>
      </c>
      <c r="E849" t="s">
        <v>15</v>
      </c>
      <c r="F849">
        <v>85</v>
      </c>
      <c r="G849">
        <v>109</v>
      </c>
      <c r="H849">
        <v>9265</v>
      </c>
    </row>
    <row r="850" spans="1:8" x14ac:dyDescent="0.35">
      <c r="A850" s="2">
        <v>45327</v>
      </c>
      <c r="B850" s="7">
        <f t="shared" si="13"/>
        <v>2</v>
      </c>
      <c r="C850" s="7" t="str">
        <f>_xlfn.XLOOKUP(B850,catalogos!$A$2:$A$13,catalogos!$B$2:$B$13)</f>
        <v>February</v>
      </c>
      <c r="D850" t="s">
        <v>10</v>
      </c>
      <c r="E850" t="s">
        <v>11</v>
      </c>
      <c r="F850">
        <v>37</v>
      </c>
      <c r="G850">
        <v>15</v>
      </c>
      <c r="H850">
        <v>555</v>
      </c>
    </row>
    <row r="851" spans="1:8" x14ac:dyDescent="0.35">
      <c r="A851" s="2">
        <v>45327</v>
      </c>
      <c r="B851" s="7">
        <f t="shared" si="13"/>
        <v>2</v>
      </c>
      <c r="C851" s="7" t="str">
        <f>_xlfn.XLOOKUP(B851,catalogos!$A$2:$A$13,catalogos!$B$2:$B$13)</f>
        <v>February</v>
      </c>
      <c r="D851" t="s">
        <v>6</v>
      </c>
      <c r="E851" t="s">
        <v>11</v>
      </c>
      <c r="F851">
        <v>92</v>
      </c>
      <c r="G851">
        <v>46</v>
      </c>
      <c r="H851">
        <v>4232</v>
      </c>
    </row>
    <row r="852" spans="1:8" x14ac:dyDescent="0.35">
      <c r="A852" s="2">
        <v>45327</v>
      </c>
      <c r="B852" s="7">
        <f t="shared" si="13"/>
        <v>2</v>
      </c>
      <c r="C852" s="7" t="str">
        <f>_xlfn.XLOOKUP(B852,catalogos!$A$2:$A$13,catalogos!$B$2:$B$13)</f>
        <v>February</v>
      </c>
      <c r="D852" t="s">
        <v>10</v>
      </c>
      <c r="E852" t="s">
        <v>11</v>
      </c>
      <c r="F852">
        <v>78</v>
      </c>
      <c r="G852">
        <v>34</v>
      </c>
      <c r="H852">
        <v>2652</v>
      </c>
    </row>
    <row r="853" spans="1:8" x14ac:dyDescent="0.35">
      <c r="A853" s="2">
        <v>45327</v>
      </c>
      <c r="B853" s="7">
        <f t="shared" si="13"/>
        <v>2</v>
      </c>
      <c r="C853" s="7" t="str">
        <f>_xlfn.XLOOKUP(B853,catalogos!$A$2:$A$13,catalogos!$B$2:$B$13)</f>
        <v>February</v>
      </c>
      <c r="D853" t="s">
        <v>6</v>
      </c>
      <c r="E853" t="s">
        <v>14</v>
      </c>
      <c r="F853">
        <v>52</v>
      </c>
      <c r="G853">
        <v>398</v>
      </c>
      <c r="H853">
        <v>20696</v>
      </c>
    </row>
    <row r="854" spans="1:8" x14ac:dyDescent="0.35">
      <c r="A854" s="2">
        <v>45327</v>
      </c>
      <c r="B854" s="7">
        <f t="shared" si="13"/>
        <v>2</v>
      </c>
      <c r="C854" s="7" t="str">
        <f>_xlfn.XLOOKUP(B854,catalogos!$A$2:$A$13,catalogos!$B$2:$B$13)</f>
        <v>February</v>
      </c>
      <c r="D854" t="s">
        <v>10</v>
      </c>
      <c r="E854" t="s">
        <v>13</v>
      </c>
      <c r="F854">
        <v>79</v>
      </c>
      <c r="G854">
        <v>365</v>
      </c>
      <c r="H854">
        <v>28835</v>
      </c>
    </row>
    <row r="855" spans="1:8" x14ac:dyDescent="0.35">
      <c r="A855" s="2">
        <v>45327</v>
      </c>
      <c r="B855" s="7">
        <f t="shared" si="13"/>
        <v>2</v>
      </c>
      <c r="C855" s="7" t="str">
        <f>_xlfn.XLOOKUP(B855,catalogos!$A$2:$A$13,catalogos!$B$2:$B$13)</f>
        <v>February</v>
      </c>
      <c r="D855" t="s">
        <v>10</v>
      </c>
      <c r="E855" t="s">
        <v>13</v>
      </c>
      <c r="F855">
        <v>65</v>
      </c>
      <c r="G855">
        <v>379</v>
      </c>
      <c r="H855">
        <v>24635</v>
      </c>
    </row>
    <row r="856" spans="1:8" x14ac:dyDescent="0.35">
      <c r="A856" s="2">
        <v>45327</v>
      </c>
      <c r="B856" s="7">
        <f t="shared" si="13"/>
        <v>2</v>
      </c>
      <c r="C856" s="7" t="str">
        <f>_xlfn.XLOOKUP(B856,catalogos!$A$2:$A$13,catalogos!$B$2:$B$13)</f>
        <v>February</v>
      </c>
      <c r="D856" t="s">
        <v>10</v>
      </c>
      <c r="E856" t="s">
        <v>15</v>
      </c>
      <c r="F856">
        <v>61</v>
      </c>
      <c r="G856">
        <v>187</v>
      </c>
      <c r="H856">
        <v>11407</v>
      </c>
    </row>
    <row r="857" spans="1:8" x14ac:dyDescent="0.35">
      <c r="A857" s="2">
        <v>45327</v>
      </c>
      <c r="B857" s="7">
        <f t="shared" si="13"/>
        <v>2</v>
      </c>
      <c r="C857" s="7" t="str">
        <f>_xlfn.XLOOKUP(B857,catalogos!$A$2:$A$13,catalogos!$B$2:$B$13)</f>
        <v>February</v>
      </c>
      <c r="D857" t="s">
        <v>9</v>
      </c>
      <c r="E857" t="s">
        <v>12</v>
      </c>
      <c r="F857">
        <v>85</v>
      </c>
      <c r="G857">
        <v>86</v>
      </c>
      <c r="H857">
        <v>7310</v>
      </c>
    </row>
    <row r="858" spans="1:8" x14ac:dyDescent="0.35">
      <c r="A858" s="2">
        <v>45327</v>
      </c>
      <c r="B858" s="7">
        <f t="shared" si="13"/>
        <v>2</v>
      </c>
      <c r="C858" s="7" t="str">
        <f>_xlfn.XLOOKUP(B858,catalogos!$A$2:$A$13,catalogos!$B$2:$B$13)</f>
        <v>February</v>
      </c>
      <c r="D858" t="s">
        <v>7</v>
      </c>
      <c r="E858" t="s">
        <v>14</v>
      </c>
      <c r="F858">
        <v>4</v>
      </c>
      <c r="G858">
        <v>423</v>
      </c>
      <c r="H858">
        <v>1692</v>
      </c>
    </row>
    <row r="859" spans="1:8" x14ac:dyDescent="0.35">
      <c r="A859" s="2">
        <v>45327</v>
      </c>
      <c r="B859" s="7">
        <f t="shared" si="13"/>
        <v>2</v>
      </c>
      <c r="C859" s="7" t="str">
        <f>_xlfn.XLOOKUP(B859,catalogos!$A$2:$A$13,catalogos!$B$2:$B$13)</f>
        <v>February</v>
      </c>
      <c r="D859" t="s">
        <v>8</v>
      </c>
      <c r="E859" t="s">
        <v>14</v>
      </c>
      <c r="F859">
        <v>97</v>
      </c>
      <c r="G859">
        <v>91</v>
      </c>
      <c r="H859">
        <v>8827</v>
      </c>
    </row>
    <row r="860" spans="1:8" x14ac:dyDescent="0.35">
      <c r="A860" s="2">
        <v>45327</v>
      </c>
      <c r="B860" s="7">
        <f t="shared" si="13"/>
        <v>2</v>
      </c>
      <c r="C860" s="7" t="str">
        <f>_xlfn.XLOOKUP(B860,catalogos!$A$2:$A$13,catalogos!$B$2:$B$13)</f>
        <v>February</v>
      </c>
      <c r="D860" t="s">
        <v>6</v>
      </c>
      <c r="E860" t="s">
        <v>13</v>
      </c>
      <c r="F860">
        <v>54</v>
      </c>
      <c r="G860">
        <v>235</v>
      </c>
      <c r="H860">
        <v>12690</v>
      </c>
    </row>
    <row r="861" spans="1:8" x14ac:dyDescent="0.35">
      <c r="A861" s="2">
        <v>45327</v>
      </c>
      <c r="B861" s="7">
        <f t="shared" si="13"/>
        <v>2</v>
      </c>
      <c r="C861" s="7" t="str">
        <f>_xlfn.XLOOKUP(B861,catalogos!$A$2:$A$13,catalogos!$B$2:$B$13)</f>
        <v>February</v>
      </c>
      <c r="D861" t="s">
        <v>10</v>
      </c>
      <c r="E861" t="s">
        <v>14</v>
      </c>
      <c r="F861">
        <v>52</v>
      </c>
      <c r="G861">
        <v>469</v>
      </c>
      <c r="H861">
        <v>24388</v>
      </c>
    </row>
    <row r="862" spans="1:8" x14ac:dyDescent="0.35">
      <c r="A862" s="2">
        <v>45327</v>
      </c>
      <c r="B862" s="7">
        <f t="shared" si="13"/>
        <v>2</v>
      </c>
      <c r="C862" s="7" t="str">
        <f>_xlfn.XLOOKUP(B862,catalogos!$A$2:$A$13,catalogos!$B$2:$B$13)</f>
        <v>February</v>
      </c>
      <c r="D862" t="s">
        <v>10</v>
      </c>
      <c r="E862" t="s">
        <v>15</v>
      </c>
      <c r="F862">
        <v>88</v>
      </c>
      <c r="G862">
        <v>203</v>
      </c>
      <c r="H862">
        <v>17864</v>
      </c>
    </row>
    <row r="863" spans="1:8" x14ac:dyDescent="0.35">
      <c r="A863" s="2">
        <v>45327</v>
      </c>
      <c r="B863" s="7">
        <f t="shared" si="13"/>
        <v>2</v>
      </c>
      <c r="C863" s="7" t="str">
        <f>_xlfn.XLOOKUP(B863,catalogos!$A$2:$A$13,catalogos!$B$2:$B$13)</f>
        <v>February</v>
      </c>
      <c r="D863" t="s">
        <v>6</v>
      </c>
      <c r="E863" t="s">
        <v>15</v>
      </c>
      <c r="F863">
        <v>34</v>
      </c>
      <c r="G863">
        <v>499</v>
      </c>
      <c r="H863">
        <v>16966</v>
      </c>
    </row>
    <row r="864" spans="1:8" x14ac:dyDescent="0.35">
      <c r="A864" s="2">
        <v>45327</v>
      </c>
      <c r="B864" s="7">
        <f t="shared" si="13"/>
        <v>2</v>
      </c>
      <c r="C864" s="7" t="str">
        <f>_xlfn.XLOOKUP(B864,catalogos!$A$2:$A$13,catalogos!$B$2:$B$13)</f>
        <v>February</v>
      </c>
      <c r="D864" t="s">
        <v>9</v>
      </c>
      <c r="E864" t="s">
        <v>14</v>
      </c>
      <c r="F864">
        <v>71</v>
      </c>
      <c r="G864">
        <v>426</v>
      </c>
      <c r="H864">
        <v>30246</v>
      </c>
    </row>
    <row r="865" spans="1:8" x14ac:dyDescent="0.35">
      <c r="A865" s="2">
        <v>45327</v>
      </c>
      <c r="B865" s="7">
        <f t="shared" si="13"/>
        <v>2</v>
      </c>
      <c r="C865" s="7" t="str">
        <f>_xlfn.XLOOKUP(B865,catalogos!$A$2:$A$13,catalogos!$B$2:$B$13)</f>
        <v>February</v>
      </c>
      <c r="D865" t="s">
        <v>7</v>
      </c>
      <c r="E865" t="s">
        <v>13</v>
      </c>
      <c r="F865">
        <v>42</v>
      </c>
      <c r="G865">
        <v>241</v>
      </c>
      <c r="H865">
        <v>10122</v>
      </c>
    </row>
    <row r="866" spans="1:8" x14ac:dyDescent="0.35">
      <c r="A866" s="2">
        <v>45328</v>
      </c>
      <c r="B866" s="7">
        <f t="shared" si="13"/>
        <v>2</v>
      </c>
      <c r="C866" s="7" t="str">
        <f>_xlfn.XLOOKUP(B866,catalogos!$A$2:$A$13,catalogos!$B$2:$B$13)</f>
        <v>February</v>
      </c>
      <c r="D866" t="s">
        <v>9</v>
      </c>
      <c r="E866" t="s">
        <v>12</v>
      </c>
      <c r="F866">
        <v>3</v>
      </c>
      <c r="G866">
        <v>310</v>
      </c>
      <c r="H866">
        <v>930</v>
      </c>
    </row>
    <row r="867" spans="1:8" x14ac:dyDescent="0.35">
      <c r="A867" s="2">
        <v>45328</v>
      </c>
      <c r="B867" s="7">
        <f t="shared" si="13"/>
        <v>2</v>
      </c>
      <c r="C867" s="7" t="str">
        <f>_xlfn.XLOOKUP(B867,catalogos!$A$2:$A$13,catalogos!$B$2:$B$13)</f>
        <v>February</v>
      </c>
      <c r="D867" t="s">
        <v>8</v>
      </c>
      <c r="E867" t="s">
        <v>13</v>
      </c>
      <c r="F867">
        <v>79</v>
      </c>
      <c r="G867">
        <v>15</v>
      </c>
      <c r="H867">
        <v>1185</v>
      </c>
    </row>
    <row r="868" spans="1:8" x14ac:dyDescent="0.35">
      <c r="A868" s="2">
        <v>45328</v>
      </c>
      <c r="B868" s="7">
        <f t="shared" si="13"/>
        <v>2</v>
      </c>
      <c r="C868" s="7" t="str">
        <f>_xlfn.XLOOKUP(B868,catalogos!$A$2:$A$13,catalogos!$B$2:$B$13)</f>
        <v>February</v>
      </c>
      <c r="D868" t="s">
        <v>6</v>
      </c>
      <c r="E868" t="s">
        <v>14</v>
      </c>
      <c r="F868">
        <v>48</v>
      </c>
      <c r="G868">
        <v>97</v>
      </c>
      <c r="H868">
        <v>4656</v>
      </c>
    </row>
    <row r="869" spans="1:8" x14ac:dyDescent="0.35">
      <c r="A869" s="2">
        <v>45328</v>
      </c>
      <c r="B869" s="7">
        <f t="shared" si="13"/>
        <v>2</v>
      </c>
      <c r="C869" s="7" t="str">
        <f>_xlfn.XLOOKUP(B869,catalogos!$A$2:$A$13,catalogos!$B$2:$B$13)</f>
        <v>February</v>
      </c>
      <c r="D869" t="s">
        <v>9</v>
      </c>
      <c r="E869" t="s">
        <v>15</v>
      </c>
      <c r="F869">
        <v>54</v>
      </c>
      <c r="G869">
        <v>232</v>
      </c>
      <c r="H869">
        <v>12528</v>
      </c>
    </row>
    <row r="870" spans="1:8" x14ac:dyDescent="0.35">
      <c r="A870" s="2">
        <v>45328</v>
      </c>
      <c r="B870" s="7">
        <f t="shared" si="13"/>
        <v>2</v>
      </c>
      <c r="C870" s="7" t="str">
        <f>_xlfn.XLOOKUP(B870,catalogos!$A$2:$A$13,catalogos!$B$2:$B$13)</f>
        <v>February</v>
      </c>
      <c r="D870" t="s">
        <v>7</v>
      </c>
      <c r="E870" t="s">
        <v>11</v>
      </c>
      <c r="F870">
        <v>26</v>
      </c>
      <c r="G870">
        <v>48</v>
      </c>
      <c r="H870">
        <v>1248</v>
      </c>
    </row>
    <row r="871" spans="1:8" x14ac:dyDescent="0.35">
      <c r="A871" s="2">
        <v>45328</v>
      </c>
      <c r="B871" s="7">
        <f t="shared" si="13"/>
        <v>2</v>
      </c>
      <c r="C871" s="7" t="str">
        <f>_xlfn.XLOOKUP(B871,catalogos!$A$2:$A$13,catalogos!$B$2:$B$13)</f>
        <v>February</v>
      </c>
      <c r="D871" t="s">
        <v>8</v>
      </c>
      <c r="E871" t="s">
        <v>13</v>
      </c>
      <c r="F871">
        <v>33</v>
      </c>
      <c r="G871">
        <v>17</v>
      </c>
      <c r="H871">
        <v>561</v>
      </c>
    </row>
    <row r="872" spans="1:8" x14ac:dyDescent="0.35">
      <c r="A872" s="2">
        <v>45328</v>
      </c>
      <c r="B872" s="7">
        <f t="shared" si="13"/>
        <v>2</v>
      </c>
      <c r="C872" s="7" t="str">
        <f>_xlfn.XLOOKUP(B872,catalogos!$A$2:$A$13,catalogos!$B$2:$B$13)</f>
        <v>February</v>
      </c>
      <c r="D872" t="s">
        <v>7</v>
      </c>
      <c r="E872" t="s">
        <v>11</v>
      </c>
      <c r="F872">
        <v>43</v>
      </c>
      <c r="G872">
        <v>241</v>
      </c>
      <c r="H872">
        <v>10363</v>
      </c>
    </row>
    <row r="873" spans="1:8" x14ac:dyDescent="0.35">
      <c r="A873" s="2">
        <v>45328</v>
      </c>
      <c r="B873" s="7">
        <f t="shared" si="13"/>
        <v>2</v>
      </c>
      <c r="C873" s="7" t="str">
        <f>_xlfn.XLOOKUP(B873,catalogos!$A$2:$A$13,catalogos!$B$2:$B$13)</f>
        <v>February</v>
      </c>
      <c r="D873" t="s">
        <v>7</v>
      </c>
      <c r="E873" t="s">
        <v>12</v>
      </c>
      <c r="F873">
        <v>24</v>
      </c>
      <c r="G873">
        <v>325</v>
      </c>
      <c r="H873">
        <v>7800</v>
      </c>
    </row>
    <row r="874" spans="1:8" x14ac:dyDescent="0.35">
      <c r="A874" s="2">
        <v>45328</v>
      </c>
      <c r="B874" s="7">
        <f t="shared" si="13"/>
        <v>2</v>
      </c>
      <c r="C874" s="7" t="str">
        <f>_xlfn.XLOOKUP(B874,catalogos!$A$2:$A$13,catalogos!$B$2:$B$13)</f>
        <v>February</v>
      </c>
      <c r="D874" t="s">
        <v>7</v>
      </c>
      <c r="E874" t="s">
        <v>11</v>
      </c>
      <c r="F874">
        <v>24</v>
      </c>
      <c r="G874">
        <v>260</v>
      </c>
      <c r="H874">
        <v>6240</v>
      </c>
    </row>
    <row r="875" spans="1:8" x14ac:dyDescent="0.35">
      <c r="A875" s="2">
        <v>45328</v>
      </c>
      <c r="B875" s="7">
        <f t="shared" si="13"/>
        <v>2</v>
      </c>
      <c r="C875" s="7" t="str">
        <f>_xlfn.XLOOKUP(B875,catalogos!$A$2:$A$13,catalogos!$B$2:$B$13)</f>
        <v>February</v>
      </c>
      <c r="D875" t="s">
        <v>8</v>
      </c>
      <c r="E875" t="s">
        <v>15</v>
      </c>
      <c r="F875">
        <v>71</v>
      </c>
      <c r="G875">
        <v>265</v>
      </c>
      <c r="H875">
        <v>18815</v>
      </c>
    </row>
    <row r="876" spans="1:8" x14ac:dyDescent="0.35">
      <c r="A876" s="2">
        <v>45328</v>
      </c>
      <c r="B876" s="7">
        <f t="shared" si="13"/>
        <v>2</v>
      </c>
      <c r="C876" s="7" t="str">
        <f>_xlfn.XLOOKUP(B876,catalogos!$A$2:$A$13,catalogos!$B$2:$B$13)</f>
        <v>February</v>
      </c>
      <c r="D876" t="s">
        <v>9</v>
      </c>
      <c r="E876" t="s">
        <v>13</v>
      </c>
      <c r="F876">
        <v>29</v>
      </c>
      <c r="G876">
        <v>492</v>
      </c>
      <c r="H876">
        <v>14268</v>
      </c>
    </row>
    <row r="877" spans="1:8" x14ac:dyDescent="0.35">
      <c r="A877" s="2">
        <v>45328</v>
      </c>
      <c r="B877" s="7">
        <f t="shared" si="13"/>
        <v>2</v>
      </c>
      <c r="C877" s="7" t="str">
        <f>_xlfn.XLOOKUP(B877,catalogos!$A$2:$A$13,catalogos!$B$2:$B$13)</f>
        <v>February</v>
      </c>
      <c r="D877" t="s">
        <v>9</v>
      </c>
      <c r="E877" t="s">
        <v>15</v>
      </c>
      <c r="F877">
        <v>71</v>
      </c>
      <c r="G877">
        <v>361</v>
      </c>
      <c r="H877">
        <v>25631</v>
      </c>
    </row>
    <row r="878" spans="1:8" x14ac:dyDescent="0.35">
      <c r="A878" s="2">
        <v>45328</v>
      </c>
      <c r="B878" s="7">
        <f t="shared" si="13"/>
        <v>2</v>
      </c>
      <c r="C878" s="7" t="str">
        <f>_xlfn.XLOOKUP(B878,catalogos!$A$2:$A$13,catalogos!$B$2:$B$13)</f>
        <v>February</v>
      </c>
      <c r="D878" t="s">
        <v>6</v>
      </c>
      <c r="E878" t="s">
        <v>11</v>
      </c>
      <c r="F878">
        <v>37</v>
      </c>
      <c r="G878">
        <v>350</v>
      </c>
      <c r="H878">
        <v>12950</v>
      </c>
    </row>
    <row r="879" spans="1:8" x14ac:dyDescent="0.35">
      <c r="A879" s="2">
        <v>45328</v>
      </c>
      <c r="B879" s="7">
        <f t="shared" si="13"/>
        <v>2</v>
      </c>
      <c r="C879" s="7" t="str">
        <f>_xlfn.XLOOKUP(B879,catalogos!$A$2:$A$13,catalogos!$B$2:$B$13)</f>
        <v>February</v>
      </c>
      <c r="D879" t="s">
        <v>6</v>
      </c>
      <c r="E879" t="s">
        <v>14</v>
      </c>
      <c r="F879">
        <v>2</v>
      </c>
      <c r="G879">
        <v>405</v>
      </c>
      <c r="H879">
        <v>810</v>
      </c>
    </row>
    <row r="880" spans="1:8" x14ac:dyDescent="0.35">
      <c r="A880" s="2">
        <v>45328</v>
      </c>
      <c r="B880" s="7">
        <f t="shared" si="13"/>
        <v>2</v>
      </c>
      <c r="C880" s="7" t="str">
        <f>_xlfn.XLOOKUP(B880,catalogos!$A$2:$A$13,catalogos!$B$2:$B$13)</f>
        <v>February</v>
      </c>
      <c r="D880" t="s">
        <v>7</v>
      </c>
      <c r="E880" t="s">
        <v>12</v>
      </c>
      <c r="F880">
        <v>13</v>
      </c>
      <c r="G880">
        <v>418</v>
      </c>
      <c r="H880">
        <v>5434</v>
      </c>
    </row>
    <row r="881" spans="1:8" x14ac:dyDescent="0.35">
      <c r="A881" s="2">
        <v>45328</v>
      </c>
      <c r="B881" s="7">
        <f t="shared" si="13"/>
        <v>2</v>
      </c>
      <c r="C881" s="7" t="str">
        <f>_xlfn.XLOOKUP(B881,catalogos!$A$2:$A$13,catalogos!$B$2:$B$13)</f>
        <v>February</v>
      </c>
      <c r="D881" t="s">
        <v>9</v>
      </c>
      <c r="E881" t="s">
        <v>11</v>
      </c>
      <c r="F881">
        <v>19</v>
      </c>
      <c r="G881">
        <v>484</v>
      </c>
      <c r="H881">
        <v>9196</v>
      </c>
    </row>
    <row r="882" spans="1:8" x14ac:dyDescent="0.35">
      <c r="A882" s="2">
        <v>45328</v>
      </c>
      <c r="B882" s="7">
        <f t="shared" si="13"/>
        <v>2</v>
      </c>
      <c r="C882" s="7" t="str">
        <f>_xlfn.XLOOKUP(B882,catalogos!$A$2:$A$13,catalogos!$B$2:$B$13)</f>
        <v>February</v>
      </c>
      <c r="D882" t="s">
        <v>7</v>
      </c>
      <c r="E882" t="s">
        <v>15</v>
      </c>
      <c r="F882">
        <v>91</v>
      </c>
      <c r="G882">
        <v>151</v>
      </c>
      <c r="H882">
        <v>13741</v>
      </c>
    </row>
    <row r="883" spans="1:8" x14ac:dyDescent="0.35">
      <c r="A883" s="2">
        <v>45328</v>
      </c>
      <c r="B883" s="7">
        <f t="shared" si="13"/>
        <v>2</v>
      </c>
      <c r="C883" s="7" t="str">
        <f>_xlfn.XLOOKUP(B883,catalogos!$A$2:$A$13,catalogos!$B$2:$B$13)</f>
        <v>February</v>
      </c>
      <c r="D883" t="s">
        <v>8</v>
      </c>
      <c r="E883" t="s">
        <v>14</v>
      </c>
      <c r="F883">
        <v>28</v>
      </c>
      <c r="G883">
        <v>277</v>
      </c>
      <c r="H883">
        <v>7756</v>
      </c>
    </row>
    <row r="884" spans="1:8" x14ac:dyDescent="0.35">
      <c r="A884" s="2">
        <v>45328</v>
      </c>
      <c r="B884" s="7">
        <f t="shared" si="13"/>
        <v>2</v>
      </c>
      <c r="C884" s="7" t="str">
        <f>_xlfn.XLOOKUP(B884,catalogos!$A$2:$A$13,catalogos!$B$2:$B$13)</f>
        <v>February</v>
      </c>
      <c r="D884" t="s">
        <v>8</v>
      </c>
      <c r="E884" t="s">
        <v>11</v>
      </c>
      <c r="F884">
        <v>28</v>
      </c>
      <c r="G884">
        <v>369</v>
      </c>
      <c r="H884">
        <v>10332</v>
      </c>
    </row>
    <row r="885" spans="1:8" x14ac:dyDescent="0.35">
      <c r="A885" s="2">
        <v>45328</v>
      </c>
      <c r="B885" s="7">
        <f t="shared" si="13"/>
        <v>2</v>
      </c>
      <c r="C885" s="7" t="str">
        <f>_xlfn.XLOOKUP(B885,catalogos!$A$2:$A$13,catalogos!$B$2:$B$13)</f>
        <v>February</v>
      </c>
      <c r="D885" t="s">
        <v>7</v>
      </c>
      <c r="E885" t="s">
        <v>14</v>
      </c>
      <c r="F885">
        <v>32</v>
      </c>
      <c r="G885">
        <v>278</v>
      </c>
      <c r="H885">
        <v>8896</v>
      </c>
    </row>
    <row r="886" spans="1:8" x14ac:dyDescent="0.35">
      <c r="A886" s="2">
        <v>45328</v>
      </c>
      <c r="B886" s="7">
        <f t="shared" si="13"/>
        <v>2</v>
      </c>
      <c r="C886" s="7" t="str">
        <f>_xlfn.XLOOKUP(B886,catalogos!$A$2:$A$13,catalogos!$B$2:$B$13)</f>
        <v>February</v>
      </c>
      <c r="D886" t="s">
        <v>9</v>
      </c>
      <c r="E886" t="s">
        <v>15</v>
      </c>
      <c r="F886">
        <v>85</v>
      </c>
      <c r="G886">
        <v>486</v>
      </c>
      <c r="H886">
        <v>41310</v>
      </c>
    </row>
    <row r="887" spans="1:8" x14ac:dyDescent="0.35">
      <c r="A887" s="2">
        <v>45328</v>
      </c>
      <c r="B887" s="7">
        <f t="shared" si="13"/>
        <v>2</v>
      </c>
      <c r="C887" s="7" t="str">
        <f>_xlfn.XLOOKUP(B887,catalogos!$A$2:$A$13,catalogos!$B$2:$B$13)</f>
        <v>February</v>
      </c>
      <c r="D887" t="s">
        <v>7</v>
      </c>
      <c r="E887" t="s">
        <v>12</v>
      </c>
      <c r="F887">
        <v>29</v>
      </c>
      <c r="G887">
        <v>256</v>
      </c>
      <c r="H887">
        <v>7424</v>
      </c>
    </row>
    <row r="888" spans="1:8" x14ac:dyDescent="0.35">
      <c r="A888" s="2">
        <v>45328</v>
      </c>
      <c r="B888" s="7">
        <f t="shared" si="13"/>
        <v>2</v>
      </c>
      <c r="C888" s="7" t="str">
        <f>_xlfn.XLOOKUP(B888,catalogos!$A$2:$A$13,catalogos!$B$2:$B$13)</f>
        <v>February</v>
      </c>
      <c r="D888" t="s">
        <v>7</v>
      </c>
      <c r="E888" t="s">
        <v>14</v>
      </c>
      <c r="F888">
        <v>54</v>
      </c>
      <c r="G888">
        <v>437</v>
      </c>
      <c r="H888">
        <v>23598</v>
      </c>
    </row>
    <row r="889" spans="1:8" x14ac:dyDescent="0.35">
      <c r="A889" s="2">
        <v>45328</v>
      </c>
      <c r="B889" s="7">
        <f t="shared" si="13"/>
        <v>2</v>
      </c>
      <c r="C889" s="7" t="str">
        <f>_xlfn.XLOOKUP(B889,catalogos!$A$2:$A$13,catalogos!$B$2:$B$13)</f>
        <v>February</v>
      </c>
      <c r="D889" t="s">
        <v>6</v>
      </c>
      <c r="E889" t="s">
        <v>12</v>
      </c>
      <c r="F889">
        <v>27</v>
      </c>
      <c r="G889">
        <v>335</v>
      </c>
      <c r="H889">
        <v>9045</v>
      </c>
    </row>
    <row r="890" spans="1:8" x14ac:dyDescent="0.35">
      <c r="A890" s="2">
        <v>45329</v>
      </c>
      <c r="B890" s="7">
        <f t="shared" si="13"/>
        <v>2</v>
      </c>
      <c r="C890" s="7" t="str">
        <f>_xlfn.XLOOKUP(B890,catalogos!$A$2:$A$13,catalogos!$B$2:$B$13)</f>
        <v>February</v>
      </c>
      <c r="D890" t="s">
        <v>8</v>
      </c>
      <c r="E890" t="s">
        <v>12</v>
      </c>
      <c r="F890">
        <v>21</v>
      </c>
      <c r="G890">
        <v>43</v>
      </c>
      <c r="H890">
        <v>903</v>
      </c>
    </row>
    <row r="891" spans="1:8" x14ac:dyDescent="0.35">
      <c r="A891" s="2">
        <v>45329</v>
      </c>
      <c r="B891" s="7">
        <f t="shared" si="13"/>
        <v>2</v>
      </c>
      <c r="C891" s="7" t="str">
        <f>_xlfn.XLOOKUP(B891,catalogos!$A$2:$A$13,catalogos!$B$2:$B$13)</f>
        <v>February</v>
      </c>
      <c r="D891" t="s">
        <v>6</v>
      </c>
      <c r="E891" t="s">
        <v>14</v>
      </c>
      <c r="F891">
        <v>57</v>
      </c>
      <c r="G891">
        <v>249</v>
      </c>
      <c r="H891">
        <v>14193</v>
      </c>
    </row>
    <row r="892" spans="1:8" x14ac:dyDescent="0.35">
      <c r="A892" s="2">
        <v>45329</v>
      </c>
      <c r="B892" s="7">
        <f t="shared" si="13"/>
        <v>2</v>
      </c>
      <c r="C892" s="7" t="str">
        <f>_xlfn.XLOOKUP(B892,catalogos!$A$2:$A$13,catalogos!$B$2:$B$13)</f>
        <v>February</v>
      </c>
      <c r="D892" t="s">
        <v>7</v>
      </c>
      <c r="E892" t="s">
        <v>12</v>
      </c>
      <c r="F892">
        <v>37</v>
      </c>
      <c r="G892">
        <v>242</v>
      </c>
      <c r="H892">
        <v>8954</v>
      </c>
    </row>
    <row r="893" spans="1:8" x14ac:dyDescent="0.35">
      <c r="A893" s="2">
        <v>45329</v>
      </c>
      <c r="B893" s="7">
        <f t="shared" si="13"/>
        <v>2</v>
      </c>
      <c r="C893" s="7" t="str">
        <f>_xlfn.XLOOKUP(B893,catalogos!$A$2:$A$13,catalogos!$B$2:$B$13)</f>
        <v>February</v>
      </c>
      <c r="D893" t="s">
        <v>6</v>
      </c>
      <c r="E893" t="s">
        <v>15</v>
      </c>
      <c r="F893">
        <v>76</v>
      </c>
      <c r="G893">
        <v>331</v>
      </c>
      <c r="H893">
        <v>25156</v>
      </c>
    </row>
    <row r="894" spans="1:8" x14ac:dyDescent="0.35">
      <c r="A894" s="2">
        <v>45329</v>
      </c>
      <c r="B894" s="7">
        <f t="shared" si="13"/>
        <v>2</v>
      </c>
      <c r="C894" s="7" t="str">
        <f>_xlfn.XLOOKUP(B894,catalogos!$A$2:$A$13,catalogos!$B$2:$B$13)</f>
        <v>February</v>
      </c>
      <c r="D894" t="s">
        <v>9</v>
      </c>
      <c r="E894" t="s">
        <v>15</v>
      </c>
      <c r="F894">
        <v>2</v>
      </c>
      <c r="G894">
        <v>90</v>
      </c>
      <c r="H894">
        <v>180</v>
      </c>
    </row>
    <row r="895" spans="1:8" x14ac:dyDescent="0.35">
      <c r="A895" s="2">
        <v>45329</v>
      </c>
      <c r="B895" s="7">
        <f t="shared" si="13"/>
        <v>2</v>
      </c>
      <c r="C895" s="7" t="str">
        <f>_xlfn.XLOOKUP(B895,catalogos!$A$2:$A$13,catalogos!$B$2:$B$13)</f>
        <v>February</v>
      </c>
      <c r="D895" t="s">
        <v>9</v>
      </c>
      <c r="E895" t="s">
        <v>12</v>
      </c>
      <c r="F895">
        <v>72</v>
      </c>
      <c r="G895">
        <v>10</v>
      </c>
      <c r="H895">
        <v>720</v>
      </c>
    </row>
    <row r="896" spans="1:8" x14ac:dyDescent="0.35">
      <c r="A896" s="2">
        <v>45329</v>
      </c>
      <c r="B896" s="7">
        <f t="shared" si="13"/>
        <v>2</v>
      </c>
      <c r="C896" s="7" t="str">
        <f>_xlfn.XLOOKUP(B896,catalogos!$A$2:$A$13,catalogos!$B$2:$B$13)</f>
        <v>February</v>
      </c>
      <c r="D896" t="s">
        <v>9</v>
      </c>
      <c r="E896" t="s">
        <v>13</v>
      </c>
      <c r="F896">
        <v>49</v>
      </c>
      <c r="G896">
        <v>424</v>
      </c>
      <c r="H896">
        <v>20776</v>
      </c>
    </row>
    <row r="897" spans="1:8" x14ac:dyDescent="0.35">
      <c r="A897" s="2">
        <v>45329</v>
      </c>
      <c r="B897" s="7">
        <f t="shared" si="13"/>
        <v>2</v>
      </c>
      <c r="C897" s="7" t="str">
        <f>_xlfn.XLOOKUP(B897,catalogos!$A$2:$A$13,catalogos!$B$2:$B$13)</f>
        <v>February</v>
      </c>
      <c r="D897" t="s">
        <v>8</v>
      </c>
      <c r="E897" t="s">
        <v>13</v>
      </c>
      <c r="F897">
        <v>20</v>
      </c>
      <c r="G897">
        <v>18</v>
      </c>
      <c r="H897">
        <v>360</v>
      </c>
    </row>
    <row r="898" spans="1:8" x14ac:dyDescent="0.35">
      <c r="A898" s="2">
        <v>45329</v>
      </c>
      <c r="B898" s="7">
        <f t="shared" si="13"/>
        <v>2</v>
      </c>
      <c r="C898" s="7" t="str">
        <f>_xlfn.XLOOKUP(B898,catalogos!$A$2:$A$13,catalogos!$B$2:$B$13)</f>
        <v>February</v>
      </c>
      <c r="D898" t="s">
        <v>6</v>
      </c>
      <c r="E898" t="s">
        <v>11</v>
      </c>
      <c r="F898">
        <v>12</v>
      </c>
      <c r="G898">
        <v>31</v>
      </c>
      <c r="H898">
        <v>372</v>
      </c>
    </row>
    <row r="899" spans="1:8" x14ac:dyDescent="0.35">
      <c r="A899" s="2">
        <v>45329</v>
      </c>
      <c r="B899" s="7">
        <f t="shared" ref="B899:B962" si="14">MONTH(A899)</f>
        <v>2</v>
      </c>
      <c r="C899" s="7" t="str">
        <f>_xlfn.XLOOKUP(B899,catalogos!$A$2:$A$13,catalogos!$B$2:$B$13)</f>
        <v>February</v>
      </c>
      <c r="D899" t="s">
        <v>6</v>
      </c>
      <c r="E899" t="s">
        <v>12</v>
      </c>
      <c r="F899">
        <v>9</v>
      </c>
      <c r="G899">
        <v>66</v>
      </c>
      <c r="H899">
        <v>594</v>
      </c>
    </row>
    <row r="900" spans="1:8" x14ac:dyDescent="0.35">
      <c r="A900" s="2">
        <v>45329</v>
      </c>
      <c r="B900" s="7">
        <f t="shared" si="14"/>
        <v>2</v>
      </c>
      <c r="C900" s="7" t="str">
        <f>_xlfn.XLOOKUP(B900,catalogos!$A$2:$A$13,catalogos!$B$2:$B$13)</f>
        <v>February</v>
      </c>
      <c r="D900" t="s">
        <v>9</v>
      </c>
      <c r="E900" t="s">
        <v>13</v>
      </c>
      <c r="F900">
        <v>62</v>
      </c>
      <c r="G900">
        <v>78</v>
      </c>
      <c r="H900">
        <v>4836</v>
      </c>
    </row>
    <row r="901" spans="1:8" x14ac:dyDescent="0.35">
      <c r="A901" s="2">
        <v>45329</v>
      </c>
      <c r="B901" s="7">
        <f t="shared" si="14"/>
        <v>2</v>
      </c>
      <c r="C901" s="7" t="str">
        <f>_xlfn.XLOOKUP(B901,catalogos!$A$2:$A$13,catalogos!$B$2:$B$13)</f>
        <v>February</v>
      </c>
      <c r="D901" t="s">
        <v>9</v>
      </c>
      <c r="E901" t="s">
        <v>13</v>
      </c>
      <c r="F901">
        <v>96</v>
      </c>
      <c r="G901">
        <v>257</v>
      </c>
      <c r="H901">
        <v>24672</v>
      </c>
    </row>
    <row r="902" spans="1:8" x14ac:dyDescent="0.35">
      <c r="A902" s="2">
        <v>45329</v>
      </c>
      <c r="B902" s="7">
        <f t="shared" si="14"/>
        <v>2</v>
      </c>
      <c r="C902" s="7" t="str">
        <f>_xlfn.XLOOKUP(B902,catalogos!$A$2:$A$13,catalogos!$B$2:$B$13)</f>
        <v>February</v>
      </c>
      <c r="D902" t="s">
        <v>9</v>
      </c>
      <c r="E902" t="s">
        <v>15</v>
      </c>
      <c r="F902">
        <v>24</v>
      </c>
      <c r="G902">
        <v>446</v>
      </c>
      <c r="H902">
        <v>10704</v>
      </c>
    </row>
    <row r="903" spans="1:8" x14ac:dyDescent="0.35">
      <c r="A903" s="2">
        <v>45329</v>
      </c>
      <c r="B903" s="7">
        <f t="shared" si="14"/>
        <v>2</v>
      </c>
      <c r="C903" s="7" t="str">
        <f>_xlfn.XLOOKUP(B903,catalogos!$A$2:$A$13,catalogos!$B$2:$B$13)</f>
        <v>February</v>
      </c>
      <c r="D903" t="s">
        <v>9</v>
      </c>
      <c r="E903" t="s">
        <v>14</v>
      </c>
      <c r="F903">
        <v>93</v>
      </c>
      <c r="G903">
        <v>478</v>
      </c>
      <c r="H903">
        <v>44454</v>
      </c>
    </row>
    <row r="904" spans="1:8" x14ac:dyDescent="0.35">
      <c r="A904" s="2">
        <v>45329</v>
      </c>
      <c r="B904" s="7">
        <f t="shared" si="14"/>
        <v>2</v>
      </c>
      <c r="C904" s="7" t="str">
        <f>_xlfn.XLOOKUP(B904,catalogos!$A$2:$A$13,catalogos!$B$2:$B$13)</f>
        <v>February</v>
      </c>
      <c r="D904" t="s">
        <v>6</v>
      </c>
      <c r="E904" t="s">
        <v>11</v>
      </c>
      <c r="F904">
        <v>40</v>
      </c>
      <c r="G904">
        <v>246</v>
      </c>
      <c r="H904">
        <v>9840</v>
      </c>
    </row>
    <row r="905" spans="1:8" x14ac:dyDescent="0.35">
      <c r="A905" s="2">
        <v>45329</v>
      </c>
      <c r="B905" s="7">
        <f t="shared" si="14"/>
        <v>2</v>
      </c>
      <c r="C905" s="7" t="str">
        <f>_xlfn.XLOOKUP(B905,catalogos!$A$2:$A$13,catalogos!$B$2:$B$13)</f>
        <v>February</v>
      </c>
      <c r="D905" t="s">
        <v>7</v>
      </c>
      <c r="E905" t="s">
        <v>14</v>
      </c>
      <c r="F905">
        <v>16</v>
      </c>
      <c r="G905">
        <v>6</v>
      </c>
      <c r="H905">
        <v>96</v>
      </c>
    </row>
    <row r="906" spans="1:8" x14ac:dyDescent="0.35">
      <c r="A906" s="2">
        <v>45329</v>
      </c>
      <c r="B906" s="7">
        <f t="shared" si="14"/>
        <v>2</v>
      </c>
      <c r="C906" s="7" t="str">
        <f>_xlfn.XLOOKUP(B906,catalogos!$A$2:$A$13,catalogos!$B$2:$B$13)</f>
        <v>February</v>
      </c>
      <c r="D906" t="s">
        <v>10</v>
      </c>
      <c r="E906" t="s">
        <v>14</v>
      </c>
      <c r="F906">
        <v>62</v>
      </c>
      <c r="G906">
        <v>401</v>
      </c>
      <c r="H906">
        <v>24862</v>
      </c>
    </row>
    <row r="907" spans="1:8" x14ac:dyDescent="0.35">
      <c r="A907" s="2">
        <v>45329</v>
      </c>
      <c r="B907" s="7">
        <f t="shared" si="14"/>
        <v>2</v>
      </c>
      <c r="C907" s="7" t="str">
        <f>_xlfn.XLOOKUP(B907,catalogos!$A$2:$A$13,catalogos!$B$2:$B$13)</f>
        <v>February</v>
      </c>
      <c r="D907" t="s">
        <v>8</v>
      </c>
      <c r="E907" t="s">
        <v>15</v>
      </c>
      <c r="F907">
        <v>17</v>
      </c>
      <c r="G907">
        <v>41</v>
      </c>
      <c r="H907">
        <v>697</v>
      </c>
    </row>
    <row r="908" spans="1:8" x14ac:dyDescent="0.35">
      <c r="A908" s="2">
        <v>45329</v>
      </c>
      <c r="B908" s="7">
        <f t="shared" si="14"/>
        <v>2</v>
      </c>
      <c r="C908" s="7" t="str">
        <f>_xlfn.XLOOKUP(B908,catalogos!$A$2:$A$13,catalogos!$B$2:$B$13)</f>
        <v>February</v>
      </c>
      <c r="D908" t="s">
        <v>8</v>
      </c>
      <c r="E908" t="s">
        <v>14</v>
      </c>
      <c r="F908">
        <v>63</v>
      </c>
      <c r="G908">
        <v>80</v>
      </c>
      <c r="H908">
        <v>5040</v>
      </c>
    </row>
    <row r="909" spans="1:8" x14ac:dyDescent="0.35">
      <c r="A909" s="2">
        <v>45329</v>
      </c>
      <c r="B909" s="7">
        <f t="shared" si="14"/>
        <v>2</v>
      </c>
      <c r="C909" s="7" t="str">
        <f>_xlfn.XLOOKUP(B909,catalogos!$A$2:$A$13,catalogos!$B$2:$B$13)</f>
        <v>February</v>
      </c>
      <c r="D909" t="s">
        <v>8</v>
      </c>
      <c r="E909" t="s">
        <v>14</v>
      </c>
      <c r="F909">
        <v>6</v>
      </c>
      <c r="G909">
        <v>357</v>
      </c>
      <c r="H909">
        <v>2142</v>
      </c>
    </row>
    <row r="910" spans="1:8" x14ac:dyDescent="0.35">
      <c r="A910" s="2">
        <v>45329</v>
      </c>
      <c r="B910" s="7">
        <f t="shared" si="14"/>
        <v>2</v>
      </c>
      <c r="C910" s="7" t="str">
        <f>_xlfn.XLOOKUP(B910,catalogos!$A$2:$A$13,catalogos!$B$2:$B$13)</f>
        <v>February</v>
      </c>
      <c r="D910" t="s">
        <v>6</v>
      </c>
      <c r="E910" t="s">
        <v>14</v>
      </c>
      <c r="F910">
        <v>17</v>
      </c>
      <c r="G910">
        <v>415</v>
      </c>
      <c r="H910">
        <v>7055</v>
      </c>
    </row>
    <row r="911" spans="1:8" x14ac:dyDescent="0.35">
      <c r="A911" s="2">
        <v>45329</v>
      </c>
      <c r="B911" s="7">
        <f t="shared" si="14"/>
        <v>2</v>
      </c>
      <c r="C911" s="7" t="str">
        <f>_xlfn.XLOOKUP(B911,catalogos!$A$2:$A$13,catalogos!$B$2:$B$13)</f>
        <v>February</v>
      </c>
      <c r="D911" t="s">
        <v>8</v>
      </c>
      <c r="E911" t="s">
        <v>11</v>
      </c>
      <c r="F911">
        <v>70</v>
      </c>
      <c r="G911">
        <v>190</v>
      </c>
      <c r="H911">
        <v>13300</v>
      </c>
    </row>
    <row r="912" spans="1:8" x14ac:dyDescent="0.35">
      <c r="A912" s="2">
        <v>45329</v>
      </c>
      <c r="B912" s="7">
        <f t="shared" si="14"/>
        <v>2</v>
      </c>
      <c r="C912" s="7" t="str">
        <f>_xlfn.XLOOKUP(B912,catalogos!$A$2:$A$13,catalogos!$B$2:$B$13)</f>
        <v>February</v>
      </c>
      <c r="D912" t="s">
        <v>7</v>
      </c>
      <c r="E912" t="s">
        <v>13</v>
      </c>
      <c r="F912">
        <v>41</v>
      </c>
      <c r="G912">
        <v>92</v>
      </c>
      <c r="H912">
        <v>3772</v>
      </c>
    </row>
    <row r="913" spans="1:8" x14ac:dyDescent="0.35">
      <c r="A913" s="2">
        <v>45329</v>
      </c>
      <c r="B913" s="7">
        <f t="shared" si="14"/>
        <v>2</v>
      </c>
      <c r="C913" s="7" t="str">
        <f>_xlfn.XLOOKUP(B913,catalogos!$A$2:$A$13,catalogos!$B$2:$B$13)</f>
        <v>February</v>
      </c>
      <c r="D913" t="s">
        <v>10</v>
      </c>
      <c r="E913" t="s">
        <v>13</v>
      </c>
      <c r="F913">
        <v>7</v>
      </c>
      <c r="G913">
        <v>67</v>
      </c>
      <c r="H913">
        <v>469</v>
      </c>
    </row>
    <row r="914" spans="1:8" x14ac:dyDescent="0.35">
      <c r="A914" s="2">
        <v>45330</v>
      </c>
      <c r="B914" s="7">
        <f t="shared" si="14"/>
        <v>2</v>
      </c>
      <c r="C914" s="7" t="str">
        <f>_xlfn.XLOOKUP(B914,catalogos!$A$2:$A$13,catalogos!$B$2:$B$13)</f>
        <v>February</v>
      </c>
      <c r="D914" t="s">
        <v>8</v>
      </c>
      <c r="E914" t="s">
        <v>11</v>
      </c>
      <c r="F914">
        <v>27</v>
      </c>
      <c r="G914">
        <v>333</v>
      </c>
      <c r="H914">
        <v>8991</v>
      </c>
    </row>
    <row r="915" spans="1:8" x14ac:dyDescent="0.35">
      <c r="A915" s="2">
        <v>45330</v>
      </c>
      <c r="B915" s="7">
        <f t="shared" si="14"/>
        <v>2</v>
      </c>
      <c r="C915" s="7" t="str">
        <f>_xlfn.XLOOKUP(B915,catalogos!$A$2:$A$13,catalogos!$B$2:$B$13)</f>
        <v>February</v>
      </c>
      <c r="D915" t="s">
        <v>8</v>
      </c>
      <c r="E915" t="s">
        <v>15</v>
      </c>
      <c r="F915">
        <v>38</v>
      </c>
      <c r="G915">
        <v>74</v>
      </c>
      <c r="H915">
        <v>2812</v>
      </c>
    </row>
    <row r="916" spans="1:8" x14ac:dyDescent="0.35">
      <c r="A916" s="2">
        <v>45330</v>
      </c>
      <c r="B916" s="7">
        <f t="shared" si="14"/>
        <v>2</v>
      </c>
      <c r="C916" s="7" t="str">
        <f>_xlfn.XLOOKUP(B916,catalogos!$A$2:$A$13,catalogos!$B$2:$B$13)</f>
        <v>February</v>
      </c>
      <c r="D916" t="s">
        <v>7</v>
      </c>
      <c r="E916" t="s">
        <v>11</v>
      </c>
      <c r="F916">
        <v>26</v>
      </c>
      <c r="G916">
        <v>87</v>
      </c>
      <c r="H916">
        <v>2262</v>
      </c>
    </row>
    <row r="917" spans="1:8" x14ac:dyDescent="0.35">
      <c r="A917" s="2">
        <v>45330</v>
      </c>
      <c r="B917" s="7">
        <f t="shared" si="14"/>
        <v>2</v>
      </c>
      <c r="C917" s="7" t="str">
        <f>_xlfn.XLOOKUP(B917,catalogos!$A$2:$A$13,catalogos!$B$2:$B$13)</f>
        <v>February</v>
      </c>
      <c r="D917" t="s">
        <v>8</v>
      </c>
      <c r="E917" t="s">
        <v>13</v>
      </c>
      <c r="F917">
        <v>4</v>
      </c>
      <c r="G917">
        <v>8</v>
      </c>
      <c r="H917">
        <v>32</v>
      </c>
    </row>
    <row r="918" spans="1:8" x14ac:dyDescent="0.35">
      <c r="A918" s="2">
        <v>45330</v>
      </c>
      <c r="B918" s="7">
        <f t="shared" si="14"/>
        <v>2</v>
      </c>
      <c r="C918" s="7" t="str">
        <f>_xlfn.XLOOKUP(B918,catalogos!$A$2:$A$13,catalogos!$B$2:$B$13)</f>
        <v>February</v>
      </c>
      <c r="D918" t="s">
        <v>8</v>
      </c>
      <c r="E918" t="s">
        <v>13</v>
      </c>
      <c r="F918">
        <v>82</v>
      </c>
      <c r="G918">
        <v>115</v>
      </c>
      <c r="H918">
        <v>9430</v>
      </c>
    </row>
    <row r="919" spans="1:8" x14ac:dyDescent="0.35">
      <c r="A919" s="2">
        <v>45330</v>
      </c>
      <c r="B919" s="7">
        <f t="shared" si="14"/>
        <v>2</v>
      </c>
      <c r="C919" s="7" t="str">
        <f>_xlfn.XLOOKUP(B919,catalogos!$A$2:$A$13,catalogos!$B$2:$B$13)</f>
        <v>February</v>
      </c>
      <c r="D919" t="s">
        <v>6</v>
      </c>
      <c r="E919" t="s">
        <v>15</v>
      </c>
      <c r="F919">
        <v>32</v>
      </c>
      <c r="G919">
        <v>438</v>
      </c>
      <c r="H919">
        <v>14016</v>
      </c>
    </row>
    <row r="920" spans="1:8" x14ac:dyDescent="0.35">
      <c r="A920" s="2">
        <v>45330</v>
      </c>
      <c r="B920" s="7">
        <f t="shared" si="14"/>
        <v>2</v>
      </c>
      <c r="C920" s="7" t="str">
        <f>_xlfn.XLOOKUP(B920,catalogos!$A$2:$A$13,catalogos!$B$2:$B$13)</f>
        <v>February</v>
      </c>
      <c r="D920" t="s">
        <v>10</v>
      </c>
      <c r="E920" t="s">
        <v>15</v>
      </c>
      <c r="F920">
        <v>14</v>
      </c>
      <c r="G920">
        <v>488</v>
      </c>
      <c r="H920">
        <v>6832</v>
      </c>
    </row>
    <row r="921" spans="1:8" x14ac:dyDescent="0.35">
      <c r="A921" s="2">
        <v>45330</v>
      </c>
      <c r="B921" s="7">
        <f t="shared" si="14"/>
        <v>2</v>
      </c>
      <c r="C921" s="7" t="str">
        <f>_xlfn.XLOOKUP(B921,catalogos!$A$2:$A$13,catalogos!$B$2:$B$13)</f>
        <v>February</v>
      </c>
      <c r="D921" t="s">
        <v>9</v>
      </c>
      <c r="E921" t="s">
        <v>11</v>
      </c>
      <c r="F921">
        <v>49</v>
      </c>
      <c r="G921">
        <v>210</v>
      </c>
      <c r="H921">
        <v>10290</v>
      </c>
    </row>
    <row r="922" spans="1:8" x14ac:dyDescent="0.35">
      <c r="A922" s="2">
        <v>45330</v>
      </c>
      <c r="B922" s="7">
        <f t="shared" si="14"/>
        <v>2</v>
      </c>
      <c r="C922" s="7" t="str">
        <f>_xlfn.XLOOKUP(B922,catalogos!$A$2:$A$13,catalogos!$B$2:$B$13)</f>
        <v>February</v>
      </c>
      <c r="D922" t="s">
        <v>9</v>
      </c>
      <c r="E922" t="s">
        <v>11</v>
      </c>
      <c r="F922">
        <v>22</v>
      </c>
      <c r="G922">
        <v>358</v>
      </c>
      <c r="H922">
        <v>7876</v>
      </c>
    </row>
    <row r="923" spans="1:8" x14ac:dyDescent="0.35">
      <c r="A923" s="2">
        <v>45330</v>
      </c>
      <c r="B923" s="7">
        <f t="shared" si="14"/>
        <v>2</v>
      </c>
      <c r="C923" s="7" t="str">
        <f>_xlfn.XLOOKUP(B923,catalogos!$A$2:$A$13,catalogos!$B$2:$B$13)</f>
        <v>February</v>
      </c>
      <c r="D923" t="s">
        <v>7</v>
      </c>
      <c r="E923" t="s">
        <v>14</v>
      </c>
      <c r="F923">
        <v>50</v>
      </c>
      <c r="G923">
        <v>57</v>
      </c>
      <c r="H923">
        <v>2850</v>
      </c>
    </row>
    <row r="924" spans="1:8" x14ac:dyDescent="0.35">
      <c r="A924" s="2">
        <v>45330</v>
      </c>
      <c r="B924" s="7">
        <f t="shared" si="14"/>
        <v>2</v>
      </c>
      <c r="C924" s="7" t="str">
        <f>_xlfn.XLOOKUP(B924,catalogos!$A$2:$A$13,catalogos!$B$2:$B$13)</f>
        <v>February</v>
      </c>
      <c r="D924" t="s">
        <v>8</v>
      </c>
      <c r="E924" t="s">
        <v>11</v>
      </c>
      <c r="F924">
        <v>5</v>
      </c>
      <c r="G924">
        <v>433</v>
      </c>
      <c r="H924">
        <v>2165</v>
      </c>
    </row>
    <row r="925" spans="1:8" x14ac:dyDescent="0.35">
      <c r="A925" s="2">
        <v>45330</v>
      </c>
      <c r="B925" s="7">
        <f t="shared" si="14"/>
        <v>2</v>
      </c>
      <c r="C925" s="7" t="str">
        <f>_xlfn.XLOOKUP(B925,catalogos!$A$2:$A$13,catalogos!$B$2:$B$13)</f>
        <v>February</v>
      </c>
      <c r="D925" t="s">
        <v>9</v>
      </c>
      <c r="E925" t="s">
        <v>14</v>
      </c>
      <c r="F925">
        <v>21</v>
      </c>
      <c r="G925">
        <v>272</v>
      </c>
      <c r="H925">
        <v>5712</v>
      </c>
    </row>
    <row r="926" spans="1:8" x14ac:dyDescent="0.35">
      <c r="A926" s="2">
        <v>45330</v>
      </c>
      <c r="B926" s="7">
        <f t="shared" si="14"/>
        <v>2</v>
      </c>
      <c r="C926" s="7" t="str">
        <f>_xlfn.XLOOKUP(B926,catalogos!$A$2:$A$13,catalogos!$B$2:$B$13)</f>
        <v>February</v>
      </c>
      <c r="D926" t="s">
        <v>9</v>
      </c>
      <c r="E926" t="s">
        <v>14</v>
      </c>
      <c r="F926">
        <v>11</v>
      </c>
      <c r="G926">
        <v>498</v>
      </c>
      <c r="H926">
        <v>5478</v>
      </c>
    </row>
    <row r="927" spans="1:8" x14ac:dyDescent="0.35">
      <c r="A927" s="2">
        <v>45330</v>
      </c>
      <c r="B927" s="7">
        <f t="shared" si="14"/>
        <v>2</v>
      </c>
      <c r="C927" s="7" t="str">
        <f>_xlfn.XLOOKUP(B927,catalogos!$A$2:$A$13,catalogos!$B$2:$B$13)</f>
        <v>February</v>
      </c>
      <c r="D927" t="s">
        <v>10</v>
      </c>
      <c r="E927" t="s">
        <v>11</v>
      </c>
      <c r="F927">
        <v>67</v>
      </c>
      <c r="G927">
        <v>272</v>
      </c>
      <c r="H927">
        <v>18224</v>
      </c>
    </row>
    <row r="928" spans="1:8" x14ac:dyDescent="0.35">
      <c r="A928" s="2">
        <v>45330</v>
      </c>
      <c r="B928" s="7">
        <f t="shared" si="14"/>
        <v>2</v>
      </c>
      <c r="C928" s="7" t="str">
        <f>_xlfn.XLOOKUP(B928,catalogos!$A$2:$A$13,catalogos!$B$2:$B$13)</f>
        <v>February</v>
      </c>
      <c r="D928" t="s">
        <v>6</v>
      </c>
      <c r="E928" t="s">
        <v>14</v>
      </c>
      <c r="F928">
        <v>41</v>
      </c>
      <c r="G928">
        <v>33</v>
      </c>
      <c r="H928">
        <v>1353</v>
      </c>
    </row>
    <row r="929" spans="1:8" x14ac:dyDescent="0.35">
      <c r="A929" s="2">
        <v>45330</v>
      </c>
      <c r="B929" s="7">
        <f t="shared" si="14"/>
        <v>2</v>
      </c>
      <c r="C929" s="7" t="str">
        <f>_xlfn.XLOOKUP(B929,catalogos!$A$2:$A$13,catalogos!$B$2:$B$13)</f>
        <v>February</v>
      </c>
      <c r="D929" t="s">
        <v>10</v>
      </c>
      <c r="E929" t="s">
        <v>11</v>
      </c>
      <c r="F929">
        <v>50</v>
      </c>
      <c r="G929">
        <v>412</v>
      </c>
      <c r="H929">
        <v>20600</v>
      </c>
    </row>
    <row r="930" spans="1:8" x14ac:dyDescent="0.35">
      <c r="A930" s="2">
        <v>45330</v>
      </c>
      <c r="B930" s="7">
        <f t="shared" si="14"/>
        <v>2</v>
      </c>
      <c r="C930" s="7" t="str">
        <f>_xlfn.XLOOKUP(B930,catalogos!$A$2:$A$13,catalogos!$B$2:$B$13)</f>
        <v>February</v>
      </c>
      <c r="D930" t="s">
        <v>7</v>
      </c>
      <c r="E930" t="s">
        <v>15</v>
      </c>
      <c r="F930">
        <v>67</v>
      </c>
      <c r="G930">
        <v>492</v>
      </c>
      <c r="H930">
        <v>32964</v>
      </c>
    </row>
    <row r="931" spans="1:8" x14ac:dyDescent="0.35">
      <c r="A931" s="2">
        <v>45330</v>
      </c>
      <c r="B931" s="7">
        <f t="shared" si="14"/>
        <v>2</v>
      </c>
      <c r="C931" s="7" t="str">
        <f>_xlfn.XLOOKUP(B931,catalogos!$A$2:$A$13,catalogos!$B$2:$B$13)</f>
        <v>February</v>
      </c>
      <c r="D931" t="s">
        <v>8</v>
      </c>
      <c r="E931" t="s">
        <v>11</v>
      </c>
      <c r="F931">
        <v>40</v>
      </c>
      <c r="G931">
        <v>363</v>
      </c>
      <c r="H931">
        <v>14520</v>
      </c>
    </row>
    <row r="932" spans="1:8" x14ac:dyDescent="0.35">
      <c r="A932" s="2">
        <v>45330</v>
      </c>
      <c r="B932" s="7">
        <f t="shared" si="14"/>
        <v>2</v>
      </c>
      <c r="C932" s="7" t="str">
        <f>_xlfn.XLOOKUP(B932,catalogos!$A$2:$A$13,catalogos!$B$2:$B$13)</f>
        <v>February</v>
      </c>
      <c r="D932" t="s">
        <v>7</v>
      </c>
      <c r="E932" t="s">
        <v>15</v>
      </c>
      <c r="F932">
        <v>93</v>
      </c>
      <c r="G932">
        <v>415</v>
      </c>
      <c r="H932">
        <v>38595</v>
      </c>
    </row>
    <row r="933" spans="1:8" x14ac:dyDescent="0.35">
      <c r="A933" s="2">
        <v>45330</v>
      </c>
      <c r="B933" s="7">
        <f t="shared" si="14"/>
        <v>2</v>
      </c>
      <c r="C933" s="7" t="str">
        <f>_xlfn.XLOOKUP(B933,catalogos!$A$2:$A$13,catalogos!$B$2:$B$13)</f>
        <v>February</v>
      </c>
      <c r="D933" t="s">
        <v>10</v>
      </c>
      <c r="E933" t="s">
        <v>13</v>
      </c>
      <c r="F933">
        <v>95</v>
      </c>
      <c r="G933">
        <v>199</v>
      </c>
      <c r="H933">
        <v>18905</v>
      </c>
    </row>
    <row r="934" spans="1:8" x14ac:dyDescent="0.35">
      <c r="A934" s="2">
        <v>45330</v>
      </c>
      <c r="B934" s="7">
        <f t="shared" si="14"/>
        <v>2</v>
      </c>
      <c r="C934" s="7" t="str">
        <f>_xlfn.XLOOKUP(B934,catalogos!$A$2:$A$13,catalogos!$B$2:$B$13)</f>
        <v>February</v>
      </c>
      <c r="D934" t="s">
        <v>8</v>
      </c>
      <c r="E934" t="s">
        <v>14</v>
      </c>
      <c r="F934">
        <v>16</v>
      </c>
      <c r="G934">
        <v>302</v>
      </c>
      <c r="H934">
        <v>4832</v>
      </c>
    </row>
    <row r="935" spans="1:8" x14ac:dyDescent="0.35">
      <c r="A935" s="2">
        <v>45330</v>
      </c>
      <c r="B935" s="7">
        <f t="shared" si="14"/>
        <v>2</v>
      </c>
      <c r="C935" s="7" t="str">
        <f>_xlfn.XLOOKUP(B935,catalogos!$A$2:$A$13,catalogos!$B$2:$B$13)</f>
        <v>February</v>
      </c>
      <c r="D935" t="s">
        <v>8</v>
      </c>
      <c r="E935" t="s">
        <v>11</v>
      </c>
      <c r="F935">
        <v>49</v>
      </c>
      <c r="G935">
        <v>389</v>
      </c>
      <c r="H935">
        <v>19061</v>
      </c>
    </row>
    <row r="936" spans="1:8" x14ac:dyDescent="0.35">
      <c r="A936" s="2">
        <v>45330</v>
      </c>
      <c r="B936" s="7">
        <f t="shared" si="14"/>
        <v>2</v>
      </c>
      <c r="C936" s="7" t="str">
        <f>_xlfn.XLOOKUP(B936,catalogos!$A$2:$A$13,catalogos!$B$2:$B$13)</f>
        <v>February</v>
      </c>
      <c r="D936" t="s">
        <v>9</v>
      </c>
      <c r="E936" t="s">
        <v>13</v>
      </c>
      <c r="F936">
        <v>20</v>
      </c>
      <c r="G936">
        <v>237</v>
      </c>
      <c r="H936">
        <v>4740</v>
      </c>
    </row>
    <row r="937" spans="1:8" x14ac:dyDescent="0.35">
      <c r="A937" s="2">
        <v>45330</v>
      </c>
      <c r="B937" s="7">
        <f t="shared" si="14"/>
        <v>2</v>
      </c>
      <c r="C937" s="7" t="str">
        <f>_xlfn.XLOOKUP(B937,catalogos!$A$2:$A$13,catalogos!$B$2:$B$13)</f>
        <v>February</v>
      </c>
      <c r="D937" t="s">
        <v>10</v>
      </c>
      <c r="E937" t="s">
        <v>12</v>
      </c>
      <c r="F937">
        <v>11</v>
      </c>
      <c r="G937">
        <v>469</v>
      </c>
      <c r="H937">
        <v>5159</v>
      </c>
    </row>
    <row r="938" spans="1:8" x14ac:dyDescent="0.35">
      <c r="A938" s="2">
        <v>45331</v>
      </c>
      <c r="B938" s="7">
        <f t="shared" si="14"/>
        <v>2</v>
      </c>
      <c r="C938" s="7" t="str">
        <f>_xlfn.XLOOKUP(B938,catalogos!$A$2:$A$13,catalogos!$B$2:$B$13)</f>
        <v>February</v>
      </c>
      <c r="D938" t="s">
        <v>7</v>
      </c>
      <c r="E938" t="s">
        <v>13</v>
      </c>
      <c r="F938">
        <v>53</v>
      </c>
      <c r="G938">
        <v>7</v>
      </c>
      <c r="H938">
        <v>371</v>
      </c>
    </row>
    <row r="939" spans="1:8" x14ac:dyDescent="0.35">
      <c r="A939" s="2">
        <v>45331</v>
      </c>
      <c r="B939" s="7">
        <f t="shared" si="14"/>
        <v>2</v>
      </c>
      <c r="C939" s="7" t="str">
        <f>_xlfn.XLOOKUP(B939,catalogos!$A$2:$A$13,catalogos!$B$2:$B$13)</f>
        <v>February</v>
      </c>
      <c r="D939" t="s">
        <v>10</v>
      </c>
      <c r="E939" t="s">
        <v>15</v>
      </c>
      <c r="F939">
        <v>68</v>
      </c>
      <c r="G939">
        <v>41</v>
      </c>
      <c r="H939">
        <v>2788</v>
      </c>
    </row>
    <row r="940" spans="1:8" x14ac:dyDescent="0.35">
      <c r="A940" s="2">
        <v>45331</v>
      </c>
      <c r="B940" s="7">
        <f t="shared" si="14"/>
        <v>2</v>
      </c>
      <c r="C940" s="7" t="str">
        <f>_xlfn.XLOOKUP(B940,catalogos!$A$2:$A$13,catalogos!$B$2:$B$13)</f>
        <v>February</v>
      </c>
      <c r="D940" t="s">
        <v>9</v>
      </c>
      <c r="E940" t="s">
        <v>11</v>
      </c>
      <c r="F940">
        <v>32</v>
      </c>
      <c r="G940">
        <v>300</v>
      </c>
      <c r="H940">
        <v>9600</v>
      </c>
    </row>
    <row r="941" spans="1:8" x14ac:dyDescent="0.35">
      <c r="A941" s="2">
        <v>45331</v>
      </c>
      <c r="B941" s="7">
        <f t="shared" si="14"/>
        <v>2</v>
      </c>
      <c r="C941" s="7" t="str">
        <f>_xlfn.XLOOKUP(B941,catalogos!$A$2:$A$13,catalogos!$B$2:$B$13)</f>
        <v>February</v>
      </c>
      <c r="D941" t="s">
        <v>7</v>
      </c>
      <c r="E941" t="s">
        <v>11</v>
      </c>
      <c r="F941">
        <v>87</v>
      </c>
      <c r="G941">
        <v>190</v>
      </c>
      <c r="H941">
        <v>16530</v>
      </c>
    </row>
    <row r="942" spans="1:8" x14ac:dyDescent="0.35">
      <c r="A942" s="2">
        <v>45331</v>
      </c>
      <c r="B942" s="7">
        <f t="shared" si="14"/>
        <v>2</v>
      </c>
      <c r="C942" s="7" t="str">
        <f>_xlfn.XLOOKUP(B942,catalogos!$A$2:$A$13,catalogos!$B$2:$B$13)</f>
        <v>February</v>
      </c>
      <c r="D942" t="s">
        <v>10</v>
      </c>
      <c r="E942" t="s">
        <v>15</v>
      </c>
      <c r="F942">
        <v>81</v>
      </c>
      <c r="G942">
        <v>116</v>
      </c>
      <c r="H942">
        <v>9396</v>
      </c>
    </row>
    <row r="943" spans="1:8" x14ac:dyDescent="0.35">
      <c r="A943" s="2">
        <v>45331</v>
      </c>
      <c r="B943" s="7">
        <f t="shared" si="14"/>
        <v>2</v>
      </c>
      <c r="C943" s="7" t="str">
        <f>_xlfn.XLOOKUP(B943,catalogos!$A$2:$A$13,catalogos!$B$2:$B$13)</f>
        <v>February</v>
      </c>
      <c r="D943" t="s">
        <v>6</v>
      </c>
      <c r="E943" t="s">
        <v>12</v>
      </c>
      <c r="F943">
        <v>36</v>
      </c>
      <c r="G943">
        <v>151</v>
      </c>
      <c r="H943">
        <v>5436</v>
      </c>
    </row>
    <row r="944" spans="1:8" x14ac:dyDescent="0.35">
      <c r="A944" s="2">
        <v>45331</v>
      </c>
      <c r="B944" s="7">
        <f t="shared" si="14"/>
        <v>2</v>
      </c>
      <c r="C944" s="7" t="str">
        <f>_xlfn.XLOOKUP(B944,catalogos!$A$2:$A$13,catalogos!$B$2:$B$13)</f>
        <v>February</v>
      </c>
      <c r="D944" t="s">
        <v>10</v>
      </c>
      <c r="E944" t="s">
        <v>14</v>
      </c>
      <c r="F944">
        <v>24</v>
      </c>
      <c r="G944">
        <v>476</v>
      </c>
      <c r="H944">
        <v>11424</v>
      </c>
    </row>
    <row r="945" spans="1:8" x14ac:dyDescent="0.35">
      <c r="A945" s="2">
        <v>45331</v>
      </c>
      <c r="B945" s="7">
        <f t="shared" si="14"/>
        <v>2</v>
      </c>
      <c r="C945" s="7" t="str">
        <f>_xlfn.XLOOKUP(B945,catalogos!$A$2:$A$13,catalogos!$B$2:$B$13)</f>
        <v>February</v>
      </c>
      <c r="D945" t="s">
        <v>9</v>
      </c>
      <c r="E945" t="s">
        <v>13</v>
      </c>
      <c r="F945">
        <v>35</v>
      </c>
      <c r="G945">
        <v>456</v>
      </c>
      <c r="H945">
        <v>15960</v>
      </c>
    </row>
    <row r="946" spans="1:8" x14ac:dyDescent="0.35">
      <c r="A946" s="2">
        <v>45331</v>
      </c>
      <c r="B946" s="7">
        <f t="shared" si="14"/>
        <v>2</v>
      </c>
      <c r="C946" s="7" t="str">
        <f>_xlfn.XLOOKUP(B946,catalogos!$A$2:$A$13,catalogos!$B$2:$B$13)</f>
        <v>February</v>
      </c>
      <c r="D946" t="s">
        <v>8</v>
      </c>
      <c r="E946" t="s">
        <v>14</v>
      </c>
      <c r="F946">
        <v>10</v>
      </c>
      <c r="G946">
        <v>383</v>
      </c>
      <c r="H946">
        <v>3830</v>
      </c>
    </row>
    <row r="947" spans="1:8" x14ac:dyDescent="0.35">
      <c r="A947" s="2">
        <v>45331</v>
      </c>
      <c r="B947" s="7">
        <f t="shared" si="14"/>
        <v>2</v>
      </c>
      <c r="C947" s="7" t="str">
        <f>_xlfn.XLOOKUP(B947,catalogos!$A$2:$A$13,catalogos!$B$2:$B$13)</f>
        <v>February</v>
      </c>
      <c r="D947" t="s">
        <v>10</v>
      </c>
      <c r="E947" t="s">
        <v>15</v>
      </c>
      <c r="F947">
        <v>78</v>
      </c>
      <c r="G947">
        <v>498</v>
      </c>
      <c r="H947">
        <v>38844</v>
      </c>
    </row>
    <row r="948" spans="1:8" x14ac:dyDescent="0.35">
      <c r="A948" s="2">
        <v>45331</v>
      </c>
      <c r="B948" s="7">
        <f t="shared" si="14"/>
        <v>2</v>
      </c>
      <c r="C948" s="7" t="str">
        <f>_xlfn.XLOOKUP(B948,catalogos!$A$2:$A$13,catalogos!$B$2:$B$13)</f>
        <v>February</v>
      </c>
      <c r="D948" t="s">
        <v>6</v>
      </c>
      <c r="E948" t="s">
        <v>14</v>
      </c>
      <c r="F948">
        <v>27</v>
      </c>
      <c r="G948">
        <v>414</v>
      </c>
      <c r="H948">
        <v>11178</v>
      </c>
    </row>
    <row r="949" spans="1:8" x14ac:dyDescent="0.35">
      <c r="A949" s="2">
        <v>45331</v>
      </c>
      <c r="B949" s="7">
        <f t="shared" si="14"/>
        <v>2</v>
      </c>
      <c r="C949" s="7" t="str">
        <f>_xlfn.XLOOKUP(B949,catalogos!$A$2:$A$13,catalogos!$B$2:$B$13)</f>
        <v>February</v>
      </c>
      <c r="D949" t="s">
        <v>10</v>
      </c>
      <c r="E949" t="s">
        <v>12</v>
      </c>
      <c r="F949">
        <v>99</v>
      </c>
      <c r="G949">
        <v>352</v>
      </c>
      <c r="H949">
        <v>34848</v>
      </c>
    </row>
    <row r="950" spans="1:8" x14ac:dyDescent="0.35">
      <c r="A950" s="2">
        <v>45331</v>
      </c>
      <c r="B950" s="7">
        <f t="shared" si="14"/>
        <v>2</v>
      </c>
      <c r="C950" s="7" t="str">
        <f>_xlfn.XLOOKUP(B950,catalogos!$A$2:$A$13,catalogos!$B$2:$B$13)</f>
        <v>February</v>
      </c>
      <c r="D950" t="s">
        <v>9</v>
      </c>
      <c r="E950" t="s">
        <v>15</v>
      </c>
      <c r="F950">
        <v>46</v>
      </c>
      <c r="G950">
        <v>337</v>
      </c>
      <c r="H950">
        <v>15502</v>
      </c>
    </row>
    <row r="951" spans="1:8" x14ac:dyDescent="0.35">
      <c r="A951" s="2">
        <v>45331</v>
      </c>
      <c r="B951" s="7">
        <f t="shared" si="14"/>
        <v>2</v>
      </c>
      <c r="C951" s="7" t="str">
        <f>_xlfn.XLOOKUP(B951,catalogos!$A$2:$A$13,catalogos!$B$2:$B$13)</f>
        <v>February</v>
      </c>
      <c r="D951" t="s">
        <v>10</v>
      </c>
      <c r="E951" t="s">
        <v>15</v>
      </c>
      <c r="F951">
        <v>10</v>
      </c>
      <c r="G951">
        <v>402</v>
      </c>
      <c r="H951">
        <v>4020</v>
      </c>
    </row>
    <row r="952" spans="1:8" x14ac:dyDescent="0.35">
      <c r="A952" s="2">
        <v>45331</v>
      </c>
      <c r="B952" s="7">
        <f t="shared" si="14"/>
        <v>2</v>
      </c>
      <c r="C952" s="7" t="str">
        <f>_xlfn.XLOOKUP(B952,catalogos!$A$2:$A$13,catalogos!$B$2:$B$13)</f>
        <v>February</v>
      </c>
      <c r="D952" t="s">
        <v>8</v>
      </c>
      <c r="E952" t="s">
        <v>12</v>
      </c>
      <c r="F952">
        <v>44</v>
      </c>
      <c r="G952">
        <v>419</v>
      </c>
      <c r="H952">
        <v>18436</v>
      </c>
    </row>
    <row r="953" spans="1:8" x14ac:dyDescent="0.35">
      <c r="A953" s="2">
        <v>45331</v>
      </c>
      <c r="B953" s="7">
        <f t="shared" si="14"/>
        <v>2</v>
      </c>
      <c r="C953" s="7" t="str">
        <f>_xlfn.XLOOKUP(B953,catalogos!$A$2:$A$13,catalogos!$B$2:$B$13)</f>
        <v>February</v>
      </c>
      <c r="D953" t="s">
        <v>9</v>
      </c>
      <c r="E953" t="s">
        <v>13</v>
      </c>
      <c r="F953">
        <v>87</v>
      </c>
      <c r="G953">
        <v>423</v>
      </c>
      <c r="H953">
        <v>36801</v>
      </c>
    </row>
    <row r="954" spans="1:8" x14ac:dyDescent="0.35">
      <c r="A954" s="2">
        <v>45331</v>
      </c>
      <c r="B954" s="7">
        <f t="shared" si="14"/>
        <v>2</v>
      </c>
      <c r="C954" s="7" t="str">
        <f>_xlfn.XLOOKUP(B954,catalogos!$A$2:$A$13,catalogos!$B$2:$B$13)</f>
        <v>February</v>
      </c>
      <c r="D954" t="s">
        <v>7</v>
      </c>
      <c r="E954" t="s">
        <v>14</v>
      </c>
      <c r="F954">
        <v>7</v>
      </c>
      <c r="G954">
        <v>93</v>
      </c>
      <c r="H954">
        <v>651</v>
      </c>
    </row>
    <row r="955" spans="1:8" x14ac:dyDescent="0.35">
      <c r="A955" s="2">
        <v>45331</v>
      </c>
      <c r="B955" s="7">
        <f t="shared" si="14"/>
        <v>2</v>
      </c>
      <c r="C955" s="7" t="str">
        <f>_xlfn.XLOOKUP(B955,catalogos!$A$2:$A$13,catalogos!$B$2:$B$13)</f>
        <v>February</v>
      </c>
      <c r="D955" t="s">
        <v>8</v>
      </c>
      <c r="E955" t="s">
        <v>14</v>
      </c>
      <c r="F955">
        <v>97</v>
      </c>
      <c r="G955">
        <v>287</v>
      </c>
      <c r="H955">
        <v>27839</v>
      </c>
    </row>
    <row r="956" spans="1:8" x14ac:dyDescent="0.35">
      <c r="A956" s="2">
        <v>45331</v>
      </c>
      <c r="B956" s="7">
        <f t="shared" si="14"/>
        <v>2</v>
      </c>
      <c r="C956" s="7" t="str">
        <f>_xlfn.XLOOKUP(B956,catalogos!$A$2:$A$13,catalogos!$B$2:$B$13)</f>
        <v>February</v>
      </c>
      <c r="D956" t="s">
        <v>8</v>
      </c>
      <c r="E956" t="s">
        <v>12</v>
      </c>
      <c r="F956">
        <v>91</v>
      </c>
      <c r="G956">
        <v>97</v>
      </c>
      <c r="H956">
        <v>8827</v>
      </c>
    </row>
    <row r="957" spans="1:8" x14ac:dyDescent="0.35">
      <c r="A957" s="2">
        <v>45331</v>
      </c>
      <c r="B957" s="7">
        <f t="shared" si="14"/>
        <v>2</v>
      </c>
      <c r="C957" s="7" t="str">
        <f>_xlfn.XLOOKUP(B957,catalogos!$A$2:$A$13,catalogos!$B$2:$B$13)</f>
        <v>February</v>
      </c>
      <c r="D957" t="s">
        <v>6</v>
      </c>
      <c r="E957" t="s">
        <v>12</v>
      </c>
      <c r="F957">
        <v>94</v>
      </c>
      <c r="G957">
        <v>379</v>
      </c>
      <c r="H957">
        <v>35626</v>
      </c>
    </row>
    <row r="958" spans="1:8" x14ac:dyDescent="0.35">
      <c r="A958" s="2">
        <v>45331</v>
      </c>
      <c r="B958" s="7">
        <f t="shared" si="14"/>
        <v>2</v>
      </c>
      <c r="C958" s="7" t="str">
        <f>_xlfn.XLOOKUP(B958,catalogos!$A$2:$A$13,catalogos!$B$2:$B$13)</f>
        <v>February</v>
      </c>
      <c r="D958" t="s">
        <v>8</v>
      </c>
      <c r="E958" t="s">
        <v>13</v>
      </c>
      <c r="F958">
        <v>11</v>
      </c>
      <c r="G958">
        <v>193</v>
      </c>
      <c r="H958">
        <v>2123</v>
      </c>
    </row>
    <row r="959" spans="1:8" x14ac:dyDescent="0.35">
      <c r="A959" s="2">
        <v>45331</v>
      </c>
      <c r="B959" s="7">
        <f t="shared" si="14"/>
        <v>2</v>
      </c>
      <c r="C959" s="7" t="str">
        <f>_xlfn.XLOOKUP(B959,catalogos!$A$2:$A$13,catalogos!$B$2:$B$13)</f>
        <v>February</v>
      </c>
      <c r="D959" t="s">
        <v>8</v>
      </c>
      <c r="E959" t="s">
        <v>14</v>
      </c>
      <c r="F959">
        <v>47</v>
      </c>
      <c r="G959">
        <v>309</v>
      </c>
      <c r="H959">
        <v>14523</v>
      </c>
    </row>
    <row r="960" spans="1:8" x14ac:dyDescent="0.35">
      <c r="A960" s="2">
        <v>45331</v>
      </c>
      <c r="B960" s="7">
        <f t="shared" si="14"/>
        <v>2</v>
      </c>
      <c r="C960" s="7" t="str">
        <f>_xlfn.XLOOKUP(B960,catalogos!$A$2:$A$13,catalogos!$B$2:$B$13)</f>
        <v>February</v>
      </c>
      <c r="D960" t="s">
        <v>6</v>
      </c>
      <c r="E960" t="s">
        <v>15</v>
      </c>
      <c r="F960">
        <v>15</v>
      </c>
      <c r="G960">
        <v>93</v>
      </c>
      <c r="H960">
        <v>1395</v>
      </c>
    </row>
    <row r="961" spans="1:8" x14ac:dyDescent="0.35">
      <c r="A961" s="2">
        <v>45331</v>
      </c>
      <c r="B961" s="7">
        <f t="shared" si="14"/>
        <v>2</v>
      </c>
      <c r="C961" s="7" t="str">
        <f>_xlfn.XLOOKUP(B961,catalogos!$A$2:$A$13,catalogos!$B$2:$B$13)</f>
        <v>February</v>
      </c>
      <c r="D961" t="s">
        <v>6</v>
      </c>
      <c r="E961" t="s">
        <v>15</v>
      </c>
      <c r="F961">
        <v>62</v>
      </c>
      <c r="G961">
        <v>420</v>
      </c>
      <c r="H961">
        <v>26040</v>
      </c>
    </row>
    <row r="962" spans="1:8" x14ac:dyDescent="0.35">
      <c r="A962" s="2">
        <v>45332</v>
      </c>
      <c r="B962" s="7">
        <f t="shared" si="14"/>
        <v>2</v>
      </c>
      <c r="C962" s="7" t="str">
        <f>_xlfn.XLOOKUP(B962,catalogos!$A$2:$A$13,catalogos!$B$2:$B$13)</f>
        <v>February</v>
      </c>
      <c r="D962" t="s">
        <v>6</v>
      </c>
      <c r="E962" t="s">
        <v>14</v>
      </c>
      <c r="F962">
        <v>99</v>
      </c>
      <c r="G962">
        <v>497</v>
      </c>
      <c r="H962">
        <v>49203</v>
      </c>
    </row>
    <row r="963" spans="1:8" x14ac:dyDescent="0.35">
      <c r="A963" s="2">
        <v>45332</v>
      </c>
      <c r="B963" s="7">
        <f t="shared" ref="B963:B1026" si="15">MONTH(A963)</f>
        <v>2</v>
      </c>
      <c r="C963" s="7" t="str">
        <f>_xlfn.XLOOKUP(B963,catalogos!$A$2:$A$13,catalogos!$B$2:$B$13)</f>
        <v>February</v>
      </c>
      <c r="D963" t="s">
        <v>10</v>
      </c>
      <c r="E963" t="s">
        <v>13</v>
      </c>
      <c r="F963">
        <v>83</v>
      </c>
      <c r="G963">
        <v>340</v>
      </c>
      <c r="H963">
        <v>28220</v>
      </c>
    </row>
    <row r="964" spans="1:8" x14ac:dyDescent="0.35">
      <c r="A964" s="2">
        <v>45332</v>
      </c>
      <c r="B964" s="7">
        <f t="shared" si="15"/>
        <v>2</v>
      </c>
      <c r="C964" s="7" t="str">
        <f>_xlfn.XLOOKUP(B964,catalogos!$A$2:$A$13,catalogos!$B$2:$B$13)</f>
        <v>February</v>
      </c>
      <c r="D964" t="s">
        <v>10</v>
      </c>
      <c r="E964" t="s">
        <v>15</v>
      </c>
      <c r="F964">
        <v>24</v>
      </c>
      <c r="G964">
        <v>211</v>
      </c>
      <c r="H964">
        <v>5064</v>
      </c>
    </row>
    <row r="965" spans="1:8" x14ac:dyDescent="0.35">
      <c r="A965" s="2">
        <v>45332</v>
      </c>
      <c r="B965" s="7">
        <f t="shared" si="15"/>
        <v>2</v>
      </c>
      <c r="C965" s="7" t="str">
        <f>_xlfn.XLOOKUP(B965,catalogos!$A$2:$A$13,catalogos!$B$2:$B$13)</f>
        <v>February</v>
      </c>
      <c r="D965" t="s">
        <v>10</v>
      </c>
      <c r="E965" t="s">
        <v>13</v>
      </c>
      <c r="F965">
        <v>75</v>
      </c>
      <c r="G965">
        <v>494</v>
      </c>
      <c r="H965">
        <v>37050</v>
      </c>
    </row>
    <row r="966" spans="1:8" x14ac:dyDescent="0.35">
      <c r="A966" s="2">
        <v>45332</v>
      </c>
      <c r="B966" s="7">
        <f t="shared" si="15"/>
        <v>2</v>
      </c>
      <c r="C966" s="7" t="str">
        <f>_xlfn.XLOOKUP(B966,catalogos!$A$2:$A$13,catalogos!$B$2:$B$13)</f>
        <v>February</v>
      </c>
      <c r="D966" t="s">
        <v>8</v>
      </c>
      <c r="E966" t="s">
        <v>15</v>
      </c>
      <c r="F966">
        <v>74</v>
      </c>
      <c r="G966">
        <v>446</v>
      </c>
      <c r="H966">
        <v>33004</v>
      </c>
    </row>
    <row r="967" spans="1:8" x14ac:dyDescent="0.35">
      <c r="A967" s="2">
        <v>45332</v>
      </c>
      <c r="B967" s="7">
        <f t="shared" si="15"/>
        <v>2</v>
      </c>
      <c r="C967" s="7" t="str">
        <f>_xlfn.XLOOKUP(B967,catalogos!$A$2:$A$13,catalogos!$B$2:$B$13)</f>
        <v>February</v>
      </c>
      <c r="D967" t="s">
        <v>8</v>
      </c>
      <c r="E967" t="s">
        <v>12</v>
      </c>
      <c r="F967">
        <v>49</v>
      </c>
      <c r="G967">
        <v>122</v>
      </c>
      <c r="H967">
        <v>5978</v>
      </c>
    </row>
    <row r="968" spans="1:8" x14ac:dyDescent="0.35">
      <c r="A968" s="2">
        <v>45332</v>
      </c>
      <c r="B968" s="7">
        <f t="shared" si="15"/>
        <v>2</v>
      </c>
      <c r="C968" s="7" t="str">
        <f>_xlfn.XLOOKUP(B968,catalogos!$A$2:$A$13,catalogos!$B$2:$B$13)</f>
        <v>February</v>
      </c>
      <c r="D968" t="s">
        <v>9</v>
      </c>
      <c r="E968" t="s">
        <v>11</v>
      </c>
      <c r="F968">
        <v>56</v>
      </c>
      <c r="G968">
        <v>142</v>
      </c>
      <c r="H968">
        <v>7952</v>
      </c>
    </row>
    <row r="969" spans="1:8" x14ac:dyDescent="0.35">
      <c r="A969" s="2">
        <v>45332</v>
      </c>
      <c r="B969" s="7">
        <f t="shared" si="15"/>
        <v>2</v>
      </c>
      <c r="C969" s="7" t="str">
        <f>_xlfn.XLOOKUP(B969,catalogos!$A$2:$A$13,catalogos!$B$2:$B$13)</f>
        <v>February</v>
      </c>
      <c r="D969" t="s">
        <v>7</v>
      </c>
      <c r="E969" t="s">
        <v>15</v>
      </c>
      <c r="F969">
        <v>85</v>
      </c>
      <c r="G969">
        <v>121</v>
      </c>
      <c r="H969">
        <v>10285</v>
      </c>
    </row>
    <row r="970" spans="1:8" x14ac:dyDescent="0.35">
      <c r="A970" s="2">
        <v>45332</v>
      </c>
      <c r="B970" s="7">
        <f t="shared" si="15"/>
        <v>2</v>
      </c>
      <c r="C970" s="7" t="str">
        <f>_xlfn.XLOOKUP(B970,catalogos!$A$2:$A$13,catalogos!$B$2:$B$13)</f>
        <v>February</v>
      </c>
      <c r="D970" t="s">
        <v>10</v>
      </c>
      <c r="E970" t="s">
        <v>11</v>
      </c>
      <c r="F970">
        <v>20</v>
      </c>
      <c r="G970">
        <v>410</v>
      </c>
      <c r="H970">
        <v>8200</v>
      </c>
    </row>
    <row r="971" spans="1:8" x14ac:dyDescent="0.35">
      <c r="A971" s="2">
        <v>45332</v>
      </c>
      <c r="B971" s="7">
        <f t="shared" si="15"/>
        <v>2</v>
      </c>
      <c r="C971" s="7" t="str">
        <f>_xlfn.XLOOKUP(B971,catalogos!$A$2:$A$13,catalogos!$B$2:$B$13)</f>
        <v>February</v>
      </c>
      <c r="D971" t="s">
        <v>8</v>
      </c>
      <c r="E971" t="s">
        <v>12</v>
      </c>
      <c r="F971">
        <v>50</v>
      </c>
      <c r="G971">
        <v>333</v>
      </c>
      <c r="H971">
        <v>16650</v>
      </c>
    </row>
    <row r="972" spans="1:8" x14ac:dyDescent="0.35">
      <c r="A972" s="2">
        <v>45332</v>
      </c>
      <c r="B972" s="7">
        <f t="shared" si="15"/>
        <v>2</v>
      </c>
      <c r="C972" s="7" t="str">
        <f>_xlfn.XLOOKUP(B972,catalogos!$A$2:$A$13,catalogos!$B$2:$B$13)</f>
        <v>February</v>
      </c>
      <c r="D972" t="s">
        <v>6</v>
      </c>
      <c r="E972" t="s">
        <v>15</v>
      </c>
      <c r="F972">
        <v>53</v>
      </c>
      <c r="G972">
        <v>46</v>
      </c>
      <c r="H972">
        <v>2438</v>
      </c>
    </row>
    <row r="973" spans="1:8" x14ac:dyDescent="0.35">
      <c r="A973" s="2">
        <v>45332</v>
      </c>
      <c r="B973" s="7">
        <f t="shared" si="15"/>
        <v>2</v>
      </c>
      <c r="C973" s="7" t="str">
        <f>_xlfn.XLOOKUP(B973,catalogos!$A$2:$A$13,catalogos!$B$2:$B$13)</f>
        <v>February</v>
      </c>
      <c r="D973" t="s">
        <v>10</v>
      </c>
      <c r="E973" t="s">
        <v>11</v>
      </c>
      <c r="F973">
        <v>66</v>
      </c>
      <c r="G973">
        <v>232</v>
      </c>
      <c r="H973">
        <v>15312</v>
      </c>
    </row>
    <row r="974" spans="1:8" x14ac:dyDescent="0.35">
      <c r="A974" s="2">
        <v>45332</v>
      </c>
      <c r="B974" s="7">
        <f t="shared" si="15"/>
        <v>2</v>
      </c>
      <c r="C974" s="7" t="str">
        <f>_xlfn.XLOOKUP(B974,catalogos!$A$2:$A$13,catalogos!$B$2:$B$13)</f>
        <v>February</v>
      </c>
      <c r="D974" t="s">
        <v>8</v>
      </c>
      <c r="E974" t="s">
        <v>11</v>
      </c>
      <c r="F974">
        <v>33</v>
      </c>
      <c r="G974">
        <v>259</v>
      </c>
      <c r="H974">
        <v>8547</v>
      </c>
    </row>
    <row r="975" spans="1:8" x14ac:dyDescent="0.35">
      <c r="A975" s="2">
        <v>45332</v>
      </c>
      <c r="B975" s="7">
        <f t="shared" si="15"/>
        <v>2</v>
      </c>
      <c r="C975" s="7" t="str">
        <f>_xlfn.XLOOKUP(B975,catalogos!$A$2:$A$13,catalogos!$B$2:$B$13)</f>
        <v>February</v>
      </c>
      <c r="D975" t="s">
        <v>6</v>
      </c>
      <c r="E975" t="s">
        <v>15</v>
      </c>
      <c r="F975">
        <v>73</v>
      </c>
      <c r="G975">
        <v>292</v>
      </c>
      <c r="H975">
        <v>21316</v>
      </c>
    </row>
    <row r="976" spans="1:8" x14ac:dyDescent="0.35">
      <c r="A976" s="2">
        <v>45332</v>
      </c>
      <c r="B976" s="7">
        <f t="shared" si="15"/>
        <v>2</v>
      </c>
      <c r="C976" s="7" t="str">
        <f>_xlfn.XLOOKUP(B976,catalogos!$A$2:$A$13,catalogos!$B$2:$B$13)</f>
        <v>February</v>
      </c>
      <c r="D976" t="s">
        <v>6</v>
      </c>
      <c r="E976" t="s">
        <v>12</v>
      </c>
      <c r="F976">
        <v>21</v>
      </c>
      <c r="G976">
        <v>240</v>
      </c>
      <c r="H976">
        <v>5040</v>
      </c>
    </row>
    <row r="977" spans="1:8" x14ac:dyDescent="0.35">
      <c r="A977" s="2">
        <v>45332</v>
      </c>
      <c r="B977" s="7">
        <f t="shared" si="15"/>
        <v>2</v>
      </c>
      <c r="C977" s="7" t="str">
        <f>_xlfn.XLOOKUP(B977,catalogos!$A$2:$A$13,catalogos!$B$2:$B$13)</f>
        <v>February</v>
      </c>
      <c r="D977" t="s">
        <v>6</v>
      </c>
      <c r="E977" t="s">
        <v>15</v>
      </c>
      <c r="F977">
        <v>76</v>
      </c>
      <c r="G977">
        <v>466</v>
      </c>
      <c r="H977">
        <v>35416</v>
      </c>
    </row>
    <row r="978" spans="1:8" x14ac:dyDescent="0.35">
      <c r="A978" s="2">
        <v>45332</v>
      </c>
      <c r="B978" s="7">
        <f t="shared" si="15"/>
        <v>2</v>
      </c>
      <c r="C978" s="7" t="str">
        <f>_xlfn.XLOOKUP(B978,catalogos!$A$2:$A$13,catalogos!$B$2:$B$13)</f>
        <v>February</v>
      </c>
      <c r="D978" t="s">
        <v>8</v>
      </c>
      <c r="E978" t="s">
        <v>12</v>
      </c>
      <c r="F978">
        <v>74</v>
      </c>
      <c r="G978">
        <v>175</v>
      </c>
      <c r="H978">
        <v>12950</v>
      </c>
    </row>
    <row r="979" spans="1:8" x14ac:dyDescent="0.35">
      <c r="A979" s="2">
        <v>45332</v>
      </c>
      <c r="B979" s="7">
        <f t="shared" si="15"/>
        <v>2</v>
      </c>
      <c r="C979" s="7" t="str">
        <f>_xlfn.XLOOKUP(B979,catalogos!$A$2:$A$13,catalogos!$B$2:$B$13)</f>
        <v>February</v>
      </c>
      <c r="D979" t="s">
        <v>10</v>
      </c>
      <c r="E979" t="s">
        <v>12</v>
      </c>
      <c r="F979">
        <v>5</v>
      </c>
      <c r="G979">
        <v>52</v>
      </c>
      <c r="H979">
        <v>260</v>
      </c>
    </row>
    <row r="980" spans="1:8" x14ac:dyDescent="0.35">
      <c r="A980" s="2">
        <v>45332</v>
      </c>
      <c r="B980" s="7">
        <f t="shared" si="15"/>
        <v>2</v>
      </c>
      <c r="C980" s="7" t="str">
        <f>_xlfn.XLOOKUP(B980,catalogos!$A$2:$A$13,catalogos!$B$2:$B$13)</f>
        <v>February</v>
      </c>
      <c r="D980" t="s">
        <v>10</v>
      </c>
      <c r="E980" t="s">
        <v>14</v>
      </c>
      <c r="F980">
        <v>73</v>
      </c>
      <c r="G980">
        <v>482</v>
      </c>
      <c r="H980">
        <v>35186</v>
      </c>
    </row>
    <row r="981" spans="1:8" x14ac:dyDescent="0.35">
      <c r="A981" s="2">
        <v>45332</v>
      </c>
      <c r="B981" s="7">
        <f t="shared" si="15"/>
        <v>2</v>
      </c>
      <c r="C981" s="7" t="str">
        <f>_xlfn.XLOOKUP(B981,catalogos!$A$2:$A$13,catalogos!$B$2:$B$13)</f>
        <v>February</v>
      </c>
      <c r="D981" t="s">
        <v>9</v>
      </c>
      <c r="E981" t="s">
        <v>12</v>
      </c>
      <c r="F981">
        <v>32</v>
      </c>
      <c r="G981">
        <v>173</v>
      </c>
      <c r="H981">
        <v>5536</v>
      </c>
    </row>
    <row r="982" spans="1:8" x14ac:dyDescent="0.35">
      <c r="A982" s="2">
        <v>45332</v>
      </c>
      <c r="B982" s="7">
        <f t="shared" si="15"/>
        <v>2</v>
      </c>
      <c r="C982" s="7" t="str">
        <f>_xlfn.XLOOKUP(B982,catalogos!$A$2:$A$13,catalogos!$B$2:$B$13)</f>
        <v>February</v>
      </c>
      <c r="D982" t="s">
        <v>6</v>
      </c>
      <c r="E982" t="s">
        <v>11</v>
      </c>
      <c r="F982">
        <v>16</v>
      </c>
      <c r="G982">
        <v>496</v>
      </c>
      <c r="H982">
        <v>7936</v>
      </c>
    </row>
    <row r="983" spans="1:8" x14ac:dyDescent="0.35">
      <c r="A983" s="2">
        <v>45332</v>
      </c>
      <c r="B983" s="7">
        <f t="shared" si="15"/>
        <v>2</v>
      </c>
      <c r="C983" s="7" t="str">
        <f>_xlfn.XLOOKUP(B983,catalogos!$A$2:$A$13,catalogos!$B$2:$B$13)</f>
        <v>February</v>
      </c>
      <c r="D983" t="s">
        <v>10</v>
      </c>
      <c r="E983" t="s">
        <v>11</v>
      </c>
      <c r="F983">
        <v>36</v>
      </c>
      <c r="G983">
        <v>174</v>
      </c>
      <c r="H983">
        <v>6264</v>
      </c>
    </row>
    <row r="984" spans="1:8" x14ac:dyDescent="0.35">
      <c r="A984" s="2">
        <v>45332</v>
      </c>
      <c r="B984" s="7">
        <f t="shared" si="15"/>
        <v>2</v>
      </c>
      <c r="C984" s="7" t="str">
        <f>_xlfn.XLOOKUP(B984,catalogos!$A$2:$A$13,catalogos!$B$2:$B$13)</f>
        <v>February</v>
      </c>
      <c r="D984" t="s">
        <v>9</v>
      </c>
      <c r="E984" t="s">
        <v>11</v>
      </c>
      <c r="F984">
        <v>92</v>
      </c>
      <c r="G984">
        <v>221</v>
      </c>
      <c r="H984">
        <v>20332</v>
      </c>
    </row>
    <row r="985" spans="1:8" x14ac:dyDescent="0.35">
      <c r="A985" s="2">
        <v>45332</v>
      </c>
      <c r="B985" s="7">
        <f t="shared" si="15"/>
        <v>2</v>
      </c>
      <c r="C985" s="7" t="str">
        <f>_xlfn.XLOOKUP(B985,catalogos!$A$2:$A$13,catalogos!$B$2:$B$13)</f>
        <v>February</v>
      </c>
      <c r="D985" t="s">
        <v>10</v>
      </c>
      <c r="E985" t="s">
        <v>13</v>
      </c>
      <c r="F985">
        <v>32</v>
      </c>
      <c r="G985">
        <v>265</v>
      </c>
      <c r="H985">
        <v>8480</v>
      </c>
    </row>
    <row r="986" spans="1:8" x14ac:dyDescent="0.35">
      <c r="A986" s="2">
        <v>45333</v>
      </c>
      <c r="B986" s="7">
        <f t="shared" si="15"/>
        <v>2</v>
      </c>
      <c r="C986" s="7" t="str">
        <f>_xlfn.XLOOKUP(B986,catalogos!$A$2:$A$13,catalogos!$B$2:$B$13)</f>
        <v>February</v>
      </c>
      <c r="D986" t="s">
        <v>10</v>
      </c>
      <c r="E986" t="s">
        <v>12</v>
      </c>
      <c r="F986">
        <v>94</v>
      </c>
      <c r="G986">
        <v>127</v>
      </c>
      <c r="H986">
        <v>11938</v>
      </c>
    </row>
    <row r="987" spans="1:8" x14ac:dyDescent="0.35">
      <c r="A987" s="2">
        <v>45333</v>
      </c>
      <c r="B987" s="7">
        <f t="shared" si="15"/>
        <v>2</v>
      </c>
      <c r="C987" s="7" t="str">
        <f>_xlfn.XLOOKUP(B987,catalogos!$A$2:$A$13,catalogos!$B$2:$B$13)</f>
        <v>February</v>
      </c>
      <c r="D987" t="s">
        <v>9</v>
      </c>
      <c r="E987" t="s">
        <v>13</v>
      </c>
      <c r="F987">
        <v>10</v>
      </c>
      <c r="G987">
        <v>244</v>
      </c>
      <c r="H987">
        <v>2440</v>
      </c>
    </row>
    <row r="988" spans="1:8" x14ac:dyDescent="0.35">
      <c r="A988" s="2">
        <v>45333</v>
      </c>
      <c r="B988" s="7">
        <f t="shared" si="15"/>
        <v>2</v>
      </c>
      <c r="C988" s="7" t="str">
        <f>_xlfn.XLOOKUP(B988,catalogos!$A$2:$A$13,catalogos!$B$2:$B$13)</f>
        <v>February</v>
      </c>
      <c r="D988" t="s">
        <v>7</v>
      </c>
      <c r="E988" t="s">
        <v>11</v>
      </c>
      <c r="F988">
        <v>43</v>
      </c>
      <c r="G988">
        <v>180</v>
      </c>
      <c r="H988">
        <v>7740</v>
      </c>
    </row>
    <row r="989" spans="1:8" x14ac:dyDescent="0.35">
      <c r="A989" s="2">
        <v>45333</v>
      </c>
      <c r="B989" s="7">
        <f t="shared" si="15"/>
        <v>2</v>
      </c>
      <c r="C989" s="7" t="str">
        <f>_xlfn.XLOOKUP(B989,catalogos!$A$2:$A$13,catalogos!$B$2:$B$13)</f>
        <v>February</v>
      </c>
      <c r="D989" t="s">
        <v>10</v>
      </c>
      <c r="E989" t="s">
        <v>15</v>
      </c>
      <c r="F989">
        <v>74</v>
      </c>
      <c r="G989">
        <v>217</v>
      </c>
      <c r="H989">
        <v>16058</v>
      </c>
    </row>
    <row r="990" spans="1:8" x14ac:dyDescent="0.35">
      <c r="A990" s="2">
        <v>45333</v>
      </c>
      <c r="B990" s="7">
        <f t="shared" si="15"/>
        <v>2</v>
      </c>
      <c r="C990" s="7" t="str">
        <f>_xlfn.XLOOKUP(B990,catalogos!$A$2:$A$13,catalogos!$B$2:$B$13)</f>
        <v>February</v>
      </c>
      <c r="D990" t="s">
        <v>7</v>
      </c>
      <c r="E990" t="s">
        <v>12</v>
      </c>
      <c r="F990">
        <v>71</v>
      </c>
      <c r="G990">
        <v>410</v>
      </c>
      <c r="H990">
        <v>29110</v>
      </c>
    </row>
    <row r="991" spans="1:8" x14ac:dyDescent="0.35">
      <c r="A991" s="2">
        <v>45333</v>
      </c>
      <c r="B991" s="7">
        <f t="shared" si="15"/>
        <v>2</v>
      </c>
      <c r="C991" s="7" t="str">
        <f>_xlfn.XLOOKUP(B991,catalogos!$A$2:$A$13,catalogos!$B$2:$B$13)</f>
        <v>February</v>
      </c>
      <c r="D991" t="s">
        <v>10</v>
      </c>
      <c r="E991" t="s">
        <v>15</v>
      </c>
      <c r="F991">
        <v>84</v>
      </c>
      <c r="G991">
        <v>238</v>
      </c>
      <c r="H991">
        <v>19992</v>
      </c>
    </row>
    <row r="992" spans="1:8" x14ac:dyDescent="0.35">
      <c r="A992" s="2">
        <v>45333</v>
      </c>
      <c r="B992" s="7">
        <f t="shared" si="15"/>
        <v>2</v>
      </c>
      <c r="C992" s="7" t="str">
        <f>_xlfn.XLOOKUP(B992,catalogos!$A$2:$A$13,catalogos!$B$2:$B$13)</f>
        <v>February</v>
      </c>
      <c r="D992" t="s">
        <v>10</v>
      </c>
      <c r="E992" t="s">
        <v>14</v>
      </c>
      <c r="F992">
        <v>93</v>
      </c>
      <c r="G992">
        <v>366</v>
      </c>
      <c r="H992">
        <v>34038</v>
      </c>
    </row>
    <row r="993" spans="1:8" x14ac:dyDescent="0.35">
      <c r="A993" s="2">
        <v>45333</v>
      </c>
      <c r="B993" s="7">
        <f t="shared" si="15"/>
        <v>2</v>
      </c>
      <c r="C993" s="7" t="str">
        <f>_xlfn.XLOOKUP(B993,catalogos!$A$2:$A$13,catalogos!$B$2:$B$13)</f>
        <v>February</v>
      </c>
      <c r="D993" t="s">
        <v>10</v>
      </c>
      <c r="E993" t="s">
        <v>11</v>
      </c>
      <c r="F993">
        <v>28</v>
      </c>
      <c r="G993">
        <v>76</v>
      </c>
      <c r="H993">
        <v>2128</v>
      </c>
    </row>
    <row r="994" spans="1:8" x14ac:dyDescent="0.35">
      <c r="A994" s="2">
        <v>45333</v>
      </c>
      <c r="B994" s="7">
        <f t="shared" si="15"/>
        <v>2</v>
      </c>
      <c r="C994" s="7" t="str">
        <f>_xlfn.XLOOKUP(B994,catalogos!$A$2:$A$13,catalogos!$B$2:$B$13)</f>
        <v>February</v>
      </c>
      <c r="D994" t="s">
        <v>9</v>
      </c>
      <c r="E994" t="s">
        <v>13</v>
      </c>
      <c r="F994">
        <v>33</v>
      </c>
      <c r="G994">
        <v>446</v>
      </c>
      <c r="H994">
        <v>14718</v>
      </c>
    </row>
    <row r="995" spans="1:8" x14ac:dyDescent="0.35">
      <c r="A995" s="2">
        <v>45333</v>
      </c>
      <c r="B995" s="7">
        <f t="shared" si="15"/>
        <v>2</v>
      </c>
      <c r="C995" s="7" t="str">
        <f>_xlfn.XLOOKUP(B995,catalogos!$A$2:$A$13,catalogos!$B$2:$B$13)</f>
        <v>February</v>
      </c>
      <c r="D995" t="s">
        <v>7</v>
      </c>
      <c r="E995" t="s">
        <v>14</v>
      </c>
      <c r="F995">
        <v>58</v>
      </c>
      <c r="G995">
        <v>328</v>
      </c>
      <c r="H995">
        <v>19024</v>
      </c>
    </row>
    <row r="996" spans="1:8" x14ac:dyDescent="0.35">
      <c r="A996" s="2">
        <v>45333</v>
      </c>
      <c r="B996" s="7">
        <f t="shared" si="15"/>
        <v>2</v>
      </c>
      <c r="C996" s="7" t="str">
        <f>_xlfn.XLOOKUP(B996,catalogos!$A$2:$A$13,catalogos!$B$2:$B$13)</f>
        <v>February</v>
      </c>
      <c r="D996" t="s">
        <v>8</v>
      </c>
      <c r="E996" t="s">
        <v>14</v>
      </c>
      <c r="F996">
        <v>81</v>
      </c>
      <c r="G996">
        <v>330</v>
      </c>
      <c r="H996">
        <v>26730</v>
      </c>
    </row>
    <row r="997" spans="1:8" x14ac:dyDescent="0.35">
      <c r="A997" s="2">
        <v>45333</v>
      </c>
      <c r="B997" s="7">
        <f t="shared" si="15"/>
        <v>2</v>
      </c>
      <c r="C997" s="7" t="str">
        <f>_xlfn.XLOOKUP(B997,catalogos!$A$2:$A$13,catalogos!$B$2:$B$13)</f>
        <v>February</v>
      </c>
      <c r="D997" t="s">
        <v>7</v>
      </c>
      <c r="E997" t="s">
        <v>13</v>
      </c>
      <c r="F997">
        <v>47</v>
      </c>
      <c r="G997">
        <v>188</v>
      </c>
      <c r="H997">
        <v>8836</v>
      </c>
    </row>
    <row r="998" spans="1:8" x14ac:dyDescent="0.35">
      <c r="A998" s="2">
        <v>45333</v>
      </c>
      <c r="B998" s="7">
        <f t="shared" si="15"/>
        <v>2</v>
      </c>
      <c r="C998" s="7" t="str">
        <f>_xlfn.XLOOKUP(B998,catalogos!$A$2:$A$13,catalogos!$B$2:$B$13)</f>
        <v>February</v>
      </c>
      <c r="D998" t="s">
        <v>8</v>
      </c>
      <c r="E998" t="s">
        <v>15</v>
      </c>
      <c r="F998">
        <v>22</v>
      </c>
      <c r="G998">
        <v>371</v>
      </c>
      <c r="H998">
        <v>8162</v>
      </c>
    </row>
    <row r="999" spans="1:8" x14ac:dyDescent="0.35">
      <c r="A999" s="2">
        <v>45333</v>
      </c>
      <c r="B999" s="7">
        <f t="shared" si="15"/>
        <v>2</v>
      </c>
      <c r="C999" s="7" t="str">
        <f>_xlfn.XLOOKUP(B999,catalogos!$A$2:$A$13,catalogos!$B$2:$B$13)</f>
        <v>February</v>
      </c>
      <c r="D999" t="s">
        <v>9</v>
      </c>
      <c r="E999" t="s">
        <v>15</v>
      </c>
      <c r="F999">
        <v>72</v>
      </c>
      <c r="G999">
        <v>111</v>
      </c>
      <c r="H999">
        <v>7992</v>
      </c>
    </row>
    <row r="1000" spans="1:8" x14ac:dyDescent="0.35">
      <c r="A1000" s="2">
        <v>45333</v>
      </c>
      <c r="B1000" s="7">
        <f t="shared" si="15"/>
        <v>2</v>
      </c>
      <c r="C1000" s="7" t="str">
        <f>_xlfn.XLOOKUP(B1000,catalogos!$A$2:$A$13,catalogos!$B$2:$B$13)</f>
        <v>February</v>
      </c>
      <c r="D1000" t="s">
        <v>10</v>
      </c>
      <c r="E1000" t="s">
        <v>15</v>
      </c>
      <c r="F1000">
        <v>67</v>
      </c>
      <c r="G1000">
        <v>180</v>
      </c>
      <c r="H1000">
        <v>12060</v>
      </c>
    </row>
    <row r="1001" spans="1:8" x14ac:dyDescent="0.35">
      <c r="A1001" s="2">
        <v>45333</v>
      </c>
      <c r="B1001" s="7">
        <f t="shared" si="15"/>
        <v>2</v>
      </c>
      <c r="C1001" s="7" t="str">
        <f>_xlfn.XLOOKUP(B1001,catalogos!$A$2:$A$13,catalogos!$B$2:$B$13)</f>
        <v>February</v>
      </c>
      <c r="D1001" t="s">
        <v>7</v>
      </c>
      <c r="E1001" t="s">
        <v>13</v>
      </c>
      <c r="F1001">
        <v>52</v>
      </c>
      <c r="G1001">
        <v>90</v>
      </c>
      <c r="H1001">
        <v>4680</v>
      </c>
    </row>
    <row r="1002" spans="1:8" x14ac:dyDescent="0.35">
      <c r="A1002" s="2">
        <v>45333</v>
      </c>
      <c r="B1002" s="7">
        <f t="shared" si="15"/>
        <v>2</v>
      </c>
      <c r="C1002" s="7" t="str">
        <f>_xlfn.XLOOKUP(B1002,catalogos!$A$2:$A$13,catalogos!$B$2:$B$13)</f>
        <v>February</v>
      </c>
      <c r="D1002" t="s">
        <v>9</v>
      </c>
      <c r="E1002" t="s">
        <v>13</v>
      </c>
      <c r="F1002">
        <v>25</v>
      </c>
      <c r="G1002">
        <v>123</v>
      </c>
      <c r="H1002">
        <v>3075</v>
      </c>
    </row>
    <row r="1003" spans="1:8" x14ac:dyDescent="0.35">
      <c r="A1003" s="2">
        <v>45333</v>
      </c>
      <c r="B1003" s="7">
        <f t="shared" si="15"/>
        <v>2</v>
      </c>
      <c r="C1003" s="7" t="str">
        <f>_xlfn.XLOOKUP(B1003,catalogos!$A$2:$A$13,catalogos!$B$2:$B$13)</f>
        <v>February</v>
      </c>
      <c r="D1003" t="s">
        <v>6</v>
      </c>
      <c r="E1003" t="s">
        <v>15</v>
      </c>
      <c r="F1003">
        <v>33</v>
      </c>
      <c r="G1003">
        <v>168</v>
      </c>
      <c r="H1003">
        <v>5544</v>
      </c>
    </row>
    <row r="1004" spans="1:8" x14ac:dyDescent="0.35">
      <c r="A1004" s="2">
        <v>45333</v>
      </c>
      <c r="B1004" s="7">
        <f t="shared" si="15"/>
        <v>2</v>
      </c>
      <c r="C1004" s="7" t="str">
        <f>_xlfn.XLOOKUP(B1004,catalogos!$A$2:$A$13,catalogos!$B$2:$B$13)</f>
        <v>February</v>
      </c>
      <c r="D1004" t="s">
        <v>10</v>
      </c>
      <c r="E1004" t="s">
        <v>14</v>
      </c>
      <c r="F1004">
        <v>93</v>
      </c>
      <c r="G1004">
        <v>343</v>
      </c>
      <c r="H1004">
        <v>31899</v>
      </c>
    </row>
    <row r="1005" spans="1:8" x14ac:dyDescent="0.35">
      <c r="A1005" s="2">
        <v>45333</v>
      </c>
      <c r="B1005" s="7">
        <f t="shared" si="15"/>
        <v>2</v>
      </c>
      <c r="C1005" s="7" t="str">
        <f>_xlfn.XLOOKUP(B1005,catalogos!$A$2:$A$13,catalogos!$B$2:$B$13)</f>
        <v>February</v>
      </c>
      <c r="D1005" t="s">
        <v>6</v>
      </c>
      <c r="E1005" t="s">
        <v>13</v>
      </c>
      <c r="F1005">
        <v>23</v>
      </c>
      <c r="G1005">
        <v>61</v>
      </c>
      <c r="H1005">
        <v>1403</v>
      </c>
    </row>
    <row r="1006" spans="1:8" x14ac:dyDescent="0.35">
      <c r="A1006" s="2">
        <v>45333</v>
      </c>
      <c r="B1006" s="7">
        <f t="shared" si="15"/>
        <v>2</v>
      </c>
      <c r="C1006" s="7" t="str">
        <f>_xlfn.XLOOKUP(B1006,catalogos!$A$2:$A$13,catalogos!$B$2:$B$13)</f>
        <v>February</v>
      </c>
      <c r="D1006" t="s">
        <v>7</v>
      </c>
      <c r="E1006" t="s">
        <v>11</v>
      </c>
      <c r="F1006">
        <v>56</v>
      </c>
      <c r="G1006">
        <v>315</v>
      </c>
      <c r="H1006">
        <v>17640</v>
      </c>
    </row>
    <row r="1007" spans="1:8" x14ac:dyDescent="0.35">
      <c r="A1007" s="2">
        <v>45333</v>
      </c>
      <c r="B1007" s="7">
        <f t="shared" si="15"/>
        <v>2</v>
      </c>
      <c r="C1007" s="7" t="str">
        <f>_xlfn.XLOOKUP(B1007,catalogos!$A$2:$A$13,catalogos!$B$2:$B$13)</f>
        <v>February</v>
      </c>
      <c r="D1007" t="s">
        <v>10</v>
      </c>
      <c r="E1007" t="s">
        <v>11</v>
      </c>
      <c r="F1007">
        <v>51</v>
      </c>
      <c r="G1007">
        <v>328</v>
      </c>
      <c r="H1007">
        <v>16728</v>
      </c>
    </row>
    <row r="1008" spans="1:8" x14ac:dyDescent="0.35">
      <c r="A1008" s="2">
        <v>45333</v>
      </c>
      <c r="B1008" s="7">
        <f t="shared" si="15"/>
        <v>2</v>
      </c>
      <c r="C1008" s="7" t="str">
        <f>_xlfn.XLOOKUP(B1008,catalogos!$A$2:$A$13,catalogos!$B$2:$B$13)</f>
        <v>February</v>
      </c>
      <c r="D1008" t="s">
        <v>6</v>
      </c>
      <c r="E1008" t="s">
        <v>12</v>
      </c>
      <c r="F1008">
        <v>46</v>
      </c>
      <c r="G1008">
        <v>240</v>
      </c>
      <c r="H1008">
        <v>11040</v>
      </c>
    </row>
    <row r="1009" spans="1:8" x14ac:dyDescent="0.35">
      <c r="A1009" s="2">
        <v>45333</v>
      </c>
      <c r="B1009" s="7">
        <f t="shared" si="15"/>
        <v>2</v>
      </c>
      <c r="C1009" s="7" t="str">
        <f>_xlfn.XLOOKUP(B1009,catalogos!$A$2:$A$13,catalogos!$B$2:$B$13)</f>
        <v>February</v>
      </c>
      <c r="D1009" t="s">
        <v>7</v>
      </c>
      <c r="E1009" t="s">
        <v>13</v>
      </c>
      <c r="F1009">
        <v>26</v>
      </c>
      <c r="G1009">
        <v>446</v>
      </c>
      <c r="H1009">
        <v>11596</v>
      </c>
    </row>
    <row r="1010" spans="1:8" x14ac:dyDescent="0.35">
      <c r="A1010" s="2">
        <v>45334</v>
      </c>
      <c r="B1010" s="7">
        <f t="shared" si="15"/>
        <v>2</v>
      </c>
      <c r="C1010" s="7" t="str">
        <f>_xlfn.XLOOKUP(B1010,catalogos!$A$2:$A$13,catalogos!$B$2:$B$13)</f>
        <v>February</v>
      </c>
      <c r="D1010" t="s">
        <v>8</v>
      </c>
      <c r="E1010" t="s">
        <v>12</v>
      </c>
      <c r="F1010">
        <v>71</v>
      </c>
      <c r="G1010">
        <v>356</v>
      </c>
      <c r="H1010">
        <v>25276</v>
      </c>
    </row>
    <row r="1011" spans="1:8" x14ac:dyDescent="0.35">
      <c r="A1011" s="2">
        <v>45334</v>
      </c>
      <c r="B1011" s="7">
        <f t="shared" si="15"/>
        <v>2</v>
      </c>
      <c r="C1011" s="7" t="str">
        <f>_xlfn.XLOOKUP(B1011,catalogos!$A$2:$A$13,catalogos!$B$2:$B$13)</f>
        <v>February</v>
      </c>
      <c r="D1011" t="s">
        <v>6</v>
      </c>
      <c r="E1011" t="s">
        <v>11</v>
      </c>
      <c r="F1011">
        <v>68</v>
      </c>
      <c r="G1011">
        <v>42</v>
      </c>
      <c r="H1011">
        <v>2856</v>
      </c>
    </row>
    <row r="1012" spans="1:8" x14ac:dyDescent="0.35">
      <c r="A1012" s="2">
        <v>45334</v>
      </c>
      <c r="B1012" s="7">
        <f t="shared" si="15"/>
        <v>2</v>
      </c>
      <c r="C1012" s="7" t="str">
        <f>_xlfn.XLOOKUP(B1012,catalogos!$A$2:$A$13,catalogos!$B$2:$B$13)</f>
        <v>February</v>
      </c>
      <c r="D1012" t="s">
        <v>7</v>
      </c>
      <c r="E1012" t="s">
        <v>15</v>
      </c>
      <c r="F1012">
        <v>96</v>
      </c>
      <c r="G1012">
        <v>406</v>
      </c>
      <c r="H1012">
        <v>38976</v>
      </c>
    </row>
    <row r="1013" spans="1:8" x14ac:dyDescent="0.35">
      <c r="A1013" s="2">
        <v>45334</v>
      </c>
      <c r="B1013" s="7">
        <f t="shared" si="15"/>
        <v>2</v>
      </c>
      <c r="C1013" s="7" t="str">
        <f>_xlfn.XLOOKUP(B1013,catalogos!$A$2:$A$13,catalogos!$B$2:$B$13)</f>
        <v>February</v>
      </c>
      <c r="D1013" t="s">
        <v>10</v>
      </c>
      <c r="E1013" t="s">
        <v>13</v>
      </c>
      <c r="F1013">
        <v>28</v>
      </c>
      <c r="G1013">
        <v>309</v>
      </c>
      <c r="H1013">
        <v>8652</v>
      </c>
    </row>
    <row r="1014" spans="1:8" x14ac:dyDescent="0.35">
      <c r="A1014" s="2">
        <v>45334</v>
      </c>
      <c r="B1014" s="7">
        <f t="shared" si="15"/>
        <v>2</v>
      </c>
      <c r="C1014" s="7" t="str">
        <f>_xlfn.XLOOKUP(B1014,catalogos!$A$2:$A$13,catalogos!$B$2:$B$13)</f>
        <v>February</v>
      </c>
      <c r="D1014" t="s">
        <v>10</v>
      </c>
      <c r="E1014" t="s">
        <v>12</v>
      </c>
      <c r="F1014">
        <v>4</v>
      </c>
      <c r="G1014">
        <v>246</v>
      </c>
      <c r="H1014">
        <v>984</v>
      </c>
    </row>
    <row r="1015" spans="1:8" x14ac:dyDescent="0.35">
      <c r="A1015" s="2">
        <v>45334</v>
      </c>
      <c r="B1015" s="7">
        <f t="shared" si="15"/>
        <v>2</v>
      </c>
      <c r="C1015" s="7" t="str">
        <f>_xlfn.XLOOKUP(B1015,catalogos!$A$2:$A$13,catalogos!$B$2:$B$13)</f>
        <v>February</v>
      </c>
      <c r="D1015" t="s">
        <v>9</v>
      </c>
      <c r="E1015" t="s">
        <v>15</v>
      </c>
      <c r="F1015">
        <v>21</v>
      </c>
      <c r="G1015">
        <v>476</v>
      </c>
      <c r="H1015">
        <v>9996</v>
      </c>
    </row>
    <row r="1016" spans="1:8" x14ac:dyDescent="0.35">
      <c r="A1016" s="2">
        <v>45334</v>
      </c>
      <c r="B1016" s="7">
        <f t="shared" si="15"/>
        <v>2</v>
      </c>
      <c r="C1016" s="7" t="str">
        <f>_xlfn.XLOOKUP(B1016,catalogos!$A$2:$A$13,catalogos!$B$2:$B$13)</f>
        <v>February</v>
      </c>
      <c r="D1016" t="s">
        <v>10</v>
      </c>
      <c r="E1016" t="s">
        <v>13</v>
      </c>
      <c r="F1016">
        <v>95</v>
      </c>
      <c r="G1016">
        <v>226</v>
      </c>
      <c r="H1016">
        <v>21470</v>
      </c>
    </row>
    <row r="1017" spans="1:8" x14ac:dyDescent="0.35">
      <c r="A1017" s="2">
        <v>45334</v>
      </c>
      <c r="B1017" s="7">
        <f t="shared" si="15"/>
        <v>2</v>
      </c>
      <c r="C1017" s="7" t="str">
        <f>_xlfn.XLOOKUP(B1017,catalogos!$A$2:$A$13,catalogos!$B$2:$B$13)</f>
        <v>February</v>
      </c>
      <c r="D1017" t="s">
        <v>9</v>
      </c>
      <c r="E1017" t="s">
        <v>14</v>
      </c>
      <c r="F1017">
        <v>66</v>
      </c>
      <c r="G1017">
        <v>48</v>
      </c>
      <c r="H1017">
        <v>3168</v>
      </c>
    </row>
    <row r="1018" spans="1:8" x14ac:dyDescent="0.35">
      <c r="A1018" s="2">
        <v>45334</v>
      </c>
      <c r="B1018" s="7">
        <f t="shared" si="15"/>
        <v>2</v>
      </c>
      <c r="C1018" s="7" t="str">
        <f>_xlfn.XLOOKUP(B1018,catalogos!$A$2:$A$13,catalogos!$B$2:$B$13)</f>
        <v>February</v>
      </c>
      <c r="D1018" t="s">
        <v>10</v>
      </c>
      <c r="E1018" t="s">
        <v>11</v>
      </c>
      <c r="F1018">
        <v>88</v>
      </c>
      <c r="G1018">
        <v>266</v>
      </c>
      <c r="H1018">
        <v>23408</v>
      </c>
    </row>
    <row r="1019" spans="1:8" x14ac:dyDescent="0.35">
      <c r="A1019" s="2">
        <v>45334</v>
      </c>
      <c r="B1019" s="7">
        <f t="shared" si="15"/>
        <v>2</v>
      </c>
      <c r="C1019" s="7" t="str">
        <f>_xlfn.XLOOKUP(B1019,catalogos!$A$2:$A$13,catalogos!$B$2:$B$13)</f>
        <v>February</v>
      </c>
      <c r="D1019" t="s">
        <v>9</v>
      </c>
      <c r="E1019" t="s">
        <v>14</v>
      </c>
      <c r="F1019">
        <v>78</v>
      </c>
      <c r="G1019">
        <v>10</v>
      </c>
      <c r="H1019">
        <v>780</v>
      </c>
    </row>
    <row r="1020" spans="1:8" x14ac:dyDescent="0.35">
      <c r="A1020" s="2">
        <v>45334</v>
      </c>
      <c r="B1020" s="7">
        <f t="shared" si="15"/>
        <v>2</v>
      </c>
      <c r="C1020" s="7" t="str">
        <f>_xlfn.XLOOKUP(B1020,catalogos!$A$2:$A$13,catalogos!$B$2:$B$13)</f>
        <v>February</v>
      </c>
      <c r="D1020" t="s">
        <v>10</v>
      </c>
      <c r="E1020" t="s">
        <v>14</v>
      </c>
      <c r="F1020">
        <v>93</v>
      </c>
      <c r="G1020">
        <v>49</v>
      </c>
      <c r="H1020">
        <v>4557</v>
      </c>
    </row>
    <row r="1021" spans="1:8" x14ac:dyDescent="0.35">
      <c r="A1021" s="2">
        <v>45334</v>
      </c>
      <c r="B1021" s="7">
        <f t="shared" si="15"/>
        <v>2</v>
      </c>
      <c r="C1021" s="7" t="str">
        <f>_xlfn.XLOOKUP(B1021,catalogos!$A$2:$A$13,catalogos!$B$2:$B$13)</f>
        <v>February</v>
      </c>
      <c r="D1021" t="s">
        <v>10</v>
      </c>
      <c r="E1021" t="s">
        <v>12</v>
      </c>
      <c r="F1021">
        <v>42</v>
      </c>
      <c r="G1021">
        <v>465</v>
      </c>
      <c r="H1021">
        <v>19530</v>
      </c>
    </row>
    <row r="1022" spans="1:8" x14ac:dyDescent="0.35">
      <c r="A1022" s="2">
        <v>45334</v>
      </c>
      <c r="B1022" s="7">
        <f t="shared" si="15"/>
        <v>2</v>
      </c>
      <c r="C1022" s="7" t="str">
        <f>_xlfn.XLOOKUP(B1022,catalogos!$A$2:$A$13,catalogos!$B$2:$B$13)</f>
        <v>February</v>
      </c>
      <c r="D1022" t="s">
        <v>10</v>
      </c>
      <c r="E1022" t="s">
        <v>14</v>
      </c>
      <c r="F1022">
        <v>77</v>
      </c>
      <c r="G1022">
        <v>262</v>
      </c>
      <c r="H1022">
        <v>20174</v>
      </c>
    </row>
    <row r="1023" spans="1:8" x14ac:dyDescent="0.35">
      <c r="A1023" s="2">
        <v>45334</v>
      </c>
      <c r="B1023" s="7">
        <f t="shared" si="15"/>
        <v>2</v>
      </c>
      <c r="C1023" s="7" t="str">
        <f>_xlfn.XLOOKUP(B1023,catalogos!$A$2:$A$13,catalogos!$B$2:$B$13)</f>
        <v>February</v>
      </c>
      <c r="D1023" t="s">
        <v>6</v>
      </c>
      <c r="E1023" t="s">
        <v>11</v>
      </c>
      <c r="F1023">
        <v>7</v>
      </c>
      <c r="G1023">
        <v>372</v>
      </c>
      <c r="H1023">
        <v>2604</v>
      </c>
    </row>
    <row r="1024" spans="1:8" x14ac:dyDescent="0.35">
      <c r="A1024" s="2">
        <v>45334</v>
      </c>
      <c r="B1024" s="7">
        <f t="shared" si="15"/>
        <v>2</v>
      </c>
      <c r="C1024" s="7" t="str">
        <f>_xlfn.XLOOKUP(B1024,catalogos!$A$2:$A$13,catalogos!$B$2:$B$13)</f>
        <v>February</v>
      </c>
      <c r="D1024" t="s">
        <v>7</v>
      </c>
      <c r="E1024" t="s">
        <v>13</v>
      </c>
      <c r="F1024">
        <v>30</v>
      </c>
      <c r="G1024">
        <v>256</v>
      </c>
      <c r="H1024">
        <v>7680</v>
      </c>
    </row>
    <row r="1025" spans="1:8" x14ac:dyDescent="0.35">
      <c r="A1025" s="2">
        <v>45334</v>
      </c>
      <c r="B1025" s="7">
        <f t="shared" si="15"/>
        <v>2</v>
      </c>
      <c r="C1025" s="7" t="str">
        <f>_xlfn.XLOOKUP(B1025,catalogos!$A$2:$A$13,catalogos!$B$2:$B$13)</f>
        <v>February</v>
      </c>
      <c r="D1025" t="s">
        <v>9</v>
      </c>
      <c r="E1025" t="s">
        <v>13</v>
      </c>
      <c r="F1025">
        <v>56</v>
      </c>
      <c r="G1025">
        <v>184</v>
      </c>
      <c r="H1025">
        <v>10304</v>
      </c>
    </row>
    <row r="1026" spans="1:8" x14ac:dyDescent="0.35">
      <c r="A1026" s="2">
        <v>45334</v>
      </c>
      <c r="B1026" s="7">
        <f t="shared" si="15"/>
        <v>2</v>
      </c>
      <c r="C1026" s="7" t="str">
        <f>_xlfn.XLOOKUP(B1026,catalogos!$A$2:$A$13,catalogos!$B$2:$B$13)</f>
        <v>February</v>
      </c>
      <c r="D1026" t="s">
        <v>10</v>
      </c>
      <c r="E1026" t="s">
        <v>11</v>
      </c>
      <c r="F1026">
        <v>84</v>
      </c>
      <c r="G1026">
        <v>360</v>
      </c>
      <c r="H1026">
        <v>30240</v>
      </c>
    </row>
    <row r="1027" spans="1:8" x14ac:dyDescent="0.35">
      <c r="A1027" s="2">
        <v>45334</v>
      </c>
      <c r="B1027" s="7">
        <f t="shared" ref="B1027:B1090" si="16">MONTH(A1027)</f>
        <v>2</v>
      </c>
      <c r="C1027" s="7" t="str">
        <f>_xlfn.XLOOKUP(B1027,catalogos!$A$2:$A$13,catalogos!$B$2:$B$13)</f>
        <v>February</v>
      </c>
      <c r="D1027" t="s">
        <v>9</v>
      </c>
      <c r="E1027" t="s">
        <v>14</v>
      </c>
      <c r="F1027">
        <v>63</v>
      </c>
      <c r="G1027">
        <v>217</v>
      </c>
      <c r="H1027">
        <v>13671</v>
      </c>
    </row>
    <row r="1028" spans="1:8" x14ac:dyDescent="0.35">
      <c r="A1028" s="2">
        <v>45334</v>
      </c>
      <c r="B1028" s="7">
        <f t="shared" si="16"/>
        <v>2</v>
      </c>
      <c r="C1028" s="7" t="str">
        <f>_xlfn.XLOOKUP(B1028,catalogos!$A$2:$A$13,catalogos!$B$2:$B$13)</f>
        <v>February</v>
      </c>
      <c r="D1028" t="s">
        <v>9</v>
      </c>
      <c r="E1028" t="s">
        <v>14</v>
      </c>
      <c r="F1028">
        <v>77</v>
      </c>
      <c r="G1028">
        <v>7</v>
      </c>
      <c r="H1028">
        <v>539</v>
      </c>
    </row>
    <row r="1029" spans="1:8" x14ac:dyDescent="0.35">
      <c r="A1029" s="2">
        <v>45334</v>
      </c>
      <c r="B1029" s="7">
        <f t="shared" si="16"/>
        <v>2</v>
      </c>
      <c r="C1029" s="7" t="str">
        <f>_xlfn.XLOOKUP(B1029,catalogos!$A$2:$A$13,catalogos!$B$2:$B$13)</f>
        <v>February</v>
      </c>
      <c r="D1029" t="s">
        <v>6</v>
      </c>
      <c r="E1029" t="s">
        <v>15</v>
      </c>
      <c r="F1029">
        <v>52</v>
      </c>
      <c r="G1029">
        <v>478</v>
      </c>
      <c r="H1029">
        <v>24856</v>
      </c>
    </row>
    <row r="1030" spans="1:8" x14ac:dyDescent="0.35">
      <c r="A1030" s="2">
        <v>45334</v>
      </c>
      <c r="B1030" s="7">
        <f t="shared" si="16"/>
        <v>2</v>
      </c>
      <c r="C1030" s="7" t="str">
        <f>_xlfn.XLOOKUP(B1030,catalogos!$A$2:$A$13,catalogos!$B$2:$B$13)</f>
        <v>February</v>
      </c>
      <c r="D1030" t="s">
        <v>6</v>
      </c>
      <c r="E1030" t="s">
        <v>12</v>
      </c>
      <c r="F1030">
        <v>1</v>
      </c>
      <c r="G1030">
        <v>31</v>
      </c>
      <c r="H1030">
        <v>31</v>
      </c>
    </row>
    <row r="1031" spans="1:8" x14ac:dyDescent="0.35">
      <c r="A1031" s="2">
        <v>45334</v>
      </c>
      <c r="B1031" s="7">
        <f t="shared" si="16"/>
        <v>2</v>
      </c>
      <c r="C1031" s="7" t="str">
        <f>_xlfn.XLOOKUP(B1031,catalogos!$A$2:$A$13,catalogos!$B$2:$B$13)</f>
        <v>February</v>
      </c>
      <c r="D1031" t="s">
        <v>8</v>
      </c>
      <c r="E1031" t="s">
        <v>12</v>
      </c>
      <c r="F1031">
        <v>52</v>
      </c>
      <c r="G1031">
        <v>415</v>
      </c>
      <c r="H1031">
        <v>21580</v>
      </c>
    </row>
    <row r="1032" spans="1:8" x14ac:dyDescent="0.35">
      <c r="A1032" s="2">
        <v>45334</v>
      </c>
      <c r="B1032" s="7">
        <f t="shared" si="16"/>
        <v>2</v>
      </c>
      <c r="C1032" s="7" t="str">
        <f>_xlfn.XLOOKUP(B1032,catalogos!$A$2:$A$13,catalogos!$B$2:$B$13)</f>
        <v>February</v>
      </c>
      <c r="D1032" t="s">
        <v>8</v>
      </c>
      <c r="E1032" t="s">
        <v>12</v>
      </c>
      <c r="F1032">
        <v>4</v>
      </c>
      <c r="G1032">
        <v>87</v>
      </c>
      <c r="H1032">
        <v>348</v>
      </c>
    </row>
    <row r="1033" spans="1:8" x14ac:dyDescent="0.35">
      <c r="A1033" s="2">
        <v>45334</v>
      </c>
      <c r="B1033" s="7">
        <f t="shared" si="16"/>
        <v>2</v>
      </c>
      <c r="C1033" s="7" t="str">
        <f>_xlfn.XLOOKUP(B1033,catalogos!$A$2:$A$13,catalogos!$B$2:$B$13)</f>
        <v>February</v>
      </c>
      <c r="D1033" t="s">
        <v>6</v>
      </c>
      <c r="E1033" t="s">
        <v>12</v>
      </c>
      <c r="F1033">
        <v>77</v>
      </c>
      <c r="G1033">
        <v>113</v>
      </c>
      <c r="H1033">
        <v>8701</v>
      </c>
    </row>
    <row r="1034" spans="1:8" x14ac:dyDescent="0.35">
      <c r="A1034" s="2">
        <v>45335</v>
      </c>
      <c r="B1034" s="7">
        <f t="shared" si="16"/>
        <v>2</v>
      </c>
      <c r="C1034" s="7" t="str">
        <f>_xlfn.XLOOKUP(B1034,catalogos!$A$2:$A$13,catalogos!$B$2:$B$13)</f>
        <v>February</v>
      </c>
      <c r="D1034" t="s">
        <v>10</v>
      </c>
      <c r="E1034" t="s">
        <v>15</v>
      </c>
      <c r="F1034">
        <v>12</v>
      </c>
      <c r="G1034">
        <v>49</v>
      </c>
      <c r="H1034">
        <v>588</v>
      </c>
    </row>
    <row r="1035" spans="1:8" x14ac:dyDescent="0.35">
      <c r="A1035" s="2">
        <v>45335</v>
      </c>
      <c r="B1035" s="7">
        <f t="shared" si="16"/>
        <v>2</v>
      </c>
      <c r="C1035" s="7" t="str">
        <f>_xlfn.XLOOKUP(B1035,catalogos!$A$2:$A$13,catalogos!$B$2:$B$13)</f>
        <v>February</v>
      </c>
      <c r="D1035" t="s">
        <v>9</v>
      </c>
      <c r="E1035" t="s">
        <v>12</v>
      </c>
      <c r="F1035">
        <v>78</v>
      </c>
      <c r="G1035">
        <v>349</v>
      </c>
      <c r="H1035">
        <v>27222</v>
      </c>
    </row>
    <row r="1036" spans="1:8" x14ac:dyDescent="0.35">
      <c r="A1036" s="2">
        <v>45335</v>
      </c>
      <c r="B1036" s="7">
        <f t="shared" si="16"/>
        <v>2</v>
      </c>
      <c r="C1036" s="7" t="str">
        <f>_xlfn.XLOOKUP(B1036,catalogos!$A$2:$A$13,catalogos!$B$2:$B$13)</f>
        <v>February</v>
      </c>
      <c r="D1036" t="s">
        <v>10</v>
      </c>
      <c r="E1036" t="s">
        <v>12</v>
      </c>
      <c r="F1036">
        <v>51</v>
      </c>
      <c r="G1036">
        <v>59</v>
      </c>
      <c r="H1036">
        <v>3009</v>
      </c>
    </row>
    <row r="1037" spans="1:8" x14ac:dyDescent="0.35">
      <c r="A1037" s="2">
        <v>45335</v>
      </c>
      <c r="B1037" s="7">
        <f t="shared" si="16"/>
        <v>2</v>
      </c>
      <c r="C1037" s="7" t="str">
        <f>_xlfn.XLOOKUP(B1037,catalogos!$A$2:$A$13,catalogos!$B$2:$B$13)</f>
        <v>February</v>
      </c>
      <c r="D1037" t="s">
        <v>7</v>
      </c>
      <c r="E1037" t="s">
        <v>15</v>
      </c>
      <c r="F1037">
        <v>67</v>
      </c>
      <c r="G1037">
        <v>234</v>
      </c>
      <c r="H1037">
        <v>15678</v>
      </c>
    </row>
    <row r="1038" spans="1:8" x14ac:dyDescent="0.35">
      <c r="A1038" s="2">
        <v>45335</v>
      </c>
      <c r="B1038" s="7">
        <f t="shared" si="16"/>
        <v>2</v>
      </c>
      <c r="C1038" s="7" t="str">
        <f>_xlfn.XLOOKUP(B1038,catalogos!$A$2:$A$13,catalogos!$B$2:$B$13)</f>
        <v>February</v>
      </c>
      <c r="D1038" t="s">
        <v>6</v>
      </c>
      <c r="E1038" t="s">
        <v>15</v>
      </c>
      <c r="F1038">
        <v>41</v>
      </c>
      <c r="G1038">
        <v>198</v>
      </c>
      <c r="H1038">
        <v>8118</v>
      </c>
    </row>
    <row r="1039" spans="1:8" x14ac:dyDescent="0.35">
      <c r="A1039" s="2">
        <v>45335</v>
      </c>
      <c r="B1039" s="7">
        <f t="shared" si="16"/>
        <v>2</v>
      </c>
      <c r="C1039" s="7" t="str">
        <f>_xlfn.XLOOKUP(B1039,catalogos!$A$2:$A$13,catalogos!$B$2:$B$13)</f>
        <v>February</v>
      </c>
      <c r="D1039" t="s">
        <v>6</v>
      </c>
      <c r="E1039" t="s">
        <v>15</v>
      </c>
      <c r="F1039">
        <v>13</v>
      </c>
      <c r="G1039">
        <v>28</v>
      </c>
      <c r="H1039">
        <v>364</v>
      </c>
    </row>
    <row r="1040" spans="1:8" x14ac:dyDescent="0.35">
      <c r="A1040" s="2">
        <v>45335</v>
      </c>
      <c r="B1040" s="7">
        <f t="shared" si="16"/>
        <v>2</v>
      </c>
      <c r="C1040" s="7" t="str">
        <f>_xlfn.XLOOKUP(B1040,catalogos!$A$2:$A$13,catalogos!$B$2:$B$13)</f>
        <v>February</v>
      </c>
      <c r="D1040" t="s">
        <v>7</v>
      </c>
      <c r="E1040" t="s">
        <v>11</v>
      </c>
      <c r="F1040">
        <v>44</v>
      </c>
      <c r="G1040">
        <v>443</v>
      </c>
      <c r="H1040">
        <v>19492</v>
      </c>
    </row>
    <row r="1041" spans="1:8" x14ac:dyDescent="0.35">
      <c r="A1041" s="2">
        <v>45335</v>
      </c>
      <c r="B1041" s="7">
        <f t="shared" si="16"/>
        <v>2</v>
      </c>
      <c r="C1041" s="7" t="str">
        <f>_xlfn.XLOOKUP(B1041,catalogos!$A$2:$A$13,catalogos!$B$2:$B$13)</f>
        <v>February</v>
      </c>
      <c r="D1041" t="s">
        <v>9</v>
      </c>
      <c r="E1041" t="s">
        <v>15</v>
      </c>
      <c r="F1041">
        <v>82</v>
      </c>
      <c r="G1041">
        <v>470</v>
      </c>
      <c r="H1041">
        <v>38540</v>
      </c>
    </row>
    <row r="1042" spans="1:8" x14ac:dyDescent="0.35">
      <c r="A1042" s="2">
        <v>45335</v>
      </c>
      <c r="B1042" s="7">
        <f t="shared" si="16"/>
        <v>2</v>
      </c>
      <c r="C1042" s="7" t="str">
        <f>_xlfn.XLOOKUP(B1042,catalogos!$A$2:$A$13,catalogos!$B$2:$B$13)</f>
        <v>February</v>
      </c>
      <c r="D1042" t="s">
        <v>9</v>
      </c>
      <c r="E1042" t="s">
        <v>12</v>
      </c>
      <c r="F1042">
        <v>26</v>
      </c>
      <c r="G1042">
        <v>376</v>
      </c>
      <c r="H1042">
        <v>9776</v>
      </c>
    </row>
    <row r="1043" spans="1:8" x14ac:dyDescent="0.35">
      <c r="A1043" s="2">
        <v>45335</v>
      </c>
      <c r="B1043" s="7">
        <f t="shared" si="16"/>
        <v>2</v>
      </c>
      <c r="C1043" s="7" t="str">
        <f>_xlfn.XLOOKUP(B1043,catalogos!$A$2:$A$13,catalogos!$B$2:$B$13)</f>
        <v>February</v>
      </c>
      <c r="D1043" t="s">
        <v>7</v>
      </c>
      <c r="E1043" t="s">
        <v>12</v>
      </c>
      <c r="F1043">
        <v>32</v>
      </c>
      <c r="G1043">
        <v>202</v>
      </c>
      <c r="H1043">
        <v>6464</v>
      </c>
    </row>
    <row r="1044" spans="1:8" x14ac:dyDescent="0.35">
      <c r="A1044" s="2">
        <v>45335</v>
      </c>
      <c r="B1044" s="7">
        <f t="shared" si="16"/>
        <v>2</v>
      </c>
      <c r="C1044" s="7" t="str">
        <f>_xlfn.XLOOKUP(B1044,catalogos!$A$2:$A$13,catalogos!$B$2:$B$13)</f>
        <v>February</v>
      </c>
      <c r="D1044" t="s">
        <v>9</v>
      </c>
      <c r="E1044" t="s">
        <v>15</v>
      </c>
      <c r="F1044">
        <v>74</v>
      </c>
      <c r="G1044">
        <v>401</v>
      </c>
      <c r="H1044">
        <v>29674</v>
      </c>
    </row>
    <row r="1045" spans="1:8" x14ac:dyDescent="0.35">
      <c r="A1045" s="2">
        <v>45335</v>
      </c>
      <c r="B1045" s="7">
        <f t="shared" si="16"/>
        <v>2</v>
      </c>
      <c r="C1045" s="7" t="str">
        <f>_xlfn.XLOOKUP(B1045,catalogos!$A$2:$A$13,catalogos!$B$2:$B$13)</f>
        <v>February</v>
      </c>
      <c r="D1045" t="s">
        <v>6</v>
      </c>
      <c r="E1045" t="s">
        <v>11</v>
      </c>
      <c r="F1045">
        <v>15</v>
      </c>
      <c r="G1045">
        <v>452</v>
      </c>
      <c r="H1045">
        <v>6780</v>
      </c>
    </row>
    <row r="1046" spans="1:8" x14ac:dyDescent="0.35">
      <c r="A1046" s="2">
        <v>45335</v>
      </c>
      <c r="B1046" s="7">
        <f t="shared" si="16"/>
        <v>2</v>
      </c>
      <c r="C1046" s="7" t="str">
        <f>_xlfn.XLOOKUP(B1046,catalogos!$A$2:$A$13,catalogos!$B$2:$B$13)</f>
        <v>February</v>
      </c>
      <c r="D1046" t="s">
        <v>6</v>
      </c>
      <c r="E1046" t="s">
        <v>11</v>
      </c>
      <c r="F1046">
        <v>10</v>
      </c>
      <c r="G1046">
        <v>268</v>
      </c>
      <c r="H1046">
        <v>2680</v>
      </c>
    </row>
    <row r="1047" spans="1:8" x14ac:dyDescent="0.35">
      <c r="A1047" s="2">
        <v>45335</v>
      </c>
      <c r="B1047" s="7">
        <f t="shared" si="16"/>
        <v>2</v>
      </c>
      <c r="C1047" s="7" t="str">
        <f>_xlfn.XLOOKUP(B1047,catalogos!$A$2:$A$13,catalogos!$B$2:$B$13)</f>
        <v>February</v>
      </c>
      <c r="D1047" t="s">
        <v>10</v>
      </c>
      <c r="E1047" t="s">
        <v>12</v>
      </c>
      <c r="F1047">
        <v>54</v>
      </c>
      <c r="G1047">
        <v>480</v>
      </c>
      <c r="H1047">
        <v>25920</v>
      </c>
    </row>
    <row r="1048" spans="1:8" x14ac:dyDescent="0.35">
      <c r="A1048" s="2">
        <v>45335</v>
      </c>
      <c r="B1048" s="7">
        <f t="shared" si="16"/>
        <v>2</v>
      </c>
      <c r="C1048" s="7" t="str">
        <f>_xlfn.XLOOKUP(B1048,catalogos!$A$2:$A$13,catalogos!$B$2:$B$13)</f>
        <v>February</v>
      </c>
      <c r="D1048" t="s">
        <v>8</v>
      </c>
      <c r="E1048" t="s">
        <v>12</v>
      </c>
      <c r="F1048">
        <v>9</v>
      </c>
      <c r="G1048">
        <v>243</v>
      </c>
      <c r="H1048">
        <v>2187</v>
      </c>
    </row>
    <row r="1049" spans="1:8" x14ac:dyDescent="0.35">
      <c r="A1049" s="2">
        <v>45335</v>
      </c>
      <c r="B1049" s="7">
        <f t="shared" si="16"/>
        <v>2</v>
      </c>
      <c r="C1049" s="7" t="str">
        <f>_xlfn.XLOOKUP(B1049,catalogos!$A$2:$A$13,catalogos!$B$2:$B$13)</f>
        <v>February</v>
      </c>
      <c r="D1049" t="s">
        <v>10</v>
      </c>
      <c r="E1049" t="s">
        <v>12</v>
      </c>
      <c r="F1049">
        <v>52</v>
      </c>
      <c r="G1049">
        <v>338</v>
      </c>
      <c r="H1049">
        <v>17576</v>
      </c>
    </row>
    <row r="1050" spans="1:8" x14ac:dyDescent="0.35">
      <c r="A1050" s="2">
        <v>45335</v>
      </c>
      <c r="B1050" s="7">
        <f t="shared" si="16"/>
        <v>2</v>
      </c>
      <c r="C1050" s="7" t="str">
        <f>_xlfn.XLOOKUP(B1050,catalogos!$A$2:$A$13,catalogos!$B$2:$B$13)</f>
        <v>February</v>
      </c>
      <c r="D1050" t="s">
        <v>8</v>
      </c>
      <c r="E1050" t="s">
        <v>13</v>
      </c>
      <c r="F1050">
        <v>48</v>
      </c>
      <c r="G1050">
        <v>240</v>
      </c>
      <c r="H1050">
        <v>11520</v>
      </c>
    </row>
    <row r="1051" spans="1:8" x14ac:dyDescent="0.35">
      <c r="A1051" s="2">
        <v>45335</v>
      </c>
      <c r="B1051" s="7">
        <f t="shared" si="16"/>
        <v>2</v>
      </c>
      <c r="C1051" s="7" t="str">
        <f>_xlfn.XLOOKUP(B1051,catalogos!$A$2:$A$13,catalogos!$B$2:$B$13)</f>
        <v>February</v>
      </c>
      <c r="D1051" t="s">
        <v>9</v>
      </c>
      <c r="E1051" t="s">
        <v>12</v>
      </c>
      <c r="F1051">
        <v>17</v>
      </c>
      <c r="G1051">
        <v>302</v>
      </c>
      <c r="H1051">
        <v>5134</v>
      </c>
    </row>
    <row r="1052" spans="1:8" x14ac:dyDescent="0.35">
      <c r="A1052" s="2">
        <v>45335</v>
      </c>
      <c r="B1052" s="7">
        <f t="shared" si="16"/>
        <v>2</v>
      </c>
      <c r="C1052" s="7" t="str">
        <f>_xlfn.XLOOKUP(B1052,catalogos!$A$2:$A$13,catalogos!$B$2:$B$13)</f>
        <v>February</v>
      </c>
      <c r="D1052" t="s">
        <v>7</v>
      </c>
      <c r="E1052" t="s">
        <v>15</v>
      </c>
      <c r="F1052">
        <v>95</v>
      </c>
      <c r="G1052">
        <v>258</v>
      </c>
      <c r="H1052">
        <v>24510</v>
      </c>
    </row>
    <row r="1053" spans="1:8" x14ac:dyDescent="0.35">
      <c r="A1053" s="2">
        <v>45335</v>
      </c>
      <c r="B1053" s="7">
        <f t="shared" si="16"/>
        <v>2</v>
      </c>
      <c r="C1053" s="7" t="str">
        <f>_xlfn.XLOOKUP(B1053,catalogos!$A$2:$A$13,catalogos!$B$2:$B$13)</f>
        <v>February</v>
      </c>
      <c r="D1053" t="s">
        <v>7</v>
      </c>
      <c r="E1053" t="s">
        <v>11</v>
      </c>
      <c r="F1053">
        <v>94</v>
      </c>
      <c r="G1053">
        <v>416</v>
      </c>
      <c r="H1053">
        <v>39104</v>
      </c>
    </row>
    <row r="1054" spans="1:8" x14ac:dyDescent="0.35">
      <c r="A1054" s="2">
        <v>45335</v>
      </c>
      <c r="B1054" s="7">
        <f t="shared" si="16"/>
        <v>2</v>
      </c>
      <c r="C1054" s="7" t="str">
        <f>_xlfn.XLOOKUP(B1054,catalogos!$A$2:$A$13,catalogos!$B$2:$B$13)</f>
        <v>February</v>
      </c>
      <c r="D1054" t="s">
        <v>7</v>
      </c>
      <c r="E1054" t="s">
        <v>12</v>
      </c>
      <c r="F1054">
        <v>36</v>
      </c>
      <c r="G1054">
        <v>258</v>
      </c>
      <c r="H1054">
        <v>9288</v>
      </c>
    </row>
    <row r="1055" spans="1:8" x14ac:dyDescent="0.35">
      <c r="A1055" s="2">
        <v>45335</v>
      </c>
      <c r="B1055" s="7">
        <f t="shared" si="16"/>
        <v>2</v>
      </c>
      <c r="C1055" s="7" t="str">
        <f>_xlfn.XLOOKUP(B1055,catalogos!$A$2:$A$13,catalogos!$B$2:$B$13)</f>
        <v>February</v>
      </c>
      <c r="D1055" t="s">
        <v>8</v>
      </c>
      <c r="E1055" t="s">
        <v>14</v>
      </c>
      <c r="F1055">
        <v>75</v>
      </c>
      <c r="G1055">
        <v>223</v>
      </c>
      <c r="H1055">
        <v>16725</v>
      </c>
    </row>
    <row r="1056" spans="1:8" x14ac:dyDescent="0.35">
      <c r="A1056" s="2">
        <v>45335</v>
      </c>
      <c r="B1056" s="7">
        <f t="shared" si="16"/>
        <v>2</v>
      </c>
      <c r="C1056" s="7" t="str">
        <f>_xlfn.XLOOKUP(B1056,catalogos!$A$2:$A$13,catalogos!$B$2:$B$13)</f>
        <v>February</v>
      </c>
      <c r="D1056" t="s">
        <v>9</v>
      </c>
      <c r="E1056" t="s">
        <v>12</v>
      </c>
      <c r="F1056">
        <v>33</v>
      </c>
      <c r="G1056">
        <v>213</v>
      </c>
      <c r="H1056">
        <v>7029</v>
      </c>
    </row>
    <row r="1057" spans="1:8" x14ac:dyDescent="0.35">
      <c r="A1057" s="2">
        <v>45335</v>
      </c>
      <c r="B1057" s="7">
        <f t="shared" si="16"/>
        <v>2</v>
      </c>
      <c r="C1057" s="7" t="str">
        <f>_xlfn.XLOOKUP(B1057,catalogos!$A$2:$A$13,catalogos!$B$2:$B$13)</f>
        <v>February</v>
      </c>
      <c r="D1057" t="s">
        <v>8</v>
      </c>
      <c r="E1057" t="s">
        <v>13</v>
      </c>
      <c r="F1057">
        <v>48</v>
      </c>
      <c r="G1057">
        <v>432</v>
      </c>
      <c r="H1057">
        <v>20736</v>
      </c>
    </row>
    <row r="1058" spans="1:8" x14ac:dyDescent="0.35">
      <c r="A1058" s="2">
        <v>45336</v>
      </c>
      <c r="B1058" s="7">
        <f t="shared" si="16"/>
        <v>2</v>
      </c>
      <c r="C1058" s="7" t="str">
        <f>_xlfn.XLOOKUP(B1058,catalogos!$A$2:$A$13,catalogos!$B$2:$B$13)</f>
        <v>February</v>
      </c>
      <c r="D1058" t="s">
        <v>7</v>
      </c>
      <c r="E1058" t="s">
        <v>12</v>
      </c>
      <c r="F1058">
        <v>94</v>
      </c>
      <c r="G1058">
        <v>407</v>
      </c>
      <c r="H1058">
        <v>38258</v>
      </c>
    </row>
    <row r="1059" spans="1:8" x14ac:dyDescent="0.35">
      <c r="A1059" s="2">
        <v>45336</v>
      </c>
      <c r="B1059" s="7">
        <f t="shared" si="16"/>
        <v>2</v>
      </c>
      <c r="C1059" s="7" t="str">
        <f>_xlfn.XLOOKUP(B1059,catalogos!$A$2:$A$13,catalogos!$B$2:$B$13)</f>
        <v>February</v>
      </c>
      <c r="D1059" t="s">
        <v>8</v>
      </c>
      <c r="E1059" t="s">
        <v>15</v>
      </c>
      <c r="F1059">
        <v>19</v>
      </c>
      <c r="G1059">
        <v>480</v>
      </c>
      <c r="H1059">
        <v>9120</v>
      </c>
    </row>
    <row r="1060" spans="1:8" x14ac:dyDescent="0.35">
      <c r="A1060" s="2">
        <v>45336</v>
      </c>
      <c r="B1060" s="7">
        <f t="shared" si="16"/>
        <v>2</v>
      </c>
      <c r="C1060" s="7" t="str">
        <f>_xlfn.XLOOKUP(B1060,catalogos!$A$2:$A$13,catalogos!$B$2:$B$13)</f>
        <v>February</v>
      </c>
      <c r="D1060" t="s">
        <v>6</v>
      </c>
      <c r="E1060" t="s">
        <v>12</v>
      </c>
      <c r="F1060">
        <v>22</v>
      </c>
      <c r="G1060">
        <v>337</v>
      </c>
      <c r="H1060">
        <v>7414</v>
      </c>
    </row>
    <row r="1061" spans="1:8" x14ac:dyDescent="0.35">
      <c r="A1061" s="2">
        <v>45336</v>
      </c>
      <c r="B1061" s="7">
        <f t="shared" si="16"/>
        <v>2</v>
      </c>
      <c r="C1061" s="7" t="str">
        <f>_xlfn.XLOOKUP(B1061,catalogos!$A$2:$A$13,catalogos!$B$2:$B$13)</f>
        <v>February</v>
      </c>
      <c r="D1061" t="s">
        <v>10</v>
      </c>
      <c r="E1061" t="s">
        <v>15</v>
      </c>
      <c r="F1061">
        <v>43</v>
      </c>
      <c r="G1061">
        <v>423</v>
      </c>
      <c r="H1061">
        <v>18189</v>
      </c>
    </row>
    <row r="1062" spans="1:8" x14ac:dyDescent="0.35">
      <c r="A1062" s="2">
        <v>45336</v>
      </c>
      <c r="B1062" s="7">
        <f t="shared" si="16"/>
        <v>2</v>
      </c>
      <c r="C1062" s="7" t="str">
        <f>_xlfn.XLOOKUP(B1062,catalogos!$A$2:$A$13,catalogos!$B$2:$B$13)</f>
        <v>February</v>
      </c>
      <c r="D1062" t="s">
        <v>10</v>
      </c>
      <c r="E1062" t="s">
        <v>11</v>
      </c>
      <c r="F1062">
        <v>93</v>
      </c>
      <c r="G1062">
        <v>70</v>
      </c>
      <c r="H1062">
        <v>6510</v>
      </c>
    </row>
    <row r="1063" spans="1:8" x14ac:dyDescent="0.35">
      <c r="A1063" s="2">
        <v>45336</v>
      </c>
      <c r="B1063" s="7">
        <f t="shared" si="16"/>
        <v>2</v>
      </c>
      <c r="C1063" s="7" t="str">
        <f>_xlfn.XLOOKUP(B1063,catalogos!$A$2:$A$13,catalogos!$B$2:$B$13)</f>
        <v>February</v>
      </c>
      <c r="D1063" t="s">
        <v>10</v>
      </c>
      <c r="E1063" t="s">
        <v>12</v>
      </c>
      <c r="F1063">
        <v>1</v>
      </c>
      <c r="G1063">
        <v>35</v>
      </c>
      <c r="H1063">
        <v>35</v>
      </c>
    </row>
    <row r="1064" spans="1:8" x14ac:dyDescent="0.35">
      <c r="A1064" s="2">
        <v>45336</v>
      </c>
      <c r="B1064" s="7">
        <f t="shared" si="16"/>
        <v>2</v>
      </c>
      <c r="C1064" s="7" t="str">
        <f>_xlfn.XLOOKUP(B1064,catalogos!$A$2:$A$13,catalogos!$B$2:$B$13)</f>
        <v>February</v>
      </c>
      <c r="D1064" t="s">
        <v>8</v>
      </c>
      <c r="E1064" t="s">
        <v>15</v>
      </c>
      <c r="F1064">
        <v>99</v>
      </c>
      <c r="G1064">
        <v>455</v>
      </c>
      <c r="H1064">
        <v>45045</v>
      </c>
    </row>
    <row r="1065" spans="1:8" x14ac:dyDescent="0.35">
      <c r="A1065" s="2">
        <v>45336</v>
      </c>
      <c r="B1065" s="7">
        <f t="shared" si="16"/>
        <v>2</v>
      </c>
      <c r="C1065" s="7" t="str">
        <f>_xlfn.XLOOKUP(B1065,catalogos!$A$2:$A$13,catalogos!$B$2:$B$13)</f>
        <v>February</v>
      </c>
      <c r="D1065" t="s">
        <v>6</v>
      </c>
      <c r="E1065" t="s">
        <v>11</v>
      </c>
      <c r="F1065">
        <v>10</v>
      </c>
      <c r="G1065">
        <v>284</v>
      </c>
      <c r="H1065">
        <v>2840</v>
      </c>
    </row>
    <row r="1066" spans="1:8" x14ac:dyDescent="0.35">
      <c r="A1066" s="2">
        <v>45336</v>
      </c>
      <c r="B1066" s="7">
        <f t="shared" si="16"/>
        <v>2</v>
      </c>
      <c r="C1066" s="7" t="str">
        <f>_xlfn.XLOOKUP(B1066,catalogos!$A$2:$A$13,catalogos!$B$2:$B$13)</f>
        <v>February</v>
      </c>
      <c r="D1066" t="s">
        <v>6</v>
      </c>
      <c r="E1066" t="s">
        <v>15</v>
      </c>
      <c r="F1066">
        <v>61</v>
      </c>
      <c r="G1066">
        <v>84</v>
      </c>
      <c r="H1066">
        <v>5124</v>
      </c>
    </row>
    <row r="1067" spans="1:8" x14ac:dyDescent="0.35">
      <c r="A1067" s="2">
        <v>45336</v>
      </c>
      <c r="B1067" s="7">
        <f t="shared" si="16"/>
        <v>2</v>
      </c>
      <c r="C1067" s="7" t="str">
        <f>_xlfn.XLOOKUP(B1067,catalogos!$A$2:$A$13,catalogos!$B$2:$B$13)</f>
        <v>February</v>
      </c>
      <c r="D1067" t="s">
        <v>9</v>
      </c>
      <c r="E1067" t="s">
        <v>14</v>
      </c>
      <c r="F1067">
        <v>36</v>
      </c>
      <c r="G1067">
        <v>464</v>
      </c>
      <c r="H1067">
        <v>16704</v>
      </c>
    </row>
    <row r="1068" spans="1:8" x14ac:dyDescent="0.35">
      <c r="A1068" s="2">
        <v>45336</v>
      </c>
      <c r="B1068" s="7">
        <f t="shared" si="16"/>
        <v>2</v>
      </c>
      <c r="C1068" s="7" t="str">
        <f>_xlfn.XLOOKUP(B1068,catalogos!$A$2:$A$13,catalogos!$B$2:$B$13)</f>
        <v>February</v>
      </c>
      <c r="D1068" t="s">
        <v>10</v>
      </c>
      <c r="E1068" t="s">
        <v>11</v>
      </c>
      <c r="F1068">
        <v>39</v>
      </c>
      <c r="G1068">
        <v>240</v>
      </c>
      <c r="H1068">
        <v>9360</v>
      </c>
    </row>
    <row r="1069" spans="1:8" x14ac:dyDescent="0.35">
      <c r="A1069" s="2">
        <v>45336</v>
      </c>
      <c r="B1069" s="7">
        <f t="shared" si="16"/>
        <v>2</v>
      </c>
      <c r="C1069" s="7" t="str">
        <f>_xlfn.XLOOKUP(B1069,catalogos!$A$2:$A$13,catalogos!$B$2:$B$13)</f>
        <v>February</v>
      </c>
      <c r="D1069" t="s">
        <v>10</v>
      </c>
      <c r="E1069" t="s">
        <v>13</v>
      </c>
      <c r="F1069">
        <v>24</v>
      </c>
      <c r="G1069">
        <v>447</v>
      </c>
      <c r="H1069">
        <v>10728</v>
      </c>
    </row>
    <row r="1070" spans="1:8" x14ac:dyDescent="0.35">
      <c r="A1070" s="2">
        <v>45336</v>
      </c>
      <c r="B1070" s="7">
        <f t="shared" si="16"/>
        <v>2</v>
      </c>
      <c r="C1070" s="7" t="str">
        <f>_xlfn.XLOOKUP(B1070,catalogos!$A$2:$A$13,catalogos!$B$2:$B$13)</f>
        <v>February</v>
      </c>
      <c r="D1070" t="s">
        <v>9</v>
      </c>
      <c r="E1070" t="s">
        <v>13</v>
      </c>
      <c r="F1070">
        <v>47</v>
      </c>
      <c r="G1070">
        <v>224</v>
      </c>
      <c r="H1070">
        <v>10528</v>
      </c>
    </row>
    <row r="1071" spans="1:8" x14ac:dyDescent="0.35">
      <c r="A1071" s="2">
        <v>45336</v>
      </c>
      <c r="B1071" s="7">
        <f t="shared" si="16"/>
        <v>2</v>
      </c>
      <c r="C1071" s="7" t="str">
        <f>_xlfn.XLOOKUP(B1071,catalogos!$A$2:$A$13,catalogos!$B$2:$B$13)</f>
        <v>February</v>
      </c>
      <c r="D1071" t="s">
        <v>10</v>
      </c>
      <c r="E1071" t="s">
        <v>13</v>
      </c>
      <c r="F1071">
        <v>62</v>
      </c>
      <c r="G1071">
        <v>246</v>
      </c>
      <c r="H1071">
        <v>15252</v>
      </c>
    </row>
    <row r="1072" spans="1:8" x14ac:dyDescent="0.35">
      <c r="A1072" s="2">
        <v>45336</v>
      </c>
      <c r="B1072" s="7">
        <f t="shared" si="16"/>
        <v>2</v>
      </c>
      <c r="C1072" s="7" t="str">
        <f>_xlfn.XLOOKUP(B1072,catalogos!$A$2:$A$13,catalogos!$B$2:$B$13)</f>
        <v>February</v>
      </c>
      <c r="D1072" t="s">
        <v>10</v>
      </c>
      <c r="E1072" t="s">
        <v>15</v>
      </c>
      <c r="F1072">
        <v>57</v>
      </c>
      <c r="G1072">
        <v>296</v>
      </c>
      <c r="H1072">
        <v>16872</v>
      </c>
    </row>
    <row r="1073" spans="1:8" x14ac:dyDescent="0.35">
      <c r="A1073" s="2">
        <v>45336</v>
      </c>
      <c r="B1073" s="7">
        <f t="shared" si="16"/>
        <v>2</v>
      </c>
      <c r="C1073" s="7" t="str">
        <f>_xlfn.XLOOKUP(B1073,catalogos!$A$2:$A$13,catalogos!$B$2:$B$13)</f>
        <v>February</v>
      </c>
      <c r="D1073" t="s">
        <v>10</v>
      </c>
      <c r="E1073" t="s">
        <v>13</v>
      </c>
      <c r="F1073">
        <v>65</v>
      </c>
      <c r="G1073">
        <v>115</v>
      </c>
      <c r="H1073">
        <v>7475</v>
      </c>
    </row>
    <row r="1074" spans="1:8" x14ac:dyDescent="0.35">
      <c r="A1074" s="2">
        <v>45336</v>
      </c>
      <c r="B1074" s="7">
        <f t="shared" si="16"/>
        <v>2</v>
      </c>
      <c r="C1074" s="7" t="str">
        <f>_xlfn.XLOOKUP(B1074,catalogos!$A$2:$A$13,catalogos!$B$2:$B$13)</f>
        <v>February</v>
      </c>
      <c r="D1074" t="s">
        <v>6</v>
      </c>
      <c r="E1074" t="s">
        <v>12</v>
      </c>
      <c r="F1074">
        <v>65</v>
      </c>
      <c r="G1074">
        <v>229</v>
      </c>
      <c r="H1074">
        <v>14885</v>
      </c>
    </row>
    <row r="1075" spans="1:8" x14ac:dyDescent="0.35">
      <c r="A1075" s="2">
        <v>45336</v>
      </c>
      <c r="B1075" s="7">
        <f t="shared" si="16"/>
        <v>2</v>
      </c>
      <c r="C1075" s="7" t="str">
        <f>_xlfn.XLOOKUP(B1075,catalogos!$A$2:$A$13,catalogos!$B$2:$B$13)</f>
        <v>February</v>
      </c>
      <c r="D1075" t="s">
        <v>10</v>
      </c>
      <c r="E1075" t="s">
        <v>11</v>
      </c>
      <c r="F1075">
        <v>58</v>
      </c>
      <c r="G1075">
        <v>31</v>
      </c>
      <c r="H1075">
        <v>1798</v>
      </c>
    </row>
    <row r="1076" spans="1:8" x14ac:dyDescent="0.35">
      <c r="A1076" s="2">
        <v>45336</v>
      </c>
      <c r="B1076" s="7">
        <f t="shared" si="16"/>
        <v>2</v>
      </c>
      <c r="C1076" s="7" t="str">
        <f>_xlfn.XLOOKUP(B1076,catalogos!$A$2:$A$13,catalogos!$B$2:$B$13)</f>
        <v>February</v>
      </c>
      <c r="D1076" t="s">
        <v>8</v>
      </c>
      <c r="E1076" t="s">
        <v>12</v>
      </c>
      <c r="F1076">
        <v>91</v>
      </c>
      <c r="G1076">
        <v>218</v>
      </c>
      <c r="H1076">
        <v>19838</v>
      </c>
    </row>
    <row r="1077" spans="1:8" x14ac:dyDescent="0.35">
      <c r="A1077" s="2">
        <v>45336</v>
      </c>
      <c r="B1077" s="7">
        <f t="shared" si="16"/>
        <v>2</v>
      </c>
      <c r="C1077" s="7" t="str">
        <f>_xlfn.XLOOKUP(B1077,catalogos!$A$2:$A$13,catalogos!$B$2:$B$13)</f>
        <v>February</v>
      </c>
      <c r="D1077" t="s">
        <v>8</v>
      </c>
      <c r="E1077" t="s">
        <v>14</v>
      </c>
      <c r="F1077">
        <v>29</v>
      </c>
      <c r="G1077">
        <v>362</v>
      </c>
      <c r="H1077">
        <v>10498</v>
      </c>
    </row>
    <row r="1078" spans="1:8" x14ac:dyDescent="0.35">
      <c r="A1078" s="2">
        <v>45336</v>
      </c>
      <c r="B1078" s="7">
        <f t="shared" si="16"/>
        <v>2</v>
      </c>
      <c r="C1078" s="7" t="str">
        <f>_xlfn.XLOOKUP(B1078,catalogos!$A$2:$A$13,catalogos!$B$2:$B$13)</f>
        <v>February</v>
      </c>
      <c r="D1078" t="s">
        <v>9</v>
      </c>
      <c r="E1078" t="s">
        <v>13</v>
      </c>
      <c r="F1078">
        <v>53</v>
      </c>
      <c r="G1078">
        <v>14</v>
      </c>
      <c r="H1078">
        <v>742</v>
      </c>
    </row>
    <row r="1079" spans="1:8" x14ac:dyDescent="0.35">
      <c r="A1079" s="2">
        <v>45336</v>
      </c>
      <c r="B1079" s="7">
        <f t="shared" si="16"/>
        <v>2</v>
      </c>
      <c r="C1079" s="7" t="str">
        <f>_xlfn.XLOOKUP(B1079,catalogos!$A$2:$A$13,catalogos!$B$2:$B$13)</f>
        <v>February</v>
      </c>
      <c r="D1079" t="s">
        <v>9</v>
      </c>
      <c r="E1079" t="s">
        <v>12</v>
      </c>
      <c r="F1079">
        <v>51</v>
      </c>
      <c r="G1079">
        <v>58</v>
      </c>
      <c r="H1079">
        <v>2958</v>
      </c>
    </row>
    <row r="1080" spans="1:8" x14ac:dyDescent="0.35">
      <c r="A1080" s="2">
        <v>45336</v>
      </c>
      <c r="B1080" s="7">
        <f t="shared" si="16"/>
        <v>2</v>
      </c>
      <c r="C1080" s="7" t="str">
        <f>_xlfn.XLOOKUP(B1080,catalogos!$A$2:$A$13,catalogos!$B$2:$B$13)</f>
        <v>February</v>
      </c>
      <c r="D1080" t="s">
        <v>7</v>
      </c>
      <c r="E1080" t="s">
        <v>13</v>
      </c>
      <c r="F1080">
        <v>26</v>
      </c>
      <c r="G1080">
        <v>438</v>
      </c>
      <c r="H1080">
        <v>11388</v>
      </c>
    </row>
    <row r="1081" spans="1:8" x14ac:dyDescent="0.35">
      <c r="A1081" s="2">
        <v>45336</v>
      </c>
      <c r="B1081" s="7">
        <f t="shared" si="16"/>
        <v>2</v>
      </c>
      <c r="C1081" s="7" t="str">
        <f>_xlfn.XLOOKUP(B1081,catalogos!$A$2:$A$13,catalogos!$B$2:$B$13)</f>
        <v>February</v>
      </c>
      <c r="D1081" t="s">
        <v>8</v>
      </c>
      <c r="E1081" t="s">
        <v>15</v>
      </c>
      <c r="F1081">
        <v>85</v>
      </c>
      <c r="G1081">
        <v>347</v>
      </c>
      <c r="H1081">
        <v>29495</v>
      </c>
    </row>
    <row r="1082" spans="1:8" x14ac:dyDescent="0.35">
      <c r="A1082" s="2">
        <v>45337</v>
      </c>
      <c r="B1082" s="7">
        <f t="shared" si="16"/>
        <v>2</v>
      </c>
      <c r="C1082" s="7" t="str">
        <f>_xlfn.XLOOKUP(B1082,catalogos!$A$2:$A$13,catalogos!$B$2:$B$13)</f>
        <v>February</v>
      </c>
      <c r="D1082" t="s">
        <v>10</v>
      </c>
      <c r="E1082" t="s">
        <v>15</v>
      </c>
      <c r="F1082">
        <v>36</v>
      </c>
      <c r="G1082">
        <v>72</v>
      </c>
      <c r="H1082">
        <v>2592</v>
      </c>
    </row>
    <row r="1083" spans="1:8" x14ac:dyDescent="0.35">
      <c r="A1083" s="2">
        <v>45337</v>
      </c>
      <c r="B1083" s="7">
        <f t="shared" si="16"/>
        <v>2</v>
      </c>
      <c r="C1083" s="7" t="str">
        <f>_xlfn.XLOOKUP(B1083,catalogos!$A$2:$A$13,catalogos!$B$2:$B$13)</f>
        <v>February</v>
      </c>
      <c r="D1083" t="s">
        <v>8</v>
      </c>
      <c r="E1083" t="s">
        <v>11</v>
      </c>
      <c r="F1083">
        <v>26</v>
      </c>
      <c r="G1083">
        <v>29</v>
      </c>
      <c r="H1083">
        <v>754</v>
      </c>
    </row>
    <row r="1084" spans="1:8" x14ac:dyDescent="0.35">
      <c r="A1084" s="2">
        <v>45337</v>
      </c>
      <c r="B1084" s="7">
        <f t="shared" si="16"/>
        <v>2</v>
      </c>
      <c r="C1084" s="7" t="str">
        <f>_xlfn.XLOOKUP(B1084,catalogos!$A$2:$A$13,catalogos!$B$2:$B$13)</f>
        <v>February</v>
      </c>
      <c r="D1084" t="s">
        <v>6</v>
      </c>
      <c r="E1084" t="s">
        <v>11</v>
      </c>
      <c r="F1084">
        <v>92</v>
      </c>
      <c r="G1084">
        <v>300</v>
      </c>
      <c r="H1084">
        <v>27600</v>
      </c>
    </row>
    <row r="1085" spans="1:8" x14ac:dyDescent="0.35">
      <c r="A1085" s="2">
        <v>45337</v>
      </c>
      <c r="B1085" s="7">
        <f t="shared" si="16"/>
        <v>2</v>
      </c>
      <c r="C1085" s="7" t="str">
        <f>_xlfn.XLOOKUP(B1085,catalogos!$A$2:$A$13,catalogos!$B$2:$B$13)</f>
        <v>February</v>
      </c>
      <c r="D1085" t="s">
        <v>9</v>
      </c>
      <c r="E1085" t="s">
        <v>13</v>
      </c>
      <c r="F1085">
        <v>70</v>
      </c>
      <c r="G1085">
        <v>370</v>
      </c>
      <c r="H1085">
        <v>25900</v>
      </c>
    </row>
    <row r="1086" spans="1:8" x14ac:dyDescent="0.35">
      <c r="A1086" s="2">
        <v>45337</v>
      </c>
      <c r="B1086" s="7">
        <f t="shared" si="16"/>
        <v>2</v>
      </c>
      <c r="C1086" s="7" t="str">
        <f>_xlfn.XLOOKUP(B1086,catalogos!$A$2:$A$13,catalogos!$B$2:$B$13)</f>
        <v>February</v>
      </c>
      <c r="D1086" t="s">
        <v>9</v>
      </c>
      <c r="E1086" t="s">
        <v>12</v>
      </c>
      <c r="F1086">
        <v>53</v>
      </c>
      <c r="G1086">
        <v>121</v>
      </c>
      <c r="H1086">
        <v>6413</v>
      </c>
    </row>
    <row r="1087" spans="1:8" x14ac:dyDescent="0.35">
      <c r="A1087" s="2">
        <v>45337</v>
      </c>
      <c r="B1087" s="7">
        <f t="shared" si="16"/>
        <v>2</v>
      </c>
      <c r="C1087" s="7" t="str">
        <f>_xlfn.XLOOKUP(B1087,catalogos!$A$2:$A$13,catalogos!$B$2:$B$13)</f>
        <v>February</v>
      </c>
      <c r="D1087" t="s">
        <v>8</v>
      </c>
      <c r="E1087" t="s">
        <v>14</v>
      </c>
      <c r="F1087">
        <v>21</v>
      </c>
      <c r="G1087">
        <v>15</v>
      </c>
      <c r="H1087">
        <v>315</v>
      </c>
    </row>
    <row r="1088" spans="1:8" x14ac:dyDescent="0.35">
      <c r="A1088" s="2">
        <v>45337</v>
      </c>
      <c r="B1088" s="7">
        <f t="shared" si="16"/>
        <v>2</v>
      </c>
      <c r="C1088" s="7" t="str">
        <f>_xlfn.XLOOKUP(B1088,catalogos!$A$2:$A$13,catalogos!$B$2:$B$13)</f>
        <v>February</v>
      </c>
      <c r="D1088" t="s">
        <v>9</v>
      </c>
      <c r="E1088" t="s">
        <v>12</v>
      </c>
      <c r="F1088">
        <v>99</v>
      </c>
      <c r="G1088">
        <v>470</v>
      </c>
      <c r="H1088">
        <v>46530</v>
      </c>
    </row>
    <row r="1089" spans="1:8" x14ac:dyDescent="0.35">
      <c r="A1089" s="2">
        <v>45337</v>
      </c>
      <c r="B1089" s="7">
        <f t="shared" si="16"/>
        <v>2</v>
      </c>
      <c r="C1089" s="7" t="str">
        <f>_xlfn.XLOOKUP(B1089,catalogos!$A$2:$A$13,catalogos!$B$2:$B$13)</f>
        <v>February</v>
      </c>
      <c r="D1089" t="s">
        <v>10</v>
      </c>
      <c r="E1089" t="s">
        <v>11</v>
      </c>
      <c r="F1089">
        <v>23</v>
      </c>
      <c r="G1089">
        <v>225</v>
      </c>
      <c r="H1089">
        <v>5175</v>
      </c>
    </row>
    <row r="1090" spans="1:8" x14ac:dyDescent="0.35">
      <c r="A1090" s="2">
        <v>45337</v>
      </c>
      <c r="B1090" s="7">
        <f t="shared" si="16"/>
        <v>2</v>
      </c>
      <c r="C1090" s="7" t="str">
        <f>_xlfn.XLOOKUP(B1090,catalogos!$A$2:$A$13,catalogos!$B$2:$B$13)</f>
        <v>February</v>
      </c>
      <c r="D1090" t="s">
        <v>10</v>
      </c>
      <c r="E1090" t="s">
        <v>15</v>
      </c>
      <c r="F1090">
        <v>81</v>
      </c>
      <c r="G1090">
        <v>34</v>
      </c>
      <c r="H1090">
        <v>2754</v>
      </c>
    </row>
    <row r="1091" spans="1:8" x14ac:dyDescent="0.35">
      <c r="A1091" s="2">
        <v>45337</v>
      </c>
      <c r="B1091" s="7">
        <f t="shared" ref="B1091:B1154" si="17">MONTH(A1091)</f>
        <v>2</v>
      </c>
      <c r="C1091" s="7" t="str">
        <f>_xlfn.XLOOKUP(B1091,catalogos!$A$2:$A$13,catalogos!$B$2:$B$13)</f>
        <v>February</v>
      </c>
      <c r="D1091" t="s">
        <v>9</v>
      </c>
      <c r="E1091" t="s">
        <v>13</v>
      </c>
      <c r="F1091">
        <v>5</v>
      </c>
      <c r="G1091">
        <v>139</v>
      </c>
      <c r="H1091">
        <v>695</v>
      </c>
    </row>
    <row r="1092" spans="1:8" x14ac:dyDescent="0.35">
      <c r="A1092" s="2">
        <v>45337</v>
      </c>
      <c r="B1092" s="7">
        <f t="shared" si="17"/>
        <v>2</v>
      </c>
      <c r="C1092" s="7" t="str">
        <f>_xlfn.XLOOKUP(B1092,catalogos!$A$2:$A$13,catalogos!$B$2:$B$13)</f>
        <v>February</v>
      </c>
      <c r="D1092" t="s">
        <v>7</v>
      </c>
      <c r="E1092" t="s">
        <v>15</v>
      </c>
      <c r="F1092">
        <v>29</v>
      </c>
      <c r="G1092">
        <v>337</v>
      </c>
      <c r="H1092">
        <v>9773</v>
      </c>
    </row>
    <row r="1093" spans="1:8" x14ac:dyDescent="0.35">
      <c r="A1093" s="2">
        <v>45337</v>
      </c>
      <c r="B1093" s="7">
        <f t="shared" si="17"/>
        <v>2</v>
      </c>
      <c r="C1093" s="7" t="str">
        <f>_xlfn.XLOOKUP(B1093,catalogos!$A$2:$A$13,catalogos!$B$2:$B$13)</f>
        <v>February</v>
      </c>
      <c r="D1093" t="s">
        <v>6</v>
      </c>
      <c r="E1093" t="s">
        <v>12</v>
      </c>
      <c r="F1093">
        <v>68</v>
      </c>
      <c r="G1093">
        <v>33</v>
      </c>
      <c r="H1093">
        <v>2244</v>
      </c>
    </row>
    <row r="1094" spans="1:8" x14ac:dyDescent="0.35">
      <c r="A1094" s="2">
        <v>45337</v>
      </c>
      <c r="B1094" s="7">
        <f t="shared" si="17"/>
        <v>2</v>
      </c>
      <c r="C1094" s="7" t="str">
        <f>_xlfn.XLOOKUP(B1094,catalogos!$A$2:$A$13,catalogos!$B$2:$B$13)</f>
        <v>February</v>
      </c>
      <c r="D1094" t="s">
        <v>6</v>
      </c>
      <c r="E1094" t="s">
        <v>11</v>
      </c>
      <c r="F1094">
        <v>62</v>
      </c>
      <c r="G1094">
        <v>68</v>
      </c>
      <c r="H1094">
        <v>4216</v>
      </c>
    </row>
    <row r="1095" spans="1:8" x14ac:dyDescent="0.35">
      <c r="A1095" s="2">
        <v>45337</v>
      </c>
      <c r="B1095" s="7">
        <f t="shared" si="17"/>
        <v>2</v>
      </c>
      <c r="C1095" s="7" t="str">
        <f>_xlfn.XLOOKUP(B1095,catalogos!$A$2:$A$13,catalogos!$B$2:$B$13)</f>
        <v>February</v>
      </c>
      <c r="D1095" t="s">
        <v>6</v>
      </c>
      <c r="E1095" t="s">
        <v>15</v>
      </c>
      <c r="F1095">
        <v>13</v>
      </c>
      <c r="G1095">
        <v>499</v>
      </c>
      <c r="H1095">
        <v>6487</v>
      </c>
    </row>
    <row r="1096" spans="1:8" x14ac:dyDescent="0.35">
      <c r="A1096" s="2">
        <v>45337</v>
      </c>
      <c r="B1096" s="7">
        <f t="shared" si="17"/>
        <v>2</v>
      </c>
      <c r="C1096" s="7" t="str">
        <f>_xlfn.XLOOKUP(B1096,catalogos!$A$2:$A$13,catalogos!$B$2:$B$13)</f>
        <v>February</v>
      </c>
      <c r="D1096" t="s">
        <v>7</v>
      </c>
      <c r="E1096" t="s">
        <v>11</v>
      </c>
      <c r="F1096">
        <v>76</v>
      </c>
      <c r="G1096">
        <v>330</v>
      </c>
      <c r="H1096">
        <v>25080</v>
      </c>
    </row>
    <row r="1097" spans="1:8" x14ac:dyDescent="0.35">
      <c r="A1097" s="2">
        <v>45337</v>
      </c>
      <c r="B1097" s="7">
        <f t="shared" si="17"/>
        <v>2</v>
      </c>
      <c r="C1097" s="7" t="str">
        <f>_xlfn.XLOOKUP(B1097,catalogos!$A$2:$A$13,catalogos!$B$2:$B$13)</f>
        <v>February</v>
      </c>
      <c r="D1097" t="s">
        <v>6</v>
      </c>
      <c r="E1097" t="s">
        <v>15</v>
      </c>
      <c r="F1097">
        <v>33</v>
      </c>
      <c r="G1097">
        <v>399</v>
      </c>
      <c r="H1097">
        <v>13167</v>
      </c>
    </row>
    <row r="1098" spans="1:8" x14ac:dyDescent="0.35">
      <c r="A1098" s="2">
        <v>45337</v>
      </c>
      <c r="B1098" s="7">
        <f t="shared" si="17"/>
        <v>2</v>
      </c>
      <c r="C1098" s="7" t="str">
        <f>_xlfn.XLOOKUP(B1098,catalogos!$A$2:$A$13,catalogos!$B$2:$B$13)</f>
        <v>February</v>
      </c>
      <c r="D1098" t="s">
        <v>9</v>
      </c>
      <c r="E1098" t="s">
        <v>14</v>
      </c>
      <c r="F1098">
        <v>3</v>
      </c>
      <c r="G1098">
        <v>401</v>
      </c>
      <c r="H1098">
        <v>1203</v>
      </c>
    </row>
    <row r="1099" spans="1:8" x14ac:dyDescent="0.35">
      <c r="A1099" s="2">
        <v>45337</v>
      </c>
      <c r="B1099" s="7">
        <f t="shared" si="17"/>
        <v>2</v>
      </c>
      <c r="C1099" s="7" t="str">
        <f>_xlfn.XLOOKUP(B1099,catalogos!$A$2:$A$13,catalogos!$B$2:$B$13)</f>
        <v>February</v>
      </c>
      <c r="D1099" t="s">
        <v>6</v>
      </c>
      <c r="E1099" t="s">
        <v>14</v>
      </c>
      <c r="F1099">
        <v>89</v>
      </c>
      <c r="G1099">
        <v>358</v>
      </c>
      <c r="H1099">
        <v>31862</v>
      </c>
    </row>
    <row r="1100" spans="1:8" x14ac:dyDescent="0.35">
      <c r="A1100" s="2">
        <v>45337</v>
      </c>
      <c r="B1100" s="7">
        <f t="shared" si="17"/>
        <v>2</v>
      </c>
      <c r="C1100" s="7" t="str">
        <f>_xlfn.XLOOKUP(B1100,catalogos!$A$2:$A$13,catalogos!$B$2:$B$13)</f>
        <v>February</v>
      </c>
      <c r="D1100" t="s">
        <v>9</v>
      </c>
      <c r="E1100" t="s">
        <v>12</v>
      </c>
      <c r="F1100">
        <v>33</v>
      </c>
      <c r="G1100">
        <v>209</v>
      </c>
      <c r="H1100">
        <v>6897</v>
      </c>
    </row>
    <row r="1101" spans="1:8" x14ac:dyDescent="0.35">
      <c r="A1101" s="2">
        <v>45337</v>
      </c>
      <c r="B1101" s="7">
        <f t="shared" si="17"/>
        <v>2</v>
      </c>
      <c r="C1101" s="7" t="str">
        <f>_xlfn.XLOOKUP(B1101,catalogos!$A$2:$A$13,catalogos!$B$2:$B$13)</f>
        <v>February</v>
      </c>
      <c r="D1101" t="s">
        <v>7</v>
      </c>
      <c r="E1101" t="s">
        <v>13</v>
      </c>
      <c r="F1101">
        <v>59</v>
      </c>
      <c r="G1101">
        <v>186</v>
      </c>
      <c r="H1101">
        <v>10974</v>
      </c>
    </row>
    <row r="1102" spans="1:8" x14ac:dyDescent="0.35">
      <c r="A1102" s="2">
        <v>45337</v>
      </c>
      <c r="B1102" s="7">
        <f t="shared" si="17"/>
        <v>2</v>
      </c>
      <c r="C1102" s="7" t="str">
        <f>_xlfn.XLOOKUP(B1102,catalogos!$A$2:$A$13,catalogos!$B$2:$B$13)</f>
        <v>February</v>
      </c>
      <c r="D1102" t="s">
        <v>6</v>
      </c>
      <c r="E1102" t="s">
        <v>13</v>
      </c>
      <c r="F1102">
        <v>8</v>
      </c>
      <c r="G1102">
        <v>113</v>
      </c>
      <c r="H1102">
        <v>904</v>
      </c>
    </row>
    <row r="1103" spans="1:8" x14ac:dyDescent="0.35">
      <c r="A1103" s="2">
        <v>45337</v>
      </c>
      <c r="B1103" s="7">
        <f t="shared" si="17"/>
        <v>2</v>
      </c>
      <c r="C1103" s="7" t="str">
        <f>_xlfn.XLOOKUP(B1103,catalogos!$A$2:$A$13,catalogos!$B$2:$B$13)</f>
        <v>February</v>
      </c>
      <c r="D1103" t="s">
        <v>10</v>
      </c>
      <c r="E1103" t="s">
        <v>14</v>
      </c>
      <c r="F1103">
        <v>99</v>
      </c>
      <c r="G1103">
        <v>100</v>
      </c>
      <c r="H1103">
        <v>9900</v>
      </c>
    </row>
    <row r="1104" spans="1:8" x14ac:dyDescent="0.35">
      <c r="A1104" s="2">
        <v>45337</v>
      </c>
      <c r="B1104" s="7">
        <f t="shared" si="17"/>
        <v>2</v>
      </c>
      <c r="C1104" s="7" t="str">
        <f>_xlfn.XLOOKUP(B1104,catalogos!$A$2:$A$13,catalogos!$B$2:$B$13)</f>
        <v>February</v>
      </c>
      <c r="D1104" t="s">
        <v>10</v>
      </c>
      <c r="E1104" t="s">
        <v>12</v>
      </c>
      <c r="F1104">
        <v>84</v>
      </c>
      <c r="G1104">
        <v>244</v>
      </c>
      <c r="H1104">
        <v>20496</v>
      </c>
    </row>
    <row r="1105" spans="1:8" x14ac:dyDescent="0.35">
      <c r="A1105" s="2">
        <v>45337</v>
      </c>
      <c r="B1105" s="7">
        <f t="shared" si="17"/>
        <v>2</v>
      </c>
      <c r="C1105" s="7" t="str">
        <f>_xlfn.XLOOKUP(B1105,catalogos!$A$2:$A$13,catalogos!$B$2:$B$13)</f>
        <v>February</v>
      </c>
      <c r="D1105" t="s">
        <v>8</v>
      </c>
      <c r="E1105" t="s">
        <v>13</v>
      </c>
      <c r="F1105">
        <v>41</v>
      </c>
      <c r="G1105">
        <v>235</v>
      </c>
      <c r="H1105">
        <v>9635</v>
      </c>
    </row>
    <row r="1106" spans="1:8" x14ac:dyDescent="0.35">
      <c r="A1106" s="2">
        <v>45338</v>
      </c>
      <c r="B1106" s="7">
        <f t="shared" si="17"/>
        <v>2</v>
      </c>
      <c r="C1106" s="7" t="str">
        <f>_xlfn.XLOOKUP(B1106,catalogos!$A$2:$A$13,catalogos!$B$2:$B$13)</f>
        <v>February</v>
      </c>
      <c r="D1106" t="s">
        <v>7</v>
      </c>
      <c r="E1106" t="s">
        <v>13</v>
      </c>
      <c r="F1106">
        <v>99</v>
      </c>
      <c r="G1106">
        <v>185</v>
      </c>
      <c r="H1106">
        <v>18315</v>
      </c>
    </row>
    <row r="1107" spans="1:8" x14ac:dyDescent="0.35">
      <c r="A1107" s="2">
        <v>45338</v>
      </c>
      <c r="B1107" s="7">
        <f t="shared" si="17"/>
        <v>2</v>
      </c>
      <c r="C1107" s="7" t="str">
        <f>_xlfn.XLOOKUP(B1107,catalogos!$A$2:$A$13,catalogos!$B$2:$B$13)</f>
        <v>February</v>
      </c>
      <c r="D1107" t="s">
        <v>7</v>
      </c>
      <c r="E1107" t="s">
        <v>13</v>
      </c>
      <c r="F1107">
        <v>75</v>
      </c>
      <c r="G1107">
        <v>274</v>
      </c>
      <c r="H1107">
        <v>20550</v>
      </c>
    </row>
    <row r="1108" spans="1:8" x14ac:dyDescent="0.35">
      <c r="A1108" s="2">
        <v>45338</v>
      </c>
      <c r="B1108" s="7">
        <f t="shared" si="17"/>
        <v>2</v>
      </c>
      <c r="C1108" s="7" t="str">
        <f>_xlfn.XLOOKUP(B1108,catalogos!$A$2:$A$13,catalogos!$B$2:$B$13)</f>
        <v>February</v>
      </c>
      <c r="D1108" t="s">
        <v>7</v>
      </c>
      <c r="E1108" t="s">
        <v>15</v>
      </c>
      <c r="F1108">
        <v>65</v>
      </c>
      <c r="G1108">
        <v>402</v>
      </c>
      <c r="H1108">
        <v>26130</v>
      </c>
    </row>
    <row r="1109" spans="1:8" x14ac:dyDescent="0.35">
      <c r="A1109" s="2">
        <v>45338</v>
      </c>
      <c r="B1109" s="7">
        <f t="shared" si="17"/>
        <v>2</v>
      </c>
      <c r="C1109" s="7" t="str">
        <f>_xlfn.XLOOKUP(B1109,catalogos!$A$2:$A$13,catalogos!$B$2:$B$13)</f>
        <v>February</v>
      </c>
      <c r="D1109" t="s">
        <v>9</v>
      </c>
      <c r="E1109" t="s">
        <v>12</v>
      </c>
      <c r="F1109">
        <v>3</v>
      </c>
      <c r="G1109">
        <v>382</v>
      </c>
      <c r="H1109">
        <v>1146</v>
      </c>
    </row>
    <row r="1110" spans="1:8" x14ac:dyDescent="0.35">
      <c r="A1110" s="2">
        <v>45338</v>
      </c>
      <c r="B1110" s="7">
        <f t="shared" si="17"/>
        <v>2</v>
      </c>
      <c r="C1110" s="7" t="str">
        <f>_xlfn.XLOOKUP(B1110,catalogos!$A$2:$A$13,catalogos!$B$2:$B$13)</f>
        <v>February</v>
      </c>
      <c r="D1110" t="s">
        <v>9</v>
      </c>
      <c r="E1110" t="s">
        <v>12</v>
      </c>
      <c r="F1110">
        <v>11</v>
      </c>
      <c r="G1110">
        <v>476</v>
      </c>
      <c r="H1110">
        <v>5236</v>
      </c>
    </row>
    <row r="1111" spans="1:8" x14ac:dyDescent="0.35">
      <c r="A1111" s="2">
        <v>45338</v>
      </c>
      <c r="B1111" s="7">
        <f t="shared" si="17"/>
        <v>2</v>
      </c>
      <c r="C1111" s="7" t="str">
        <f>_xlfn.XLOOKUP(B1111,catalogos!$A$2:$A$13,catalogos!$B$2:$B$13)</f>
        <v>February</v>
      </c>
      <c r="D1111" t="s">
        <v>8</v>
      </c>
      <c r="E1111" t="s">
        <v>11</v>
      </c>
      <c r="F1111">
        <v>87</v>
      </c>
      <c r="G1111">
        <v>366</v>
      </c>
      <c r="H1111">
        <v>31842</v>
      </c>
    </row>
    <row r="1112" spans="1:8" x14ac:dyDescent="0.35">
      <c r="A1112" s="2">
        <v>45338</v>
      </c>
      <c r="B1112" s="7">
        <f t="shared" si="17"/>
        <v>2</v>
      </c>
      <c r="C1112" s="7" t="str">
        <f>_xlfn.XLOOKUP(B1112,catalogos!$A$2:$A$13,catalogos!$B$2:$B$13)</f>
        <v>February</v>
      </c>
      <c r="D1112" t="s">
        <v>6</v>
      </c>
      <c r="E1112" t="s">
        <v>13</v>
      </c>
      <c r="F1112">
        <v>57</v>
      </c>
      <c r="G1112">
        <v>300</v>
      </c>
      <c r="H1112">
        <v>17100</v>
      </c>
    </row>
    <row r="1113" spans="1:8" x14ac:dyDescent="0.35">
      <c r="A1113" s="2">
        <v>45338</v>
      </c>
      <c r="B1113" s="7">
        <f t="shared" si="17"/>
        <v>2</v>
      </c>
      <c r="C1113" s="7" t="str">
        <f>_xlfn.XLOOKUP(B1113,catalogos!$A$2:$A$13,catalogos!$B$2:$B$13)</f>
        <v>February</v>
      </c>
      <c r="D1113" t="s">
        <v>6</v>
      </c>
      <c r="E1113" t="s">
        <v>14</v>
      </c>
      <c r="F1113">
        <v>90</v>
      </c>
      <c r="G1113">
        <v>332</v>
      </c>
      <c r="H1113">
        <v>29880</v>
      </c>
    </row>
    <row r="1114" spans="1:8" x14ac:dyDescent="0.35">
      <c r="A1114" s="2">
        <v>45338</v>
      </c>
      <c r="B1114" s="7">
        <f t="shared" si="17"/>
        <v>2</v>
      </c>
      <c r="C1114" s="7" t="str">
        <f>_xlfn.XLOOKUP(B1114,catalogos!$A$2:$A$13,catalogos!$B$2:$B$13)</f>
        <v>February</v>
      </c>
      <c r="D1114" t="s">
        <v>10</v>
      </c>
      <c r="E1114" t="s">
        <v>13</v>
      </c>
      <c r="F1114">
        <v>63</v>
      </c>
      <c r="G1114">
        <v>262</v>
      </c>
      <c r="H1114">
        <v>16506</v>
      </c>
    </row>
    <row r="1115" spans="1:8" x14ac:dyDescent="0.35">
      <c r="A1115" s="2">
        <v>45338</v>
      </c>
      <c r="B1115" s="7">
        <f t="shared" si="17"/>
        <v>2</v>
      </c>
      <c r="C1115" s="7" t="str">
        <f>_xlfn.XLOOKUP(B1115,catalogos!$A$2:$A$13,catalogos!$B$2:$B$13)</f>
        <v>February</v>
      </c>
      <c r="D1115" t="s">
        <v>10</v>
      </c>
      <c r="E1115" t="s">
        <v>12</v>
      </c>
      <c r="F1115">
        <v>55</v>
      </c>
      <c r="G1115">
        <v>26</v>
      </c>
      <c r="H1115">
        <v>1430</v>
      </c>
    </row>
    <row r="1116" spans="1:8" x14ac:dyDescent="0.35">
      <c r="A1116" s="2">
        <v>45338</v>
      </c>
      <c r="B1116" s="7">
        <f t="shared" si="17"/>
        <v>2</v>
      </c>
      <c r="C1116" s="7" t="str">
        <f>_xlfn.XLOOKUP(B1116,catalogos!$A$2:$A$13,catalogos!$B$2:$B$13)</f>
        <v>February</v>
      </c>
      <c r="D1116" t="s">
        <v>7</v>
      </c>
      <c r="E1116" t="s">
        <v>11</v>
      </c>
      <c r="F1116">
        <v>42</v>
      </c>
      <c r="G1116">
        <v>121</v>
      </c>
      <c r="H1116">
        <v>5082</v>
      </c>
    </row>
    <row r="1117" spans="1:8" x14ac:dyDescent="0.35">
      <c r="A1117" s="2">
        <v>45338</v>
      </c>
      <c r="B1117" s="7">
        <f t="shared" si="17"/>
        <v>2</v>
      </c>
      <c r="C1117" s="7" t="str">
        <f>_xlfn.XLOOKUP(B1117,catalogos!$A$2:$A$13,catalogos!$B$2:$B$13)</f>
        <v>February</v>
      </c>
      <c r="D1117" t="s">
        <v>9</v>
      </c>
      <c r="E1117" t="s">
        <v>13</v>
      </c>
      <c r="F1117">
        <v>67</v>
      </c>
      <c r="G1117">
        <v>56</v>
      </c>
      <c r="H1117">
        <v>3752</v>
      </c>
    </row>
    <row r="1118" spans="1:8" x14ac:dyDescent="0.35">
      <c r="A1118" s="2">
        <v>45338</v>
      </c>
      <c r="B1118" s="7">
        <f t="shared" si="17"/>
        <v>2</v>
      </c>
      <c r="C1118" s="7" t="str">
        <f>_xlfn.XLOOKUP(B1118,catalogos!$A$2:$A$13,catalogos!$B$2:$B$13)</f>
        <v>February</v>
      </c>
      <c r="D1118" t="s">
        <v>10</v>
      </c>
      <c r="E1118" t="s">
        <v>12</v>
      </c>
      <c r="F1118">
        <v>25</v>
      </c>
      <c r="G1118">
        <v>281</v>
      </c>
      <c r="H1118">
        <v>7025</v>
      </c>
    </row>
    <row r="1119" spans="1:8" x14ac:dyDescent="0.35">
      <c r="A1119" s="2">
        <v>45338</v>
      </c>
      <c r="B1119" s="7">
        <f t="shared" si="17"/>
        <v>2</v>
      </c>
      <c r="C1119" s="7" t="str">
        <f>_xlfn.XLOOKUP(B1119,catalogos!$A$2:$A$13,catalogos!$B$2:$B$13)</f>
        <v>February</v>
      </c>
      <c r="D1119" t="s">
        <v>8</v>
      </c>
      <c r="E1119" t="s">
        <v>12</v>
      </c>
      <c r="F1119">
        <v>14</v>
      </c>
      <c r="G1119">
        <v>222</v>
      </c>
      <c r="H1119">
        <v>3108</v>
      </c>
    </row>
    <row r="1120" spans="1:8" x14ac:dyDescent="0.35">
      <c r="A1120" s="2">
        <v>45338</v>
      </c>
      <c r="B1120" s="7">
        <f t="shared" si="17"/>
        <v>2</v>
      </c>
      <c r="C1120" s="7" t="str">
        <f>_xlfn.XLOOKUP(B1120,catalogos!$A$2:$A$13,catalogos!$B$2:$B$13)</f>
        <v>February</v>
      </c>
      <c r="D1120" t="s">
        <v>8</v>
      </c>
      <c r="E1120" t="s">
        <v>11</v>
      </c>
      <c r="F1120">
        <v>44</v>
      </c>
      <c r="G1120">
        <v>155</v>
      </c>
      <c r="H1120">
        <v>6820</v>
      </c>
    </row>
    <row r="1121" spans="1:8" x14ac:dyDescent="0.35">
      <c r="A1121" s="2">
        <v>45338</v>
      </c>
      <c r="B1121" s="7">
        <f t="shared" si="17"/>
        <v>2</v>
      </c>
      <c r="C1121" s="7" t="str">
        <f>_xlfn.XLOOKUP(B1121,catalogos!$A$2:$A$13,catalogos!$B$2:$B$13)</f>
        <v>February</v>
      </c>
      <c r="D1121" t="s">
        <v>10</v>
      </c>
      <c r="E1121" t="s">
        <v>14</v>
      </c>
      <c r="F1121">
        <v>96</v>
      </c>
      <c r="G1121">
        <v>356</v>
      </c>
      <c r="H1121">
        <v>34176</v>
      </c>
    </row>
    <row r="1122" spans="1:8" x14ac:dyDescent="0.35">
      <c r="A1122" s="2">
        <v>45338</v>
      </c>
      <c r="B1122" s="7">
        <f t="shared" si="17"/>
        <v>2</v>
      </c>
      <c r="C1122" s="7" t="str">
        <f>_xlfn.XLOOKUP(B1122,catalogos!$A$2:$A$13,catalogos!$B$2:$B$13)</f>
        <v>February</v>
      </c>
      <c r="D1122" t="s">
        <v>8</v>
      </c>
      <c r="E1122" t="s">
        <v>14</v>
      </c>
      <c r="F1122">
        <v>71</v>
      </c>
      <c r="G1122">
        <v>347</v>
      </c>
      <c r="H1122">
        <v>24637</v>
      </c>
    </row>
    <row r="1123" spans="1:8" x14ac:dyDescent="0.35">
      <c r="A1123" s="2">
        <v>45338</v>
      </c>
      <c r="B1123" s="7">
        <f t="shared" si="17"/>
        <v>2</v>
      </c>
      <c r="C1123" s="7" t="str">
        <f>_xlfn.XLOOKUP(B1123,catalogos!$A$2:$A$13,catalogos!$B$2:$B$13)</f>
        <v>February</v>
      </c>
      <c r="D1123" t="s">
        <v>8</v>
      </c>
      <c r="E1123" t="s">
        <v>11</v>
      </c>
      <c r="F1123">
        <v>7</v>
      </c>
      <c r="G1123">
        <v>427</v>
      </c>
      <c r="H1123">
        <v>2989</v>
      </c>
    </row>
    <row r="1124" spans="1:8" x14ac:dyDescent="0.35">
      <c r="A1124" s="2">
        <v>45338</v>
      </c>
      <c r="B1124" s="7">
        <f t="shared" si="17"/>
        <v>2</v>
      </c>
      <c r="C1124" s="7" t="str">
        <f>_xlfn.XLOOKUP(B1124,catalogos!$A$2:$A$13,catalogos!$B$2:$B$13)</f>
        <v>February</v>
      </c>
      <c r="D1124" t="s">
        <v>9</v>
      </c>
      <c r="E1124" t="s">
        <v>13</v>
      </c>
      <c r="F1124">
        <v>52</v>
      </c>
      <c r="G1124">
        <v>14</v>
      </c>
      <c r="H1124">
        <v>728</v>
      </c>
    </row>
    <row r="1125" spans="1:8" x14ac:dyDescent="0.35">
      <c r="A1125" s="2">
        <v>45338</v>
      </c>
      <c r="B1125" s="7">
        <f t="shared" si="17"/>
        <v>2</v>
      </c>
      <c r="C1125" s="7" t="str">
        <f>_xlfn.XLOOKUP(B1125,catalogos!$A$2:$A$13,catalogos!$B$2:$B$13)</f>
        <v>February</v>
      </c>
      <c r="D1125" t="s">
        <v>8</v>
      </c>
      <c r="E1125" t="s">
        <v>14</v>
      </c>
      <c r="F1125">
        <v>30</v>
      </c>
      <c r="G1125">
        <v>30</v>
      </c>
      <c r="H1125">
        <v>900</v>
      </c>
    </row>
    <row r="1126" spans="1:8" x14ac:dyDescent="0.35">
      <c r="A1126" s="2">
        <v>45338</v>
      </c>
      <c r="B1126" s="7">
        <f t="shared" si="17"/>
        <v>2</v>
      </c>
      <c r="C1126" s="7" t="str">
        <f>_xlfn.XLOOKUP(B1126,catalogos!$A$2:$A$13,catalogos!$B$2:$B$13)</f>
        <v>February</v>
      </c>
      <c r="D1126" t="s">
        <v>6</v>
      </c>
      <c r="E1126" t="s">
        <v>15</v>
      </c>
      <c r="F1126">
        <v>58</v>
      </c>
      <c r="G1126">
        <v>400</v>
      </c>
      <c r="H1126">
        <v>23200</v>
      </c>
    </row>
    <row r="1127" spans="1:8" x14ac:dyDescent="0.35">
      <c r="A1127" s="2">
        <v>45338</v>
      </c>
      <c r="B1127" s="7">
        <f t="shared" si="17"/>
        <v>2</v>
      </c>
      <c r="C1127" s="7" t="str">
        <f>_xlfn.XLOOKUP(B1127,catalogos!$A$2:$A$13,catalogos!$B$2:$B$13)</f>
        <v>February</v>
      </c>
      <c r="D1127" t="s">
        <v>9</v>
      </c>
      <c r="E1127" t="s">
        <v>11</v>
      </c>
      <c r="F1127">
        <v>70</v>
      </c>
      <c r="G1127">
        <v>232</v>
      </c>
      <c r="H1127">
        <v>16240</v>
      </c>
    </row>
    <row r="1128" spans="1:8" x14ac:dyDescent="0.35">
      <c r="A1128" s="2">
        <v>45338</v>
      </c>
      <c r="B1128" s="7">
        <f t="shared" si="17"/>
        <v>2</v>
      </c>
      <c r="C1128" s="7" t="str">
        <f>_xlfn.XLOOKUP(B1128,catalogos!$A$2:$A$13,catalogos!$B$2:$B$13)</f>
        <v>February</v>
      </c>
      <c r="D1128" t="s">
        <v>8</v>
      </c>
      <c r="E1128" t="s">
        <v>12</v>
      </c>
      <c r="F1128">
        <v>92</v>
      </c>
      <c r="G1128">
        <v>431</v>
      </c>
      <c r="H1128">
        <v>39652</v>
      </c>
    </row>
    <row r="1129" spans="1:8" x14ac:dyDescent="0.35">
      <c r="A1129" s="2">
        <v>45338</v>
      </c>
      <c r="B1129" s="7">
        <f t="shared" si="17"/>
        <v>2</v>
      </c>
      <c r="C1129" s="7" t="str">
        <f>_xlfn.XLOOKUP(B1129,catalogos!$A$2:$A$13,catalogos!$B$2:$B$13)</f>
        <v>February</v>
      </c>
      <c r="D1129" t="s">
        <v>8</v>
      </c>
      <c r="E1129" t="s">
        <v>11</v>
      </c>
      <c r="F1129">
        <v>8</v>
      </c>
      <c r="G1129">
        <v>473</v>
      </c>
      <c r="H1129">
        <v>3784</v>
      </c>
    </row>
    <row r="1130" spans="1:8" x14ac:dyDescent="0.35">
      <c r="A1130" s="2">
        <v>45339</v>
      </c>
      <c r="B1130" s="7">
        <f t="shared" si="17"/>
        <v>2</v>
      </c>
      <c r="C1130" s="7" t="str">
        <f>_xlfn.XLOOKUP(B1130,catalogos!$A$2:$A$13,catalogos!$B$2:$B$13)</f>
        <v>February</v>
      </c>
      <c r="D1130" t="s">
        <v>10</v>
      </c>
      <c r="E1130" t="s">
        <v>13</v>
      </c>
      <c r="F1130">
        <v>25</v>
      </c>
      <c r="G1130">
        <v>19</v>
      </c>
      <c r="H1130">
        <v>475</v>
      </c>
    </row>
    <row r="1131" spans="1:8" x14ac:dyDescent="0.35">
      <c r="A1131" s="2">
        <v>45339</v>
      </c>
      <c r="B1131" s="7">
        <f t="shared" si="17"/>
        <v>2</v>
      </c>
      <c r="C1131" s="7" t="str">
        <f>_xlfn.XLOOKUP(B1131,catalogos!$A$2:$A$13,catalogos!$B$2:$B$13)</f>
        <v>February</v>
      </c>
      <c r="D1131" t="s">
        <v>6</v>
      </c>
      <c r="E1131" t="s">
        <v>13</v>
      </c>
      <c r="F1131">
        <v>28</v>
      </c>
      <c r="G1131">
        <v>203</v>
      </c>
      <c r="H1131">
        <v>5684</v>
      </c>
    </row>
    <row r="1132" spans="1:8" x14ac:dyDescent="0.35">
      <c r="A1132" s="2">
        <v>45339</v>
      </c>
      <c r="B1132" s="7">
        <f t="shared" si="17"/>
        <v>2</v>
      </c>
      <c r="C1132" s="7" t="str">
        <f>_xlfn.XLOOKUP(B1132,catalogos!$A$2:$A$13,catalogos!$B$2:$B$13)</f>
        <v>February</v>
      </c>
      <c r="D1132" t="s">
        <v>8</v>
      </c>
      <c r="E1132" t="s">
        <v>13</v>
      </c>
      <c r="F1132">
        <v>20</v>
      </c>
      <c r="G1132">
        <v>229</v>
      </c>
      <c r="H1132">
        <v>4580</v>
      </c>
    </row>
    <row r="1133" spans="1:8" x14ac:dyDescent="0.35">
      <c r="A1133" s="2">
        <v>45339</v>
      </c>
      <c r="B1133" s="7">
        <f t="shared" si="17"/>
        <v>2</v>
      </c>
      <c r="C1133" s="7" t="str">
        <f>_xlfn.XLOOKUP(B1133,catalogos!$A$2:$A$13,catalogos!$B$2:$B$13)</f>
        <v>February</v>
      </c>
      <c r="D1133" t="s">
        <v>7</v>
      </c>
      <c r="E1133" t="s">
        <v>12</v>
      </c>
      <c r="F1133">
        <v>49</v>
      </c>
      <c r="G1133">
        <v>203</v>
      </c>
      <c r="H1133">
        <v>9947</v>
      </c>
    </row>
    <row r="1134" spans="1:8" x14ac:dyDescent="0.35">
      <c r="A1134" s="2">
        <v>45339</v>
      </c>
      <c r="B1134" s="7">
        <f t="shared" si="17"/>
        <v>2</v>
      </c>
      <c r="C1134" s="7" t="str">
        <f>_xlfn.XLOOKUP(B1134,catalogos!$A$2:$A$13,catalogos!$B$2:$B$13)</f>
        <v>February</v>
      </c>
      <c r="D1134" t="s">
        <v>7</v>
      </c>
      <c r="E1134" t="s">
        <v>13</v>
      </c>
      <c r="F1134">
        <v>43</v>
      </c>
      <c r="G1134">
        <v>12</v>
      </c>
      <c r="H1134">
        <v>516</v>
      </c>
    </row>
    <row r="1135" spans="1:8" x14ac:dyDescent="0.35">
      <c r="A1135" s="2">
        <v>45339</v>
      </c>
      <c r="B1135" s="7">
        <f t="shared" si="17"/>
        <v>2</v>
      </c>
      <c r="C1135" s="7" t="str">
        <f>_xlfn.XLOOKUP(B1135,catalogos!$A$2:$A$13,catalogos!$B$2:$B$13)</f>
        <v>February</v>
      </c>
      <c r="D1135" t="s">
        <v>8</v>
      </c>
      <c r="E1135" t="s">
        <v>15</v>
      </c>
      <c r="F1135">
        <v>7</v>
      </c>
      <c r="G1135">
        <v>414</v>
      </c>
      <c r="H1135">
        <v>2898</v>
      </c>
    </row>
    <row r="1136" spans="1:8" x14ac:dyDescent="0.35">
      <c r="A1136" s="2">
        <v>45339</v>
      </c>
      <c r="B1136" s="7">
        <f t="shared" si="17"/>
        <v>2</v>
      </c>
      <c r="C1136" s="7" t="str">
        <f>_xlfn.XLOOKUP(B1136,catalogos!$A$2:$A$13,catalogos!$B$2:$B$13)</f>
        <v>February</v>
      </c>
      <c r="D1136" t="s">
        <v>10</v>
      </c>
      <c r="E1136" t="s">
        <v>15</v>
      </c>
      <c r="F1136">
        <v>71</v>
      </c>
      <c r="G1136">
        <v>5</v>
      </c>
      <c r="H1136">
        <v>355</v>
      </c>
    </row>
    <row r="1137" spans="1:8" x14ac:dyDescent="0.35">
      <c r="A1137" s="2">
        <v>45339</v>
      </c>
      <c r="B1137" s="7">
        <f t="shared" si="17"/>
        <v>2</v>
      </c>
      <c r="C1137" s="7" t="str">
        <f>_xlfn.XLOOKUP(B1137,catalogos!$A$2:$A$13,catalogos!$B$2:$B$13)</f>
        <v>February</v>
      </c>
      <c r="D1137" t="s">
        <v>6</v>
      </c>
      <c r="E1137" t="s">
        <v>14</v>
      </c>
      <c r="F1137">
        <v>92</v>
      </c>
      <c r="G1137">
        <v>270</v>
      </c>
      <c r="H1137">
        <v>24840</v>
      </c>
    </row>
    <row r="1138" spans="1:8" x14ac:dyDescent="0.35">
      <c r="A1138" s="2">
        <v>45339</v>
      </c>
      <c r="B1138" s="7">
        <f t="shared" si="17"/>
        <v>2</v>
      </c>
      <c r="C1138" s="7" t="str">
        <f>_xlfn.XLOOKUP(B1138,catalogos!$A$2:$A$13,catalogos!$B$2:$B$13)</f>
        <v>February</v>
      </c>
      <c r="D1138" t="s">
        <v>6</v>
      </c>
      <c r="E1138" t="s">
        <v>15</v>
      </c>
      <c r="F1138">
        <v>53</v>
      </c>
      <c r="G1138">
        <v>497</v>
      </c>
      <c r="H1138">
        <v>26341</v>
      </c>
    </row>
    <row r="1139" spans="1:8" x14ac:dyDescent="0.35">
      <c r="A1139" s="2">
        <v>45339</v>
      </c>
      <c r="B1139" s="7">
        <f t="shared" si="17"/>
        <v>2</v>
      </c>
      <c r="C1139" s="7" t="str">
        <f>_xlfn.XLOOKUP(B1139,catalogos!$A$2:$A$13,catalogos!$B$2:$B$13)</f>
        <v>February</v>
      </c>
      <c r="D1139" t="s">
        <v>9</v>
      </c>
      <c r="E1139" t="s">
        <v>12</v>
      </c>
      <c r="F1139">
        <v>52</v>
      </c>
      <c r="G1139">
        <v>88</v>
      </c>
      <c r="H1139">
        <v>4576</v>
      </c>
    </row>
    <row r="1140" spans="1:8" x14ac:dyDescent="0.35">
      <c r="A1140" s="2">
        <v>45339</v>
      </c>
      <c r="B1140" s="7">
        <f t="shared" si="17"/>
        <v>2</v>
      </c>
      <c r="C1140" s="7" t="str">
        <f>_xlfn.XLOOKUP(B1140,catalogos!$A$2:$A$13,catalogos!$B$2:$B$13)</f>
        <v>February</v>
      </c>
      <c r="D1140" t="s">
        <v>10</v>
      </c>
      <c r="E1140" t="s">
        <v>12</v>
      </c>
      <c r="F1140">
        <v>30</v>
      </c>
      <c r="G1140">
        <v>149</v>
      </c>
      <c r="H1140">
        <v>4470</v>
      </c>
    </row>
    <row r="1141" spans="1:8" x14ac:dyDescent="0.35">
      <c r="A1141" s="2">
        <v>45339</v>
      </c>
      <c r="B1141" s="7">
        <f t="shared" si="17"/>
        <v>2</v>
      </c>
      <c r="C1141" s="7" t="str">
        <f>_xlfn.XLOOKUP(B1141,catalogos!$A$2:$A$13,catalogos!$B$2:$B$13)</f>
        <v>February</v>
      </c>
      <c r="D1141" t="s">
        <v>7</v>
      </c>
      <c r="E1141" t="s">
        <v>15</v>
      </c>
      <c r="F1141">
        <v>22</v>
      </c>
      <c r="G1141">
        <v>371</v>
      </c>
      <c r="H1141">
        <v>8162</v>
      </c>
    </row>
    <row r="1142" spans="1:8" x14ac:dyDescent="0.35">
      <c r="A1142" s="2">
        <v>45339</v>
      </c>
      <c r="B1142" s="7">
        <f t="shared" si="17"/>
        <v>2</v>
      </c>
      <c r="C1142" s="7" t="str">
        <f>_xlfn.XLOOKUP(B1142,catalogos!$A$2:$A$13,catalogos!$B$2:$B$13)</f>
        <v>February</v>
      </c>
      <c r="D1142" t="s">
        <v>8</v>
      </c>
      <c r="E1142" t="s">
        <v>12</v>
      </c>
      <c r="F1142">
        <v>42</v>
      </c>
      <c r="G1142">
        <v>52</v>
      </c>
      <c r="H1142">
        <v>2184</v>
      </c>
    </row>
    <row r="1143" spans="1:8" x14ac:dyDescent="0.35">
      <c r="A1143" s="2">
        <v>45339</v>
      </c>
      <c r="B1143" s="7">
        <f t="shared" si="17"/>
        <v>2</v>
      </c>
      <c r="C1143" s="7" t="str">
        <f>_xlfn.XLOOKUP(B1143,catalogos!$A$2:$A$13,catalogos!$B$2:$B$13)</f>
        <v>February</v>
      </c>
      <c r="D1143" t="s">
        <v>10</v>
      </c>
      <c r="E1143" t="s">
        <v>14</v>
      </c>
      <c r="F1143">
        <v>26</v>
      </c>
      <c r="G1143">
        <v>300</v>
      </c>
      <c r="H1143">
        <v>7800</v>
      </c>
    </row>
    <row r="1144" spans="1:8" x14ac:dyDescent="0.35">
      <c r="A1144" s="2">
        <v>45339</v>
      </c>
      <c r="B1144" s="7">
        <f t="shared" si="17"/>
        <v>2</v>
      </c>
      <c r="C1144" s="7" t="str">
        <f>_xlfn.XLOOKUP(B1144,catalogos!$A$2:$A$13,catalogos!$B$2:$B$13)</f>
        <v>February</v>
      </c>
      <c r="D1144" t="s">
        <v>10</v>
      </c>
      <c r="E1144" t="s">
        <v>13</v>
      </c>
      <c r="F1144">
        <v>73</v>
      </c>
      <c r="G1144">
        <v>261</v>
      </c>
      <c r="H1144">
        <v>19053</v>
      </c>
    </row>
    <row r="1145" spans="1:8" x14ac:dyDescent="0.35">
      <c r="A1145" s="2">
        <v>45339</v>
      </c>
      <c r="B1145" s="7">
        <f t="shared" si="17"/>
        <v>2</v>
      </c>
      <c r="C1145" s="7" t="str">
        <f>_xlfn.XLOOKUP(B1145,catalogos!$A$2:$A$13,catalogos!$B$2:$B$13)</f>
        <v>February</v>
      </c>
      <c r="D1145" t="s">
        <v>10</v>
      </c>
      <c r="E1145" t="s">
        <v>11</v>
      </c>
      <c r="F1145">
        <v>19</v>
      </c>
      <c r="G1145">
        <v>484</v>
      </c>
      <c r="H1145">
        <v>9196</v>
      </c>
    </row>
    <row r="1146" spans="1:8" x14ac:dyDescent="0.35">
      <c r="A1146" s="2">
        <v>45339</v>
      </c>
      <c r="B1146" s="7">
        <f t="shared" si="17"/>
        <v>2</v>
      </c>
      <c r="C1146" s="7" t="str">
        <f>_xlfn.XLOOKUP(B1146,catalogos!$A$2:$A$13,catalogos!$B$2:$B$13)</f>
        <v>February</v>
      </c>
      <c r="D1146" t="s">
        <v>6</v>
      </c>
      <c r="E1146" t="s">
        <v>12</v>
      </c>
      <c r="F1146">
        <v>48</v>
      </c>
      <c r="G1146">
        <v>408</v>
      </c>
      <c r="H1146">
        <v>19584</v>
      </c>
    </row>
    <row r="1147" spans="1:8" x14ac:dyDescent="0.35">
      <c r="A1147" s="2">
        <v>45339</v>
      </c>
      <c r="B1147" s="7">
        <f t="shared" si="17"/>
        <v>2</v>
      </c>
      <c r="C1147" s="7" t="str">
        <f>_xlfn.XLOOKUP(B1147,catalogos!$A$2:$A$13,catalogos!$B$2:$B$13)</f>
        <v>February</v>
      </c>
      <c r="D1147" t="s">
        <v>10</v>
      </c>
      <c r="E1147" t="s">
        <v>11</v>
      </c>
      <c r="F1147">
        <v>77</v>
      </c>
      <c r="G1147">
        <v>207</v>
      </c>
      <c r="H1147">
        <v>15939</v>
      </c>
    </row>
    <row r="1148" spans="1:8" x14ac:dyDescent="0.35">
      <c r="A1148" s="2">
        <v>45339</v>
      </c>
      <c r="B1148" s="7">
        <f t="shared" si="17"/>
        <v>2</v>
      </c>
      <c r="C1148" s="7" t="str">
        <f>_xlfn.XLOOKUP(B1148,catalogos!$A$2:$A$13,catalogos!$B$2:$B$13)</f>
        <v>February</v>
      </c>
      <c r="D1148" t="s">
        <v>8</v>
      </c>
      <c r="E1148" t="s">
        <v>15</v>
      </c>
      <c r="F1148">
        <v>35</v>
      </c>
      <c r="G1148">
        <v>324</v>
      </c>
      <c r="H1148">
        <v>11340</v>
      </c>
    </row>
    <row r="1149" spans="1:8" x14ac:dyDescent="0.35">
      <c r="A1149" s="2">
        <v>45339</v>
      </c>
      <c r="B1149" s="7">
        <f t="shared" si="17"/>
        <v>2</v>
      </c>
      <c r="C1149" s="7" t="str">
        <f>_xlfn.XLOOKUP(B1149,catalogos!$A$2:$A$13,catalogos!$B$2:$B$13)</f>
        <v>February</v>
      </c>
      <c r="D1149" t="s">
        <v>9</v>
      </c>
      <c r="E1149" t="s">
        <v>13</v>
      </c>
      <c r="F1149">
        <v>96</v>
      </c>
      <c r="G1149">
        <v>26</v>
      </c>
      <c r="H1149">
        <v>2496</v>
      </c>
    </row>
    <row r="1150" spans="1:8" x14ac:dyDescent="0.35">
      <c r="A1150" s="2">
        <v>45339</v>
      </c>
      <c r="B1150" s="7">
        <f t="shared" si="17"/>
        <v>2</v>
      </c>
      <c r="C1150" s="7" t="str">
        <f>_xlfn.XLOOKUP(B1150,catalogos!$A$2:$A$13,catalogos!$B$2:$B$13)</f>
        <v>February</v>
      </c>
      <c r="D1150" t="s">
        <v>9</v>
      </c>
      <c r="E1150" t="s">
        <v>14</v>
      </c>
      <c r="F1150">
        <v>59</v>
      </c>
      <c r="G1150">
        <v>172</v>
      </c>
      <c r="H1150">
        <v>10148</v>
      </c>
    </row>
    <row r="1151" spans="1:8" x14ac:dyDescent="0.35">
      <c r="A1151" s="2">
        <v>45339</v>
      </c>
      <c r="B1151" s="7">
        <f t="shared" si="17"/>
        <v>2</v>
      </c>
      <c r="C1151" s="7" t="str">
        <f>_xlfn.XLOOKUP(B1151,catalogos!$A$2:$A$13,catalogos!$B$2:$B$13)</f>
        <v>February</v>
      </c>
      <c r="D1151" t="s">
        <v>10</v>
      </c>
      <c r="E1151" t="s">
        <v>15</v>
      </c>
      <c r="F1151">
        <v>88</v>
      </c>
      <c r="G1151">
        <v>282</v>
      </c>
      <c r="H1151">
        <v>24816</v>
      </c>
    </row>
    <row r="1152" spans="1:8" x14ac:dyDescent="0.35">
      <c r="A1152" s="2">
        <v>45339</v>
      </c>
      <c r="B1152" s="7">
        <f t="shared" si="17"/>
        <v>2</v>
      </c>
      <c r="C1152" s="7" t="str">
        <f>_xlfn.XLOOKUP(B1152,catalogos!$A$2:$A$13,catalogos!$B$2:$B$13)</f>
        <v>February</v>
      </c>
      <c r="D1152" t="s">
        <v>9</v>
      </c>
      <c r="E1152" t="s">
        <v>15</v>
      </c>
      <c r="F1152">
        <v>62</v>
      </c>
      <c r="G1152">
        <v>330</v>
      </c>
      <c r="H1152">
        <v>20460</v>
      </c>
    </row>
    <row r="1153" spans="1:8" x14ac:dyDescent="0.35">
      <c r="A1153" s="2">
        <v>45339</v>
      </c>
      <c r="B1153" s="7">
        <f t="shared" si="17"/>
        <v>2</v>
      </c>
      <c r="C1153" s="7" t="str">
        <f>_xlfn.XLOOKUP(B1153,catalogos!$A$2:$A$13,catalogos!$B$2:$B$13)</f>
        <v>February</v>
      </c>
      <c r="D1153" t="s">
        <v>7</v>
      </c>
      <c r="E1153" t="s">
        <v>15</v>
      </c>
      <c r="F1153">
        <v>99</v>
      </c>
      <c r="G1153">
        <v>378</v>
      </c>
      <c r="H1153">
        <v>37422</v>
      </c>
    </row>
    <row r="1154" spans="1:8" x14ac:dyDescent="0.35">
      <c r="A1154" s="2">
        <v>45340</v>
      </c>
      <c r="B1154" s="7">
        <f t="shared" si="17"/>
        <v>2</v>
      </c>
      <c r="C1154" s="7" t="str">
        <f>_xlfn.XLOOKUP(B1154,catalogos!$A$2:$A$13,catalogos!$B$2:$B$13)</f>
        <v>February</v>
      </c>
      <c r="D1154" t="s">
        <v>7</v>
      </c>
      <c r="E1154" t="s">
        <v>11</v>
      </c>
      <c r="F1154">
        <v>53</v>
      </c>
      <c r="G1154">
        <v>175</v>
      </c>
      <c r="H1154">
        <v>9275</v>
      </c>
    </row>
    <row r="1155" spans="1:8" x14ac:dyDescent="0.35">
      <c r="A1155" s="2">
        <v>45340</v>
      </c>
      <c r="B1155" s="7">
        <f t="shared" ref="B1155:B1218" si="18">MONTH(A1155)</f>
        <v>2</v>
      </c>
      <c r="C1155" s="7" t="str">
        <f>_xlfn.XLOOKUP(B1155,catalogos!$A$2:$A$13,catalogos!$B$2:$B$13)</f>
        <v>February</v>
      </c>
      <c r="D1155" t="s">
        <v>7</v>
      </c>
      <c r="E1155" t="s">
        <v>15</v>
      </c>
      <c r="F1155">
        <v>59</v>
      </c>
      <c r="G1155">
        <v>390</v>
      </c>
      <c r="H1155">
        <v>23010</v>
      </c>
    </row>
    <row r="1156" spans="1:8" x14ac:dyDescent="0.35">
      <c r="A1156" s="2">
        <v>45340</v>
      </c>
      <c r="B1156" s="7">
        <f t="shared" si="18"/>
        <v>2</v>
      </c>
      <c r="C1156" s="7" t="str">
        <f>_xlfn.XLOOKUP(B1156,catalogos!$A$2:$A$13,catalogos!$B$2:$B$13)</f>
        <v>February</v>
      </c>
      <c r="D1156" t="s">
        <v>6</v>
      </c>
      <c r="E1156" t="s">
        <v>14</v>
      </c>
      <c r="F1156">
        <v>27</v>
      </c>
      <c r="G1156">
        <v>232</v>
      </c>
      <c r="H1156">
        <v>6264</v>
      </c>
    </row>
    <row r="1157" spans="1:8" x14ac:dyDescent="0.35">
      <c r="A1157" s="2">
        <v>45340</v>
      </c>
      <c r="B1157" s="7">
        <f t="shared" si="18"/>
        <v>2</v>
      </c>
      <c r="C1157" s="7" t="str">
        <f>_xlfn.XLOOKUP(B1157,catalogos!$A$2:$A$13,catalogos!$B$2:$B$13)</f>
        <v>February</v>
      </c>
      <c r="D1157" t="s">
        <v>10</v>
      </c>
      <c r="E1157" t="s">
        <v>12</v>
      </c>
      <c r="F1157">
        <v>70</v>
      </c>
      <c r="G1157">
        <v>36</v>
      </c>
      <c r="H1157">
        <v>2520</v>
      </c>
    </row>
    <row r="1158" spans="1:8" x14ac:dyDescent="0.35">
      <c r="A1158" s="2">
        <v>45340</v>
      </c>
      <c r="B1158" s="7">
        <f t="shared" si="18"/>
        <v>2</v>
      </c>
      <c r="C1158" s="7" t="str">
        <f>_xlfn.XLOOKUP(B1158,catalogos!$A$2:$A$13,catalogos!$B$2:$B$13)</f>
        <v>February</v>
      </c>
      <c r="D1158" t="s">
        <v>10</v>
      </c>
      <c r="E1158" t="s">
        <v>14</v>
      </c>
      <c r="F1158">
        <v>62</v>
      </c>
      <c r="G1158">
        <v>144</v>
      </c>
      <c r="H1158">
        <v>8928</v>
      </c>
    </row>
    <row r="1159" spans="1:8" x14ac:dyDescent="0.35">
      <c r="A1159" s="2">
        <v>45340</v>
      </c>
      <c r="B1159" s="7">
        <f t="shared" si="18"/>
        <v>2</v>
      </c>
      <c r="C1159" s="7" t="str">
        <f>_xlfn.XLOOKUP(B1159,catalogos!$A$2:$A$13,catalogos!$B$2:$B$13)</f>
        <v>February</v>
      </c>
      <c r="D1159" t="s">
        <v>8</v>
      </c>
      <c r="E1159" t="s">
        <v>13</v>
      </c>
      <c r="F1159">
        <v>8</v>
      </c>
      <c r="G1159">
        <v>231</v>
      </c>
      <c r="H1159">
        <v>1848</v>
      </c>
    </row>
    <row r="1160" spans="1:8" x14ac:dyDescent="0.35">
      <c r="A1160" s="2">
        <v>45340</v>
      </c>
      <c r="B1160" s="7">
        <f t="shared" si="18"/>
        <v>2</v>
      </c>
      <c r="C1160" s="7" t="str">
        <f>_xlfn.XLOOKUP(B1160,catalogos!$A$2:$A$13,catalogos!$B$2:$B$13)</f>
        <v>February</v>
      </c>
      <c r="D1160" t="s">
        <v>8</v>
      </c>
      <c r="E1160" t="s">
        <v>11</v>
      </c>
      <c r="F1160">
        <v>4</v>
      </c>
      <c r="G1160">
        <v>320</v>
      </c>
      <c r="H1160">
        <v>1280</v>
      </c>
    </row>
    <row r="1161" spans="1:8" x14ac:dyDescent="0.35">
      <c r="A1161" s="2">
        <v>45340</v>
      </c>
      <c r="B1161" s="7">
        <f t="shared" si="18"/>
        <v>2</v>
      </c>
      <c r="C1161" s="7" t="str">
        <f>_xlfn.XLOOKUP(B1161,catalogos!$A$2:$A$13,catalogos!$B$2:$B$13)</f>
        <v>February</v>
      </c>
      <c r="D1161" t="s">
        <v>10</v>
      </c>
      <c r="E1161" t="s">
        <v>14</v>
      </c>
      <c r="F1161">
        <v>77</v>
      </c>
      <c r="G1161">
        <v>372</v>
      </c>
      <c r="H1161">
        <v>28644</v>
      </c>
    </row>
    <row r="1162" spans="1:8" x14ac:dyDescent="0.35">
      <c r="A1162" s="2">
        <v>45340</v>
      </c>
      <c r="B1162" s="7">
        <f t="shared" si="18"/>
        <v>2</v>
      </c>
      <c r="C1162" s="7" t="str">
        <f>_xlfn.XLOOKUP(B1162,catalogos!$A$2:$A$13,catalogos!$B$2:$B$13)</f>
        <v>February</v>
      </c>
      <c r="D1162" t="s">
        <v>10</v>
      </c>
      <c r="E1162" t="s">
        <v>14</v>
      </c>
      <c r="F1162">
        <v>17</v>
      </c>
      <c r="G1162">
        <v>27</v>
      </c>
      <c r="H1162">
        <v>459</v>
      </c>
    </row>
    <row r="1163" spans="1:8" x14ac:dyDescent="0.35">
      <c r="A1163" s="2">
        <v>45340</v>
      </c>
      <c r="B1163" s="7">
        <f t="shared" si="18"/>
        <v>2</v>
      </c>
      <c r="C1163" s="7" t="str">
        <f>_xlfn.XLOOKUP(B1163,catalogos!$A$2:$A$13,catalogos!$B$2:$B$13)</f>
        <v>February</v>
      </c>
      <c r="D1163" t="s">
        <v>6</v>
      </c>
      <c r="E1163" t="s">
        <v>15</v>
      </c>
      <c r="F1163">
        <v>56</v>
      </c>
      <c r="G1163">
        <v>168</v>
      </c>
      <c r="H1163">
        <v>9408</v>
      </c>
    </row>
    <row r="1164" spans="1:8" x14ac:dyDescent="0.35">
      <c r="A1164" s="2">
        <v>45340</v>
      </c>
      <c r="B1164" s="7">
        <f t="shared" si="18"/>
        <v>2</v>
      </c>
      <c r="C1164" s="7" t="str">
        <f>_xlfn.XLOOKUP(B1164,catalogos!$A$2:$A$13,catalogos!$B$2:$B$13)</f>
        <v>February</v>
      </c>
      <c r="D1164" t="s">
        <v>10</v>
      </c>
      <c r="E1164" t="s">
        <v>13</v>
      </c>
      <c r="F1164">
        <v>2</v>
      </c>
      <c r="G1164">
        <v>457</v>
      </c>
      <c r="H1164">
        <v>914</v>
      </c>
    </row>
    <row r="1165" spans="1:8" x14ac:dyDescent="0.35">
      <c r="A1165" s="2">
        <v>45340</v>
      </c>
      <c r="B1165" s="7">
        <f t="shared" si="18"/>
        <v>2</v>
      </c>
      <c r="C1165" s="7" t="str">
        <f>_xlfn.XLOOKUP(B1165,catalogos!$A$2:$A$13,catalogos!$B$2:$B$13)</f>
        <v>February</v>
      </c>
      <c r="D1165" t="s">
        <v>8</v>
      </c>
      <c r="E1165" t="s">
        <v>11</v>
      </c>
      <c r="F1165">
        <v>93</v>
      </c>
      <c r="G1165">
        <v>366</v>
      </c>
      <c r="H1165">
        <v>34038</v>
      </c>
    </row>
    <row r="1166" spans="1:8" x14ac:dyDescent="0.35">
      <c r="A1166" s="2">
        <v>45340</v>
      </c>
      <c r="B1166" s="7">
        <f t="shared" si="18"/>
        <v>2</v>
      </c>
      <c r="C1166" s="7" t="str">
        <f>_xlfn.XLOOKUP(B1166,catalogos!$A$2:$A$13,catalogos!$B$2:$B$13)</f>
        <v>February</v>
      </c>
      <c r="D1166" t="s">
        <v>6</v>
      </c>
      <c r="E1166" t="s">
        <v>12</v>
      </c>
      <c r="F1166">
        <v>42</v>
      </c>
      <c r="G1166">
        <v>391</v>
      </c>
      <c r="H1166">
        <v>16422</v>
      </c>
    </row>
    <row r="1167" spans="1:8" x14ac:dyDescent="0.35">
      <c r="A1167" s="2">
        <v>45340</v>
      </c>
      <c r="B1167" s="7">
        <f t="shared" si="18"/>
        <v>2</v>
      </c>
      <c r="C1167" s="7" t="str">
        <f>_xlfn.XLOOKUP(B1167,catalogos!$A$2:$A$13,catalogos!$B$2:$B$13)</f>
        <v>February</v>
      </c>
      <c r="D1167" t="s">
        <v>6</v>
      </c>
      <c r="E1167" t="s">
        <v>15</v>
      </c>
      <c r="F1167">
        <v>10</v>
      </c>
      <c r="G1167">
        <v>386</v>
      </c>
      <c r="H1167">
        <v>3860</v>
      </c>
    </row>
    <row r="1168" spans="1:8" x14ac:dyDescent="0.35">
      <c r="A1168" s="2">
        <v>45340</v>
      </c>
      <c r="B1168" s="7">
        <f t="shared" si="18"/>
        <v>2</v>
      </c>
      <c r="C1168" s="7" t="str">
        <f>_xlfn.XLOOKUP(B1168,catalogos!$A$2:$A$13,catalogos!$B$2:$B$13)</f>
        <v>February</v>
      </c>
      <c r="D1168" t="s">
        <v>6</v>
      </c>
      <c r="E1168" t="s">
        <v>13</v>
      </c>
      <c r="F1168">
        <v>42</v>
      </c>
      <c r="G1168">
        <v>485</v>
      </c>
      <c r="H1168">
        <v>20370</v>
      </c>
    </row>
    <row r="1169" spans="1:8" x14ac:dyDescent="0.35">
      <c r="A1169" s="2">
        <v>45340</v>
      </c>
      <c r="B1169" s="7">
        <f t="shared" si="18"/>
        <v>2</v>
      </c>
      <c r="C1169" s="7" t="str">
        <f>_xlfn.XLOOKUP(B1169,catalogos!$A$2:$A$13,catalogos!$B$2:$B$13)</f>
        <v>February</v>
      </c>
      <c r="D1169" t="s">
        <v>7</v>
      </c>
      <c r="E1169" t="s">
        <v>13</v>
      </c>
      <c r="F1169">
        <v>88</v>
      </c>
      <c r="G1169">
        <v>104</v>
      </c>
      <c r="H1169">
        <v>9152</v>
      </c>
    </row>
    <row r="1170" spans="1:8" x14ac:dyDescent="0.35">
      <c r="A1170" s="2">
        <v>45340</v>
      </c>
      <c r="B1170" s="7">
        <f t="shared" si="18"/>
        <v>2</v>
      </c>
      <c r="C1170" s="7" t="str">
        <f>_xlfn.XLOOKUP(B1170,catalogos!$A$2:$A$13,catalogos!$B$2:$B$13)</f>
        <v>February</v>
      </c>
      <c r="D1170" t="s">
        <v>10</v>
      </c>
      <c r="E1170" t="s">
        <v>12</v>
      </c>
      <c r="F1170">
        <v>46</v>
      </c>
      <c r="G1170">
        <v>356</v>
      </c>
      <c r="H1170">
        <v>16376</v>
      </c>
    </row>
    <row r="1171" spans="1:8" x14ac:dyDescent="0.35">
      <c r="A1171" s="2">
        <v>45340</v>
      </c>
      <c r="B1171" s="7">
        <f t="shared" si="18"/>
        <v>2</v>
      </c>
      <c r="C1171" s="7" t="str">
        <f>_xlfn.XLOOKUP(B1171,catalogos!$A$2:$A$13,catalogos!$B$2:$B$13)</f>
        <v>February</v>
      </c>
      <c r="D1171" t="s">
        <v>10</v>
      </c>
      <c r="E1171" t="s">
        <v>15</v>
      </c>
      <c r="F1171">
        <v>4</v>
      </c>
      <c r="G1171">
        <v>361</v>
      </c>
      <c r="H1171">
        <v>1444</v>
      </c>
    </row>
    <row r="1172" spans="1:8" x14ac:dyDescent="0.35">
      <c r="A1172" s="2">
        <v>45340</v>
      </c>
      <c r="B1172" s="7">
        <f t="shared" si="18"/>
        <v>2</v>
      </c>
      <c r="C1172" s="7" t="str">
        <f>_xlfn.XLOOKUP(B1172,catalogos!$A$2:$A$13,catalogos!$B$2:$B$13)</f>
        <v>February</v>
      </c>
      <c r="D1172" t="s">
        <v>9</v>
      </c>
      <c r="E1172" t="s">
        <v>15</v>
      </c>
      <c r="F1172">
        <v>60</v>
      </c>
      <c r="G1172">
        <v>92</v>
      </c>
      <c r="H1172">
        <v>5520</v>
      </c>
    </row>
    <row r="1173" spans="1:8" x14ac:dyDescent="0.35">
      <c r="A1173" s="2">
        <v>45340</v>
      </c>
      <c r="B1173" s="7">
        <f t="shared" si="18"/>
        <v>2</v>
      </c>
      <c r="C1173" s="7" t="str">
        <f>_xlfn.XLOOKUP(B1173,catalogos!$A$2:$A$13,catalogos!$B$2:$B$13)</f>
        <v>February</v>
      </c>
      <c r="D1173" t="s">
        <v>7</v>
      </c>
      <c r="E1173" t="s">
        <v>11</v>
      </c>
      <c r="F1173">
        <v>88</v>
      </c>
      <c r="G1173">
        <v>493</v>
      </c>
      <c r="H1173">
        <v>43384</v>
      </c>
    </row>
    <row r="1174" spans="1:8" x14ac:dyDescent="0.35">
      <c r="A1174" s="2">
        <v>45340</v>
      </c>
      <c r="B1174" s="7">
        <f t="shared" si="18"/>
        <v>2</v>
      </c>
      <c r="C1174" s="7" t="str">
        <f>_xlfn.XLOOKUP(B1174,catalogos!$A$2:$A$13,catalogos!$B$2:$B$13)</f>
        <v>February</v>
      </c>
      <c r="D1174" t="s">
        <v>9</v>
      </c>
      <c r="E1174" t="s">
        <v>14</v>
      </c>
      <c r="F1174">
        <v>93</v>
      </c>
      <c r="G1174">
        <v>293</v>
      </c>
      <c r="H1174">
        <v>27249</v>
      </c>
    </row>
    <row r="1175" spans="1:8" x14ac:dyDescent="0.35">
      <c r="A1175" s="2">
        <v>45340</v>
      </c>
      <c r="B1175" s="7">
        <f t="shared" si="18"/>
        <v>2</v>
      </c>
      <c r="C1175" s="7" t="str">
        <f>_xlfn.XLOOKUP(B1175,catalogos!$A$2:$A$13,catalogos!$B$2:$B$13)</f>
        <v>February</v>
      </c>
      <c r="D1175" t="s">
        <v>8</v>
      </c>
      <c r="E1175" t="s">
        <v>15</v>
      </c>
      <c r="F1175">
        <v>93</v>
      </c>
      <c r="G1175">
        <v>463</v>
      </c>
      <c r="H1175">
        <v>43059</v>
      </c>
    </row>
    <row r="1176" spans="1:8" x14ac:dyDescent="0.35">
      <c r="A1176" s="2">
        <v>45340</v>
      </c>
      <c r="B1176" s="7">
        <f t="shared" si="18"/>
        <v>2</v>
      </c>
      <c r="C1176" s="7" t="str">
        <f>_xlfn.XLOOKUP(B1176,catalogos!$A$2:$A$13,catalogos!$B$2:$B$13)</f>
        <v>February</v>
      </c>
      <c r="D1176" t="s">
        <v>10</v>
      </c>
      <c r="E1176" t="s">
        <v>13</v>
      </c>
      <c r="F1176">
        <v>42</v>
      </c>
      <c r="G1176">
        <v>326</v>
      </c>
      <c r="H1176">
        <v>13692</v>
      </c>
    </row>
    <row r="1177" spans="1:8" x14ac:dyDescent="0.35">
      <c r="A1177" s="2">
        <v>45340</v>
      </c>
      <c r="B1177" s="7">
        <f t="shared" si="18"/>
        <v>2</v>
      </c>
      <c r="C1177" s="7" t="str">
        <f>_xlfn.XLOOKUP(B1177,catalogos!$A$2:$A$13,catalogos!$B$2:$B$13)</f>
        <v>February</v>
      </c>
      <c r="D1177" t="s">
        <v>9</v>
      </c>
      <c r="E1177" t="s">
        <v>11</v>
      </c>
      <c r="F1177">
        <v>35</v>
      </c>
      <c r="G1177">
        <v>77</v>
      </c>
      <c r="H1177">
        <v>2695</v>
      </c>
    </row>
    <row r="1178" spans="1:8" x14ac:dyDescent="0.35">
      <c r="A1178" s="2">
        <v>45341</v>
      </c>
      <c r="B1178" s="7">
        <f t="shared" si="18"/>
        <v>2</v>
      </c>
      <c r="C1178" s="7" t="str">
        <f>_xlfn.XLOOKUP(B1178,catalogos!$A$2:$A$13,catalogos!$B$2:$B$13)</f>
        <v>February</v>
      </c>
      <c r="D1178" t="s">
        <v>7</v>
      </c>
      <c r="E1178" t="s">
        <v>15</v>
      </c>
      <c r="F1178">
        <v>48</v>
      </c>
      <c r="G1178">
        <v>118</v>
      </c>
      <c r="H1178">
        <v>5664</v>
      </c>
    </row>
    <row r="1179" spans="1:8" x14ac:dyDescent="0.35">
      <c r="A1179" s="2">
        <v>45341</v>
      </c>
      <c r="B1179" s="7">
        <f t="shared" si="18"/>
        <v>2</v>
      </c>
      <c r="C1179" s="7" t="str">
        <f>_xlfn.XLOOKUP(B1179,catalogos!$A$2:$A$13,catalogos!$B$2:$B$13)</f>
        <v>February</v>
      </c>
      <c r="D1179" t="s">
        <v>8</v>
      </c>
      <c r="E1179" t="s">
        <v>11</v>
      </c>
      <c r="F1179">
        <v>44</v>
      </c>
      <c r="G1179">
        <v>437</v>
      </c>
      <c r="H1179">
        <v>19228</v>
      </c>
    </row>
    <row r="1180" spans="1:8" x14ac:dyDescent="0.35">
      <c r="A1180" s="2">
        <v>45341</v>
      </c>
      <c r="B1180" s="7">
        <f t="shared" si="18"/>
        <v>2</v>
      </c>
      <c r="C1180" s="7" t="str">
        <f>_xlfn.XLOOKUP(B1180,catalogos!$A$2:$A$13,catalogos!$B$2:$B$13)</f>
        <v>February</v>
      </c>
      <c r="D1180" t="s">
        <v>10</v>
      </c>
      <c r="E1180" t="s">
        <v>11</v>
      </c>
      <c r="F1180">
        <v>31</v>
      </c>
      <c r="G1180">
        <v>155</v>
      </c>
      <c r="H1180">
        <v>4805</v>
      </c>
    </row>
    <row r="1181" spans="1:8" x14ac:dyDescent="0.35">
      <c r="A1181" s="2">
        <v>45341</v>
      </c>
      <c r="B1181" s="7">
        <f t="shared" si="18"/>
        <v>2</v>
      </c>
      <c r="C1181" s="7" t="str">
        <f>_xlfn.XLOOKUP(B1181,catalogos!$A$2:$A$13,catalogos!$B$2:$B$13)</f>
        <v>February</v>
      </c>
      <c r="D1181" t="s">
        <v>10</v>
      </c>
      <c r="E1181" t="s">
        <v>15</v>
      </c>
      <c r="F1181">
        <v>33</v>
      </c>
      <c r="G1181">
        <v>99</v>
      </c>
      <c r="H1181">
        <v>3267</v>
      </c>
    </row>
    <row r="1182" spans="1:8" x14ac:dyDescent="0.35">
      <c r="A1182" s="2">
        <v>45341</v>
      </c>
      <c r="B1182" s="7">
        <f t="shared" si="18"/>
        <v>2</v>
      </c>
      <c r="C1182" s="7" t="str">
        <f>_xlfn.XLOOKUP(B1182,catalogos!$A$2:$A$13,catalogos!$B$2:$B$13)</f>
        <v>February</v>
      </c>
      <c r="D1182" t="s">
        <v>9</v>
      </c>
      <c r="E1182" t="s">
        <v>11</v>
      </c>
      <c r="F1182">
        <v>78</v>
      </c>
      <c r="G1182">
        <v>207</v>
      </c>
      <c r="H1182">
        <v>16146</v>
      </c>
    </row>
    <row r="1183" spans="1:8" x14ac:dyDescent="0.35">
      <c r="A1183" s="2">
        <v>45341</v>
      </c>
      <c r="B1183" s="7">
        <f t="shared" si="18"/>
        <v>2</v>
      </c>
      <c r="C1183" s="7" t="str">
        <f>_xlfn.XLOOKUP(B1183,catalogos!$A$2:$A$13,catalogos!$B$2:$B$13)</f>
        <v>February</v>
      </c>
      <c r="D1183" t="s">
        <v>8</v>
      </c>
      <c r="E1183" t="s">
        <v>14</v>
      </c>
      <c r="F1183">
        <v>26</v>
      </c>
      <c r="G1183">
        <v>273</v>
      </c>
      <c r="H1183">
        <v>7098</v>
      </c>
    </row>
    <row r="1184" spans="1:8" x14ac:dyDescent="0.35">
      <c r="A1184" s="2">
        <v>45341</v>
      </c>
      <c r="B1184" s="7">
        <f t="shared" si="18"/>
        <v>2</v>
      </c>
      <c r="C1184" s="7" t="str">
        <f>_xlfn.XLOOKUP(B1184,catalogos!$A$2:$A$13,catalogos!$B$2:$B$13)</f>
        <v>February</v>
      </c>
      <c r="D1184" t="s">
        <v>7</v>
      </c>
      <c r="E1184" t="s">
        <v>14</v>
      </c>
      <c r="F1184">
        <v>64</v>
      </c>
      <c r="G1184">
        <v>97</v>
      </c>
      <c r="H1184">
        <v>6208</v>
      </c>
    </row>
    <row r="1185" spans="1:8" x14ac:dyDescent="0.35">
      <c r="A1185" s="2">
        <v>45341</v>
      </c>
      <c r="B1185" s="7">
        <f t="shared" si="18"/>
        <v>2</v>
      </c>
      <c r="C1185" s="7" t="str">
        <f>_xlfn.XLOOKUP(B1185,catalogos!$A$2:$A$13,catalogos!$B$2:$B$13)</f>
        <v>February</v>
      </c>
      <c r="D1185" t="s">
        <v>6</v>
      </c>
      <c r="E1185" t="s">
        <v>13</v>
      </c>
      <c r="F1185">
        <v>8</v>
      </c>
      <c r="G1185">
        <v>198</v>
      </c>
      <c r="H1185">
        <v>1584</v>
      </c>
    </row>
    <row r="1186" spans="1:8" x14ac:dyDescent="0.35">
      <c r="A1186" s="2">
        <v>45341</v>
      </c>
      <c r="B1186" s="7">
        <f t="shared" si="18"/>
        <v>2</v>
      </c>
      <c r="C1186" s="7" t="str">
        <f>_xlfn.XLOOKUP(B1186,catalogos!$A$2:$A$13,catalogos!$B$2:$B$13)</f>
        <v>February</v>
      </c>
      <c r="D1186" t="s">
        <v>9</v>
      </c>
      <c r="E1186" t="s">
        <v>12</v>
      </c>
      <c r="F1186">
        <v>31</v>
      </c>
      <c r="G1186">
        <v>256</v>
      </c>
      <c r="H1186">
        <v>7936</v>
      </c>
    </row>
    <row r="1187" spans="1:8" x14ac:dyDescent="0.35">
      <c r="A1187" s="2">
        <v>45341</v>
      </c>
      <c r="B1187" s="7">
        <f t="shared" si="18"/>
        <v>2</v>
      </c>
      <c r="C1187" s="7" t="str">
        <f>_xlfn.XLOOKUP(B1187,catalogos!$A$2:$A$13,catalogos!$B$2:$B$13)</f>
        <v>February</v>
      </c>
      <c r="D1187" t="s">
        <v>6</v>
      </c>
      <c r="E1187" t="s">
        <v>14</v>
      </c>
      <c r="F1187">
        <v>60</v>
      </c>
      <c r="G1187">
        <v>235</v>
      </c>
      <c r="H1187">
        <v>14100</v>
      </c>
    </row>
    <row r="1188" spans="1:8" x14ac:dyDescent="0.35">
      <c r="A1188" s="2">
        <v>45341</v>
      </c>
      <c r="B1188" s="7">
        <f t="shared" si="18"/>
        <v>2</v>
      </c>
      <c r="C1188" s="7" t="str">
        <f>_xlfn.XLOOKUP(B1188,catalogos!$A$2:$A$13,catalogos!$B$2:$B$13)</f>
        <v>February</v>
      </c>
      <c r="D1188" t="s">
        <v>6</v>
      </c>
      <c r="E1188" t="s">
        <v>13</v>
      </c>
      <c r="F1188">
        <v>2</v>
      </c>
      <c r="G1188">
        <v>433</v>
      </c>
      <c r="H1188">
        <v>866</v>
      </c>
    </row>
    <row r="1189" spans="1:8" x14ac:dyDescent="0.35">
      <c r="A1189" s="2">
        <v>45341</v>
      </c>
      <c r="B1189" s="7">
        <f t="shared" si="18"/>
        <v>2</v>
      </c>
      <c r="C1189" s="7" t="str">
        <f>_xlfn.XLOOKUP(B1189,catalogos!$A$2:$A$13,catalogos!$B$2:$B$13)</f>
        <v>February</v>
      </c>
      <c r="D1189" t="s">
        <v>9</v>
      </c>
      <c r="E1189" t="s">
        <v>14</v>
      </c>
      <c r="F1189">
        <v>58</v>
      </c>
      <c r="G1189">
        <v>463</v>
      </c>
      <c r="H1189">
        <v>26854</v>
      </c>
    </row>
    <row r="1190" spans="1:8" x14ac:dyDescent="0.35">
      <c r="A1190" s="2">
        <v>45341</v>
      </c>
      <c r="B1190" s="7">
        <f t="shared" si="18"/>
        <v>2</v>
      </c>
      <c r="C1190" s="7" t="str">
        <f>_xlfn.XLOOKUP(B1190,catalogos!$A$2:$A$13,catalogos!$B$2:$B$13)</f>
        <v>February</v>
      </c>
      <c r="D1190" t="s">
        <v>10</v>
      </c>
      <c r="E1190" t="s">
        <v>12</v>
      </c>
      <c r="F1190">
        <v>22</v>
      </c>
      <c r="G1190">
        <v>357</v>
      </c>
      <c r="H1190">
        <v>7854</v>
      </c>
    </row>
    <row r="1191" spans="1:8" x14ac:dyDescent="0.35">
      <c r="A1191" s="2">
        <v>45341</v>
      </c>
      <c r="B1191" s="7">
        <f t="shared" si="18"/>
        <v>2</v>
      </c>
      <c r="C1191" s="7" t="str">
        <f>_xlfn.XLOOKUP(B1191,catalogos!$A$2:$A$13,catalogos!$B$2:$B$13)</f>
        <v>February</v>
      </c>
      <c r="D1191" t="s">
        <v>9</v>
      </c>
      <c r="E1191" t="s">
        <v>14</v>
      </c>
      <c r="F1191">
        <v>84</v>
      </c>
      <c r="G1191">
        <v>206</v>
      </c>
      <c r="H1191">
        <v>17304</v>
      </c>
    </row>
    <row r="1192" spans="1:8" x14ac:dyDescent="0.35">
      <c r="A1192" s="2">
        <v>45341</v>
      </c>
      <c r="B1192" s="7">
        <f t="shared" si="18"/>
        <v>2</v>
      </c>
      <c r="C1192" s="7" t="str">
        <f>_xlfn.XLOOKUP(B1192,catalogos!$A$2:$A$13,catalogos!$B$2:$B$13)</f>
        <v>February</v>
      </c>
      <c r="D1192" t="s">
        <v>9</v>
      </c>
      <c r="E1192" t="s">
        <v>15</v>
      </c>
      <c r="F1192">
        <v>35</v>
      </c>
      <c r="G1192">
        <v>395</v>
      </c>
      <c r="H1192">
        <v>13825</v>
      </c>
    </row>
    <row r="1193" spans="1:8" x14ac:dyDescent="0.35">
      <c r="A1193" s="2">
        <v>45341</v>
      </c>
      <c r="B1193" s="7">
        <f t="shared" si="18"/>
        <v>2</v>
      </c>
      <c r="C1193" s="7" t="str">
        <f>_xlfn.XLOOKUP(B1193,catalogos!$A$2:$A$13,catalogos!$B$2:$B$13)</f>
        <v>February</v>
      </c>
      <c r="D1193" t="s">
        <v>6</v>
      </c>
      <c r="E1193" t="s">
        <v>12</v>
      </c>
      <c r="F1193">
        <v>36</v>
      </c>
      <c r="G1193">
        <v>222</v>
      </c>
      <c r="H1193">
        <v>7992</v>
      </c>
    </row>
    <row r="1194" spans="1:8" x14ac:dyDescent="0.35">
      <c r="A1194" s="2">
        <v>45341</v>
      </c>
      <c r="B1194" s="7">
        <f t="shared" si="18"/>
        <v>2</v>
      </c>
      <c r="C1194" s="7" t="str">
        <f>_xlfn.XLOOKUP(B1194,catalogos!$A$2:$A$13,catalogos!$B$2:$B$13)</f>
        <v>February</v>
      </c>
      <c r="D1194" t="s">
        <v>6</v>
      </c>
      <c r="E1194" t="s">
        <v>13</v>
      </c>
      <c r="F1194">
        <v>27</v>
      </c>
      <c r="G1194">
        <v>196</v>
      </c>
      <c r="H1194">
        <v>5292</v>
      </c>
    </row>
    <row r="1195" spans="1:8" x14ac:dyDescent="0.35">
      <c r="A1195" s="2">
        <v>45341</v>
      </c>
      <c r="B1195" s="7">
        <f t="shared" si="18"/>
        <v>2</v>
      </c>
      <c r="C1195" s="7" t="str">
        <f>_xlfn.XLOOKUP(B1195,catalogos!$A$2:$A$13,catalogos!$B$2:$B$13)</f>
        <v>February</v>
      </c>
      <c r="D1195" t="s">
        <v>7</v>
      </c>
      <c r="E1195" t="s">
        <v>13</v>
      </c>
      <c r="F1195">
        <v>22</v>
      </c>
      <c r="G1195">
        <v>116</v>
      </c>
      <c r="H1195">
        <v>2552</v>
      </c>
    </row>
    <row r="1196" spans="1:8" x14ac:dyDescent="0.35">
      <c r="A1196" s="2">
        <v>45341</v>
      </c>
      <c r="B1196" s="7">
        <f t="shared" si="18"/>
        <v>2</v>
      </c>
      <c r="C1196" s="7" t="str">
        <f>_xlfn.XLOOKUP(B1196,catalogos!$A$2:$A$13,catalogos!$B$2:$B$13)</f>
        <v>February</v>
      </c>
      <c r="D1196" t="s">
        <v>8</v>
      </c>
      <c r="E1196" t="s">
        <v>12</v>
      </c>
      <c r="F1196">
        <v>53</v>
      </c>
      <c r="G1196">
        <v>41</v>
      </c>
      <c r="H1196">
        <v>2173</v>
      </c>
    </row>
    <row r="1197" spans="1:8" x14ac:dyDescent="0.35">
      <c r="A1197" s="2">
        <v>45341</v>
      </c>
      <c r="B1197" s="7">
        <f t="shared" si="18"/>
        <v>2</v>
      </c>
      <c r="C1197" s="7" t="str">
        <f>_xlfn.XLOOKUP(B1197,catalogos!$A$2:$A$13,catalogos!$B$2:$B$13)</f>
        <v>February</v>
      </c>
      <c r="D1197" t="s">
        <v>7</v>
      </c>
      <c r="E1197" t="s">
        <v>14</v>
      </c>
      <c r="F1197">
        <v>6</v>
      </c>
      <c r="G1197">
        <v>437</v>
      </c>
      <c r="H1197">
        <v>2622</v>
      </c>
    </row>
    <row r="1198" spans="1:8" x14ac:dyDescent="0.35">
      <c r="A1198" s="2">
        <v>45341</v>
      </c>
      <c r="B1198" s="7">
        <f t="shared" si="18"/>
        <v>2</v>
      </c>
      <c r="C1198" s="7" t="str">
        <f>_xlfn.XLOOKUP(B1198,catalogos!$A$2:$A$13,catalogos!$B$2:$B$13)</f>
        <v>February</v>
      </c>
      <c r="D1198" t="s">
        <v>10</v>
      </c>
      <c r="E1198" t="s">
        <v>13</v>
      </c>
      <c r="F1198">
        <v>76</v>
      </c>
      <c r="G1198">
        <v>373</v>
      </c>
      <c r="H1198">
        <v>28348</v>
      </c>
    </row>
    <row r="1199" spans="1:8" x14ac:dyDescent="0.35">
      <c r="A1199" s="2">
        <v>45341</v>
      </c>
      <c r="B1199" s="7">
        <f t="shared" si="18"/>
        <v>2</v>
      </c>
      <c r="C1199" s="7" t="str">
        <f>_xlfn.XLOOKUP(B1199,catalogos!$A$2:$A$13,catalogos!$B$2:$B$13)</f>
        <v>February</v>
      </c>
      <c r="D1199" t="s">
        <v>9</v>
      </c>
      <c r="E1199" t="s">
        <v>14</v>
      </c>
      <c r="F1199">
        <v>74</v>
      </c>
      <c r="G1199">
        <v>305</v>
      </c>
      <c r="H1199">
        <v>22570</v>
      </c>
    </row>
    <row r="1200" spans="1:8" x14ac:dyDescent="0.35">
      <c r="A1200" s="2">
        <v>45341</v>
      </c>
      <c r="B1200" s="7">
        <f t="shared" si="18"/>
        <v>2</v>
      </c>
      <c r="C1200" s="7" t="str">
        <f>_xlfn.XLOOKUP(B1200,catalogos!$A$2:$A$13,catalogos!$B$2:$B$13)</f>
        <v>February</v>
      </c>
      <c r="D1200" t="s">
        <v>7</v>
      </c>
      <c r="E1200" t="s">
        <v>11</v>
      </c>
      <c r="F1200">
        <v>28</v>
      </c>
      <c r="G1200">
        <v>78</v>
      </c>
      <c r="H1200">
        <v>2184</v>
      </c>
    </row>
    <row r="1201" spans="1:8" x14ac:dyDescent="0.35">
      <c r="A1201" s="2">
        <v>45341</v>
      </c>
      <c r="B1201" s="7">
        <f t="shared" si="18"/>
        <v>2</v>
      </c>
      <c r="C1201" s="7" t="str">
        <f>_xlfn.XLOOKUP(B1201,catalogos!$A$2:$A$13,catalogos!$B$2:$B$13)</f>
        <v>February</v>
      </c>
      <c r="D1201" t="s">
        <v>6</v>
      </c>
      <c r="E1201" t="s">
        <v>14</v>
      </c>
      <c r="F1201">
        <v>30</v>
      </c>
      <c r="G1201">
        <v>81</v>
      </c>
      <c r="H1201">
        <v>2430</v>
      </c>
    </row>
    <row r="1202" spans="1:8" x14ac:dyDescent="0.35">
      <c r="A1202" s="2">
        <v>45342</v>
      </c>
      <c r="B1202" s="7">
        <f t="shared" si="18"/>
        <v>2</v>
      </c>
      <c r="C1202" s="7" t="str">
        <f>_xlfn.XLOOKUP(B1202,catalogos!$A$2:$A$13,catalogos!$B$2:$B$13)</f>
        <v>February</v>
      </c>
      <c r="D1202" t="s">
        <v>8</v>
      </c>
      <c r="E1202" t="s">
        <v>15</v>
      </c>
      <c r="F1202">
        <v>11</v>
      </c>
      <c r="G1202">
        <v>342</v>
      </c>
      <c r="H1202">
        <v>3762</v>
      </c>
    </row>
    <row r="1203" spans="1:8" x14ac:dyDescent="0.35">
      <c r="A1203" s="2">
        <v>45342</v>
      </c>
      <c r="B1203" s="7">
        <f t="shared" si="18"/>
        <v>2</v>
      </c>
      <c r="C1203" s="7" t="str">
        <f>_xlfn.XLOOKUP(B1203,catalogos!$A$2:$A$13,catalogos!$B$2:$B$13)</f>
        <v>February</v>
      </c>
      <c r="D1203" t="s">
        <v>8</v>
      </c>
      <c r="E1203" t="s">
        <v>13</v>
      </c>
      <c r="F1203">
        <v>44</v>
      </c>
      <c r="G1203">
        <v>16</v>
      </c>
      <c r="H1203">
        <v>704</v>
      </c>
    </row>
    <row r="1204" spans="1:8" x14ac:dyDescent="0.35">
      <c r="A1204" s="2">
        <v>45342</v>
      </c>
      <c r="B1204" s="7">
        <f t="shared" si="18"/>
        <v>2</v>
      </c>
      <c r="C1204" s="7" t="str">
        <f>_xlfn.XLOOKUP(B1204,catalogos!$A$2:$A$13,catalogos!$B$2:$B$13)</f>
        <v>February</v>
      </c>
      <c r="D1204" t="s">
        <v>10</v>
      </c>
      <c r="E1204" t="s">
        <v>11</v>
      </c>
      <c r="F1204">
        <v>62</v>
      </c>
      <c r="G1204">
        <v>364</v>
      </c>
      <c r="H1204">
        <v>22568</v>
      </c>
    </row>
    <row r="1205" spans="1:8" x14ac:dyDescent="0.35">
      <c r="A1205" s="2">
        <v>45342</v>
      </c>
      <c r="B1205" s="7">
        <f t="shared" si="18"/>
        <v>2</v>
      </c>
      <c r="C1205" s="7" t="str">
        <f>_xlfn.XLOOKUP(B1205,catalogos!$A$2:$A$13,catalogos!$B$2:$B$13)</f>
        <v>February</v>
      </c>
      <c r="D1205" t="s">
        <v>8</v>
      </c>
      <c r="E1205" t="s">
        <v>12</v>
      </c>
      <c r="F1205">
        <v>96</v>
      </c>
      <c r="G1205">
        <v>407</v>
      </c>
      <c r="H1205">
        <v>39072</v>
      </c>
    </row>
    <row r="1206" spans="1:8" x14ac:dyDescent="0.35">
      <c r="A1206" s="2">
        <v>45342</v>
      </c>
      <c r="B1206" s="7">
        <f t="shared" si="18"/>
        <v>2</v>
      </c>
      <c r="C1206" s="7" t="str">
        <f>_xlfn.XLOOKUP(B1206,catalogos!$A$2:$A$13,catalogos!$B$2:$B$13)</f>
        <v>February</v>
      </c>
      <c r="D1206" t="s">
        <v>9</v>
      </c>
      <c r="E1206" t="s">
        <v>15</v>
      </c>
      <c r="F1206">
        <v>96</v>
      </c>
      <c r="G1206">
        <v>24</v>
      </c>
      <c r="H1206">
        <v>2304</v>
      </c>
    </row>
    <row r="1207" spans="1:8" x14ac:dyDescent="0.35">
      <c r="A1207" s="2">
        <v>45342</v>
      </c>
      <c r="B1207" s="7">
        <f t="shared" si="18"/>
        <v>2</v>
      </c>
      <c r="C1207" s="7" t="str">
        <f>_xlfn.XLOOKUP(B1207,catalogos!$A$2:$A$13,catalogos!$B$2:$B$13)</f>
        <v>February</v>
      </c>
      <c r="D1207" t="s">
        <v>10</v>
      </c>
      <c r="E1207" t="s">
        <v>12</v>
      </c>
      <c r="F1207">
        <v>96</v>
      </c>
      <c r="G1207">
        <v>20</v>
      </c>
      <c r="H1207">
        <v>1920</v>
      </c>
    </row>
    <row r="1208" spans="1:8" x14ac:dyDescent="0.35">
      <c r="A1208" s="2">
        <v>45342</v>
      </c>
      <c r="B1208" s="7">
        <f t="shared" si="18"/>
        <v>2</v>
      </c>
      <c r="C1208" s="7" t="str">
        <f>_xlfn.XLOOKUP(B1208,catalogos!$A$2:$A$13,catalogos!$B$2:$B$13)</f>
        <v>February</v>
      </c>
      <c r="D1208" t="s">
        <v>8</v>
      </c>
      <c r="E1208" t="s">
        <v>13</v>
      </c>
      <c r="F1208">
        <v>91</v>
      </c>
      <c r="G1208">
        <v>395</v>
      </c>
      <c r="H1208">
        <v>35945</v>
      </c>
    </row>
    <row r="1209" spans="1:8" x14ac:dyDescent="0.35">
      <c r="A1209" s="2">
        <v>45342</v>
      </c>
      <c r="B1209" s="7">
        <f t="shared" si="18"/>
        <v>2</v>
      </c>
      <c r="C1209" s="7" t="str">
        <f>_xlfn.XLOOKUP(B1209,catalogos!$A$2:$A$13,catalogos!$B$2:$B$13)</f>
        <v>February</v>
      </c>
      <c r="D1209" t="s">
        <v>9</v>
      </c>
      <c r="E1209" t="s">
        <v>11</v>
      </c>
      <c r="F1209">
        <v>18</v>
      </c>
      <c r="G1209">
        <v>123</v>
      </c>
      <c r="H1209">
        <v>2214</v>
      </c>
    </row>
    <row r="1210" spans="1:8" x14ac:dyDescent="0.35">
      <c r="A1210" s="2">
        <v>45342</v>
      </c>
      <c r="B1210" s="7">
        <f t="shared" si="18"/>
        <v>2</v>
      </c>
      <c r="C1210" s="7" t="str">
        <f>_xlfn.XLOOKUP(B1210,catalogos!$A$2:$A$13,catalogos!$B$2:$B$13)</f>
        <v>February</v>
      </c>
      <c r="D1210" t="s">
        <v>6</v>
      </c>
      <c r="E1210" t="s">
        <v>15</v>
      </c>
      <c r="F1210">
        <v>17</v>
      </c>
      <c r="G1210">
        <v>16</v>
      </c>
      <c r="H1210">
        <v>272</v>
      </c>
    </row>
    <row r="1211" spans="1:8" x14ac:dyDescent="0.35">
      <c r="A1211" s="2">
        <v>45342</v>
      </c>
      <c r="B1211" s="7">
        <f t="shared" si="18"/>
        <v>2</v>
      </c>
      <c r="C1211" s="7" t="str">
        <f>_xlfn.XLOOKUP(B1211,catalogos!$A$2:$A$13,catalogos!$B$2:$B$13)</f>
        <v>February</v>
      </c>
      <c r="D1211" t="s">
        <v>8</v>
      </c>
      <c r="E1211" t="s">
        <v>11</v>
      </c>
      <c r="F1211">
        <v>99</v>
      </c>
      <c r="G1211">
        <v>493</v>
      </c>
      <c r="H1211">
        <v>48807</v>
      </c>
    </row>
    <row r="1212" spans="1:8" x14ac:dyDescent="0.35">
      <c r="A1212" s="2">
        <v>45342</v>
      </c>
      <c r="B1212" s="7">
        <f t="shared" si="18"/>
        <v>2</v>
      </c>
      <c r="C1212" s="7" t="str">
        <f>_xlfn.XLOOKUP(B1212,catalogos!$A$2:$A$13,catalogos!$B$2:$B$13)</f>
        <v>February</v>
      </c>
      <c r="D1212" t="s">
        <v>7</v>
      </c>
      <c r="E1212" t="s">
        <v>14</v>
      </c>
      <c r="F1212">
        <v>84</v>
      </c>
      <c r="G1212">
        <v>128</v>
      </c>
      <c r="H1212">
        <v>10752</v>
      </c>
    </row>
    <row r="1213" spans="1:8" x14ac:dyDescent="0.35">
      <c r="A1213" s="2">
        <v>45342</v>
      </c>
      <c r="B1213" s="7">
        <f t="shared" si="18"/>
        <v>2</v>
      </c>
      <c r="C1213" s="7" t="str">
        <f>_xlfn.XLOOKUP(B1213,catalogos!$A$2:$A$13,catalogos!$B$2:$B$13)</f>
        <v>February</v>
      </c>
      <c r="D1213" t="s">
        <v>7</v>
      </c>
      <c r="E1213" t="s">
        <v>12</v>
      </c>
      <c r="F1213">
        <v>87</v>
      </c>
      <c r="G1213">
        <v>263</v>
      </c>
      <c r="H1213">
        <v>22881</v>
      </c>
    </row>
    <row r="1214" spans="1:8" x14ac:dyDescent="0.35">
      <c r="A1214" s="2">
        <v>45342</v>
      </c>
      <c r="B1214" s="7">
        <f t="shared" si="18"/>
        <v>2</v>
      </c>
      <c r="C1214" s="7" t="str">
        <f>_xlfn.XLOOKUP(B1214,catalogos!$A$2:$A$13,catalogos!$B$2:$B$13)</f>
        <v>February</v>
      </c>
      <c r="D1214" t="s">
        <v>6</v>
      </c>
      <c r="E1214" t="s">
        <v>13</v>
      </c>
      <c r="F1214">
        <v>27</v>
      </c>
      <c r="G1214">
        <v>124</v>
      </c>
      <c r="H1214">
        <v>3348</v>
      </c>
    </row>
    <row r="1215" spans="1:8" x14ac:dyDescent="0.35">
      <c r="A1215" s="2">
        <v>45342</v>
      </c>
      <c r="B1215" s="7">
        <f t="shared" si="18"/>
        <v>2</v>
      </c>
      <c r="C1215" s="7" t="str">
        <f>_xlfn.XLOOKUP(B1215,catalogos!$A$2:$A$13,catalogos!$B$2:$B$13)</f>
        <v>February</v>
      </c>
      <c r="D1215" t="s">
        <v>9</v>
      </c>
      <c r="E1215" t="s">
        <v>12</v>
      </c>
      <c r="F1215">
        <v>42</v>
      </c>
      <c r="G1215">
        <v>98</v>
      </c>
      <c r="H1215">
        <v>4116</v>
      </c>
    </row>
    <row r="1216" spans="1:8" x14ac:dyDescent="0.35">
      <c r="A1216" s="2">
        <v>45342</v>
      </c>
      <c r="B1216" s="7">
        <f t="shared" si="18"/>
        <v>2</v>
      </c>
      <c r="C1216" s="7" t="str">
        <f>_xlfn.XLOOKUP(B1216,catalogos!$A$2:$A$13,catalogos!$B$2:$B$13)</f>
        <v>February</v>
      </c>
      <c r="D1216" t="s">
        <v>9</v>
      </c>
      <c r="E1216" t="s">
        <v>11</v>
      </c>
      <c r="F1216">
        <v>83</v>
      </c>
      <c r="G1216">
        <v>21</v>
      </c>
      <c r="H1216">
        <v>1743</v>
      </c>
    </row>
    <row r="1217" spans="1:8" x14ac:dyDescent="0.35">
      <c r="A1217" s="2">
        <v>45342</v>
      </c>
      <c r="B1217" s="7">
        <f t="shared" si="18"/>
        <v>2</v>
      </c>
      <c r="C1217" s="7" t="str">
        <f>_xlfn.XLOOKUP(B1217,catalogos!$A$2:$A$13,catalogos!$B$2:$B$13)</f>
        <v>February</v>
      </c>
      <c r="D1217" t="s">
        <v>6</v>
      </c>
      <c r="E1217" t="s">
        <v>13</v>
      </c>
      <c r="F1217">
        <v>43</v>
      </c>
      <c r="G1217">
        <v>224</v>
      </c>
      <c r="H1217">
        <v>9632</v>
      </c>
    </row>
    <row r="1218" spans="1:8" x14ac:dyDescent="0.35">
      <c r="A1218" s="2">
        <v>45342</v>
      </c>
      <c r="B1218" s="7">
        <f t="shared" si="18"/>
        <v>2</v>
      </c>
      <c r="C1218" s="7" t="str">
        <f>_xlfn.XLOOKUP(B1218,catalogos!$A$2:$A$13,catalogos!$B$2:$B$13)</f>
        <v>February</v>
      </c>
      <c r="D1218" t="s">
        <v>8</v>
      </c>
      <c r="E1218" t="s">
        <v>15</v>
      </c>
      <c r="F1218">
        <v>69</v>
      </c>
      <c r="G1218">
        <v>273</v>
      </c>
      <c r="H1218">
        <v>18837</v>
      </c>
    </row>
    <row r="1219" spans="1:8" x14ac:dyDescent="0.35">
      <c r="A1219" s="2">
        <v>45342</v>
      </c>
      <c r="B1219" s="7">
        <f t="shared" ref="B1219:B1282" si="19">MONTH(A1219)</f>
        <v>2</v>
      </c>
      <c r="C1219" s="7" t="str">
        <f>_xlfn.XLOOKUP(B1219,catalogos!$A$2:$A$13,catalogos!$B$2:$B$13)</f>
        <v>February</v>
      </c>
      <c r="D1219" t="s">
        <v>6</v>
      </c>
      <c r="E1219" t="s">
        <v>12</v>
      </c>
      <c r="F1219">
        <v>96</v>
      </c>
      <c r="G1219">
        <v>179</v>
      </c>
      <c r="H1219">
        <v>17184</v>
      </c>
    </row>
    <row r="1220" spans="1:8" x14ac:dyDescent="0.35">
      <c r="A1220" s="2">
        <v>45342</v>
      </c>
      <c r="B1220" s="7">
        <f t="shared" si="19"/>
        <v>2</v>
      </c>
      <c r="C1220" s="7" t="str">
        <f>_xlfn.XLOOKUP(B1220,catalogos!$A$2:$A$13,catalogos!$B$2:$B$13)</f>
        <v>February</v>
      </c>
      <c r="D1220" t="s">
        <v>10</v>
      </c>
      <c r="E1220" t="s">
        <v>15</v>
      </c>
      <c r="F1220">
        <v>5</v>
      </c>
      <c r="G1220">
        <v>178</v>
      </c>
      <c r="H1220">
        <v>890</v>
      </c>
    </row>
    <row r="1221" spans="1:8" x14ac:dyDescent="0.35">
      <c r="A1221" s="2">
        <v>45342</v>
      </c>
      <c r="B1221" s="7">
        <f t="shared" si="19"/>
        <v>2</v>
      </c>
      <c r="C1221" s="7" t="str">
        <f>_xlfn.XLOOKUP(B1221,catalogos!$A$2:$A$13,catalogos!$B$2:$B$13)</f>
        <v>February</v>
      </c>
      <c r="D1221" t="s">
        <v>7</v>
      </c>
      <c r="E1221" t="s">
        <v>13</v>
      </c>
      <c r="F1221">
        <v>10</v>
      </c>
      <c r="G1221">
        <v>463</v>
      </c>
      <c r="H1221">
        <v>4630</v>
      </c>
    </row>
    <row r="1222" spans="1:8" x14ac:dyDescent="0.35">
      <c r="A1222" s="2">
        <v>45342</v>
      </c>
      <c r="B1222" s="7">
        <f t="shared" si="19"/>
        <v>2</v>
      </c>
      <c r="C1222" s="7" t="str">
        <f>_xlfn.XLOOKUP(B1222,catalogos!$A$2:$A$13,catalogos!$B$2:$B$13)</f>
        <v>February</v>
      </c>
      <c r="D1222" t="s">
        <v>7</v>
      </c>
      <c r="E1222" t="s">
        <v>11</v>
      </c>
      <c r="F1222">
        <v>13</v>
      </c>
      <c r="G1222">
        <v>394</v>
      </c>
      <c r="H1222">
        <v>5122</v>
      </c>
    </row>
    <row r="1223" spans="1:8" x14ac:dyDescent="0.35">
      <c r="A1223" s="2">
        <v>45342</v>
      </c>
      <c r="B1223" s="7">
        <f t="shared" si="19"/>
        <v>2</v>
      </c>
      <c r="C1223" s="7" t="str">
        <f>_xlfn.XLOOKUP(B1223,catalogos!$A$2:$A$13,catalogos!$B$2:$B$13)</f>
        <v>February</v>
      </c>
      <c r="D1223" t="s">
        <v>8</v>
      </c>
      <c r="E1223" t="s">
        <v>11</v>
      </c>
      <c r="F1223">
        <v>66</v>
      </c>
      <c r="G1223">
        <v>279</v>
      </c>
      <c r="H1223">
        <v>18414</v>
      </c>
    </row>
    <row r="1224" spans="1:8" x14ac:dyDescent="0.35">
      <c r="A1224" s="2">
        <v>45342</v>
      </c>
      <c r="B1224" s="7">
        <f t="shared" si="19"/>
        <v>2</v>
      </c>
      <c r="C1224" s="7" t="str">
        <f>_xlfn.XLOOKUP(B1224,catalogos!$A$2:$A$13,catalogos!$B$2:$B$13)</f>
        <v>February</v>
      </c>
      <c r="D1224" t="s">
        <v>7</v>
      </c>
      <c r="E1224" t="s">
        <v>11</v>
      </c>
      <c r="F1224">
        <v>68</v>
      </c>
      <c r="G1224">
        <v>311</v>
      </c>
      <c r="H1224">
        <v>21148</v>
      </c>
    </row>
    <row r="1225" spans="1:8" x14ac:dyDescent="0.35">
      <c r="A1225" s="2">
        <v>45342</v>
      </c>
      <c r="B1225" s="7">
        <f t="shared" si="19"/>
        <v>2</v>
      </c>
      <c r="C1225" s="7" t="str">
        <f>_xlfn.XLOOKUP(B1225,catalogos!$A$2:$A$13,catalogos!$B$2:$B$13)</f>
        <v>February</v>
      </c>
      <c r="D1225" t="s">
        <v>7</v>
      </c>
      <c r="E1225" t="s">
        <v>15</v>
      </c>
      <c r="F1225">
        <v>97</v>
      </c>
      <c r="G1225">
        <v>483</v>
      </c>
      <c r="H1225">
        <v>46851</v>
      </c>
    </row>
    <row r="1226" spans="1:8" x14ac:dyDescent="0.35">
      <c r="A1226" s="2">
        <v>45343</v>
      </c>
      <c r="B1226" s="7">
        <f t="shared" si="19"/>
        <v>2</v>
      </c>
      <c r="C1226" s="7" t="str">
        <f>_xlfn.XLOOKUP(B1226,catalogos!$A$2:$A$13,catalogos!$B$2:$B$13)</f>
        <v>February</v>
      </c>
      <c r="D1226" t="s">
        <v>9</v>
      </c>
      <c r="E1226" t="s">
        <v>12</v>
      </c>
      <c r="F1226">
        <v>49</v>
      </c>
      <c r="G1226">
        <v>180</v>
      </c>
      <c r="H1226">
        <v>8820</v>
      </c>
    </row>
    <row r="1227" spans="1:8" x14ac:dyDescent="0.35">
      <c r="A1227" s="2">
        <v>45343</v>
      </c>
      <c r="B1227" s="7">
        <f t="shared" si="19"/>
        <v>2</v>
      </c>
      <c r="C1227" s="7" t="str">
        <f>_xlfn.XLOOKUP(B1227,catalogos!$A$2:$A$13,catalogos!$B$2:$B$13)</f>
        <v>February</v>
      </c>
      <c r="D1227" t="s">
        <v>10</v>
      </c>
      <c r="E1227" t="s">
        <v>14</v>
      </c>
      <c r="F1227">
        <v>80</v>
      </c>
      <c r="G1227">
        <v>90</v>
      </c>
      <c r="H1227">
        <v>7200</v>
      </c>
    </row>
    <row r="1228" spans="1:8" x14ac:dyDescent="0.35">
      <c r="A1228" s="2">
        <v>45343</v>
      </c>
      <c r="B1228" s="7">
        <f t="shared" si="19"/>
        <v>2</v>
      </c>
      <c r="C1228" s="7" t="str">
        <f>_xlfn.XLOOKUP(B1228,catalogos!$A$2:$A$13,catalogos!$B$2:$B$13)</f>
        <v>February</v>
      </c>
      <c r="D1228" t="s">
        <v>10</v>
      </c>
      <c r="E1228" t="s">
        <v>11</v>
      </c>
      <c r="F1228">
        <v>33</v>
      </c>
      <c r="G1228">
        <v>193</v>
      </c>
      <c r="H1228">
        <v>6369</v>
      </c>
    </row>
    <row r="1229" spans="1:8" x14ac:dyDescent="0.35">
      <c r="A1229" s="2">
        <v>45343</v>
      </c>
      <c r="B1229" s="7">
        <f t="shared" si="19"/>
        <v>2</v>
      </c>
      <c r="C1229" s="7" t="str">
        <f>_xlfn.XLOOKUP(B1229,catalogos!$A$2:$A$13,catalogos!$B$2:$B$13)</f>
        <v>February</v>
      </c>
      <c r="D1229" t="s">
        <v>7</v>
      </c>
      <c r="E1229" t="s">
        <v>14</v>
      </c>
      <c r="F1229">
        <v>25</v>
      </c>
      <c r="G1229">
        <v>433</v>
      </c>
      <c r="H1229">
        <v>10825</v>
      </c>
    </row>
    <row r="1230" spans="1:8" x14ac:dyDescent="0.35">
      <c r="A1230" s="2">
        <v>45343</v>
      </c>
      <c r="B1230" s="7">
        <f t="shared" si="19"/>
        <v>2</v>
      </c>
      <c r="C1230" s="7" t="str">
        <f>_xlfn.XLOOKUP(B1230,catalogos!$A$2:$A$13,catalogos!$B$2:$B$13)</f>
        <v>February</v>
      </c>
      <c r="D1230" t="s">
        <v>9</v>
      </c>
      <c r="E1230" t="s">
        <v>11</v>
      </c>
      <c r="F1230">
        <v>89</v>
      </c>
      <c r="G1230">
        <v>350</v>
      </c>
      <c r="H1230">
        <v>31150</v>
      </c>
    </row>
    <row r="1231" spans="1:8" x14ac:dyDescent="0.35">
      <c r="A1231" s="2">
        <v>45343</v>
      </c>
      <c r="B1231" s="7">
        <f t="shared" si="19"/>
        <v>2</v>
      </c>
      <c r="C1231" s="7" t="str">
        <f>_xlfn.XLOOKUP(B1231,catalogos!$A$2:$A$13,catalogos!$B$2:$B$13)</f>
        <v>February</v>
      </c>
      <c r="D1231" t="s">
        <v>9</v>
      </c>
      <c r="E1231" t="s">
        <v>14</v>
      </c>
      <c r="F1231">
        <v>82</v>
      </c>
      <c r="G1231">
        <v>330</v>
      </c>
      <c r="H1231">
        <v>27060</v>
      </c>
    </row>
    <row r="1232" spans="1:8" x14ac:dyDescent="0.35">
      <c r="A1232" s="2">
        <v>45343</v>
      </c>
      <c r="B1232" s="7">
        <f t="shared" si="19"/>
        <v>2</v>
      </c>
      <c r="C1232" s="7" t="str">
        <f>_xlfn.XLOOKUP(B1232,catalogos!$A$2:$A$13,catalogos!$B$2:$B$13)</f>
        <v>February</v>
      </c>
      <c r="D1232" t="s">
        <v>8</v>
      </c>
      <c r="E1232" t="s">
        <v>11</v>
      </c>
      <c r="F1232">
        <v>62</v>
      </c>
      <c r="G1232">
        <v>466</v>
      </c>
      <c r="H1232">
        <v>28892</v>
      </c>
    </row>
    <row r="1233" spans="1:8" x14ac:dyDescent="0.35">
      <c r="A1233" s="2">
        <v>45343</v>
      </c>
      <c r="B1233" s="7">
        <f t="shared" si="19"/>
        <v>2</v>
      </c>
      <c r="C1233" s="7" t="str">
        <f>_xlfn.XLOOKUP(B1233,catalogos!$A$2:$A$13,catalogos!$B$2:$B$13)</f>
        <v>February</v>
      </c>
      <c r="D1233" t="s">
        <v>10</v>
      </c>
      <c r="E1233" t="s">
        <v>13</v>
      </c>
      <c r="F1233">
        <v>29</v>
      </c>
      <c r="G1233">
        <v>361</v>
      </c>
      <c r="H1233">
        <v>10469</v>
      </c>
    </row>
    <row r="1234" spans="1:8" x14ac:dyDescent="0.35">
      <c r="A1234" s="2">
        <v>45343</v>
      </c>
      <c r="B1234" s="7">
        <f t="shared" si="19"/>
        <v>2</v>
      </c>
      <c r="C1234" s="7" t="str">
        <f>_xlfn.XLOOKUP(B1234,catalogos!$A$2:$A$13,catalogos!$B$2:$B$13)</f>
        <v>February</v>
      </c>
      <c r="D1234" t="s">
        <v>6</v>
      </c>
      <c r="E1234" t="s">
        <v>14</v>
      </c>
      <c r="F1234">
        <v>63</v>
      </c>
      <c r="G1234">
        <v>467</v>
      </c>
      <c r="H1234">
        <v>29421</v>
      </c>
    </row>
    <row r="1235" spans="1:8" x14ac:dyDescent="0.35">
      <c r="A1235" s="2">
        <v>45343</v>
      </c>
      <c r="B1235" s="7">
        <f t="shared" si="19"/>
        <v>2</v>
      </c>
      <c r="C1235" s="7" t="str">
        <f>_xlfn.XLOOKUP(B1235,catalogos!$A$2:$A$13,catalogos!$B$2:$B$13)</f>
        <v>February</v>
      </c>
      <c r="D1235" t="s">
        <v>6</v>
      </c>
      <c r="E1235" t="s">
        <v>11</v>
      </c>
      <c r="F1235">
        <v>31</v>
      </c>
      <c r="G1235">
        <v>390</v>
      </c>
      <c r="H1235">
        <v>12090</v>
      </c>
    </row>
    <row r="1236" spans="1:8" x14ac:dyDescent="0.35">
      <c r="A1236" s="2">
        <v>45343</v>
      </c>
      <c r="B1236" s="7">
        <f t="shared" si="19"/>
        <v>2</v>
      </c>
      <c r="C1236" s="7" t="str">
        <f>_xlfn.XLOOKUP(B1236,catalogos!$A$2:$A$13,catalogos!$B$2:$B$13)</f>
        <v>February</v>
      </c>
      <c r="D1236" t="s">
        <v>10</v>
      </c>
      <c r="E1236" t="s">
        <v>13</v>
      </c>
      <c r="F1236">
        <v>80</v>
      </c>
      <c r="G1236">
        <v>281</v>
      </c>
      <c r="H1236">
        <v>22480</v>
      </c>
    </row>
    <row r="1237" spans="1:8" x14ac:dyDescent="0.35">
      <c r="A1237" s="2">
        <v>45343</v>
      </c>
      <c r="B1237" s="7">
        <f t="shared" si="19"/>
        <v>2</v>
      </c>
      <c r="C1237" s="7" t="str">
        <f>_xlfn.XLOOKUP(B1237,catalogos!$A$2:$A$13,catalogos!$B$2:$B$13)</f>
        <v>February</v>
      </c>
      <c r="D1237" t="s">
        <v>6</v>
      </c>
      <c r="E1237" t="s">
        <v>12</v>
      </c>
      <c r="F1237">
        <v>73</v>
      </c>
      <c r="G1237">
        <v>362</v>
      </c>
      <c r="H1237">
        <v>26426</v>
      </c>
    </row>
    <row r="1238" spans="1:8" x14ac:dyDescent="0.35">
      <c r="A1238" s="2">
        <v>45343</v>
      </c>
      <c r="B1238" s="7">
        <f t="shared" si="19"/>
        <v>2</v>
      </c>
      <c r="C1238" s="7" t="str">
        <f>_xlfn.XLOOKUP(B1238,catalogos!$A$2:$A$13,catalogos!$B$2:$B$13)</f>
        <v>February</v>
      </c>
      <c r="D1238" t="s">
        <v>10</v>
      </c>
      <c r="E1238" t="s">
        <v>13</v>
      </c>
      <c r="F1238">
        <v>3</v>
      </c>
      <c r="G1238">
        <v>360</v>
      </c>
      <c r="H1238">
        <v>1080</v>
      </c>
    </row>
    <row r="1239" spans="1:8" x14ac:dyDescent="0.35">
      <c r="A1239" s="2">
        <v>45343</v>
      </c>
      <c r="B1239" s="7">
        <f t="shared" si="19"/>
        <v>2</v>
      </c>
      <c r="C1239" s="7" t="str">
        <f>_xlfn.XLOOKUP(B1239,catalogos!$A$2:$A$13,catalogos!$B$2:$B$13)</f>
        <v>February</v>
      </c>
      <c r="D1239" t="s">
        <v>7</v>
      </c>
      <c r="E1239" t="s">
        <v>11</v>
      </c>
      <c r="F1239">
        <v>18</v>
      </c>
      <c r="G1239">
        <v>65</v>
      </c>
      <c r="H1239">
        <v>1170</v>
      </c>
    </row>
    <row r="1240" spans="1:8" x14ac:dyDescent="0.35">
      <c r="A1240" s="2">
        <v>45343</v>
      </c>
      <c r="B1240" s="7">
        <f t="shared" si="19"/>
        <v>2</v>
      </c>
      <c r="C1240" s="7" t="str">
        <f>_xlfn.XLOOKUP(B1240,catalogos!$A$2:$A$13,catalogos!$B$2:$B$13)</f>
        <v>February</v>
      </c>
      <c r="D1240" t="s">
        <v>7</v>
      </c>
      <c r="E1240" t="s">
        <v>12</v>
      </c>
      <c r="F1240">
        <v>77</v>
      </c>
      <c r="G1240">
        <v>104</v>
      </c>
      <c r="H1240">
        <v>8008</v>
      </c>
    </row>
    <row r="1241" spans="1:8" x14ac:dyDescent="0.35">
      <c r="A1241" s="2">
        <v>45343</v>
      </c>
      <c r="B1241" s="7">
        <f t="shared" si="19"/>
        <v>2</v>
      </c>
      <c r="C1241" s="7" t="str">
        <f>_xlfn.XLOOKUP(B1241,catalogos!$A$2:$A$13,catalogos!$B$2:$B$13)</f>
        <v>February</v>
      </c>
      <c r="D1241" t="s">
        <v>6</v>
      </c>
      <c r="E1241" t="s">
        <v>13</v>
      </c>
      <c r="F1241">
        <v>49</v>
      </c>
      <c r="G1241">
        <v>137</v>
      </c>
      <c r="H1241">
        <v>6713</v>
      </c>
    </row>
    <row r="1242" spans="1:8" x14ac:dyDescent="0.35">
      <c r="A1242" s="2">
        <v>45343</v>
      </c>
      <c r="B1242" s="7">
        <f t="shared" si="19"/>
        <v>2</v>
      </c>
      <c r="C1242" s="7" t="str">
        <f>_xlfn.XLOOKUP(B1242,catalogos!$A$2:$A$13,catalogos!$B$2:$B$13)</f>
        <v>February</v>
      </c>
      <c r="D1242" t="s">
        <v>8</v>
      </c>
      <c r="E1242" t="s">
        <v>11</v>
      </c>
      <c r="F1242">
        <v>44</v>
      </c>
      <c r="G1242">
        <v>32</v>
      </c>
      <c r="H1242">
        <v>1408</v>
      </c>
    </row>
    <row r="1243" spans="1:8" x14ac:dyDescent="0.35">
      <c r="A1243" s="2">
        <v>45343</v>
      </c>
      <c r="B1243" s="7">
        <f t="shared" si="19"/>
        <v>2</v>
      </c>
      <c r="C1243" s="7" t="str">
        <f>_xlfn.XLOOKUP(B1243,catalogos!$A$2:$A$13,catalogos!$B$2:$B$13)</f>
        <v>February</v>
      </c>
      <c r="D1243" t="s">
        <v>6</v>
      </c>
      <c r="E1243" t="s">
        <v>12</v>
      </c>
      <c r="F1243">
        <v>58</v>
      </c>
      <c r="G1243">
        <v>173</v>
      </c>
      <c r="H1243">
        <v>10034</v>
      </c>
    </row>
    <row r="1244" spans="1:8" x14ac:dyDescent="0.35">
      <c r="A1244" s="2">
        <v>45343</v>
      </c>
      <c r="B1244" s="7">
        <f t="shared" si="19"/>
        <v>2</v>
      </c>
      <c r="C1244" s="7" t="str">
        <f>_xlfn.XLOOKUP(B1244,catalogos!$A$2:$A$13,catalogos!$B$2:$B$13)</f>
        <v>February</v>
      </c>
      <c r="D1244" t="s">
        <v>7</v>
      </c>
      <c r="E1244" t="s">
        <v>14</v>
      </c>
      <c r="F1244">
        <v>98</v>
      </c>
      <c r="G1244">
        <v>324</v>
      </c>
      <c r="H1244">
        <v>31752</v>
      </c>
    </row>
    <row r="1245" spans="1:8" x14ac:dyDescent="0.35">
      <c r="A1245" s="2">
        <v>45343</v>
      </c>
      <c r="B1245" s="7">
        <f t="shared" si="19"/>
        <v>2</v>
      </c>
      <c r="C1245" s="7" t="str">
        <f>_xlfn.XLOOKUP(B1245,catalogos!$A$2:$A$13,catalogos!$B$2:$B$13)</f>
        <v>February</v>
      </c>
      <c r="D1245" t="s">
        <v>6</v>
      </c>
      <c r="E1245" t="s">
        <v>11</v>
      </c>
      <c r="F1245">
        <v>20</v>
      </c>
      <c r="G1245">
        <v>117</v>
      </c>
      <c r="H1245">
        <v>2340</v>
      </c>
    </row>
    <row r="1246" spans="1:8" x14ac:dyDescent="0.35">
      <c r="A1246" s="2">
        <v>45343</v>
      </c>
      <c r="B1246" s="7">
        <f t="shared" si="19"/>
        <v>2</v>
      </c>
      <c r="C1246" s="7" t="str">
        <f>_xlfn.XLOOKUP(B1246,catalogos!$A$2:$A$13,catalogos!$B$2:$B$13)</f>
        <v>February</v>
      </c>
      <c r="D1246" t="s">
        <v>7</v>
      </c>
      <c r="E1246" t="s">
        <v>13</v>
      </c>
      <c r="F1246">
        <v>92</v>
      </c>
      <c r="G1246">
        <v>403</v>
      </c>
      <c r="H1246">
        <v>37076</v>
      </c>
    </row>
    <row r="1247" spans="1:8" x14ac:dyDescent="0.35">
      <c r="A1247" s="2">
        <v>45343</v>
      </c>
      <c r="B1247" s="7">
        <f t="shared" si="19"/>
        <v>2</v>
      </c>
      <c r="C1247" s="7" t="str">
        <f>_xlfn.XLOOKUP(B1247,catalogos!$A$2:$A$13,catalogos!$B$2:$B$13)</f>
        <v>February</v>
      </c>
      <c r="D1247" t="s">
        <v>7</v>
      </c>
      <c r="E1247" t="s">
        <v>15</v>
      </c>
      <c r="F1247">
        <v>72</v>
      </c>
      <c r="G1247">
        <v>287</v>
      </c>
      <c r="H1247">
        <v>20664</v>
      </c>
    </row>
    <row r="1248" spans="1:8" x14ac:dyDescent="0.35">
      <c r="A1248" s="2">
        <v>45343</v>
      </c>
      <c r="B1248" s="7">
        <f t="shared" si="19"/>
        <v>2</v>
      </c>
      <c r="C1248" s="7" t="str">
        <f>_xlfn.XLOOKUP(B1248,catalogos!$A$2:$A$13,catalogos!$B$2:$B$13)</f>
        <v>February</v>
      </c>
      <c r="D1248" t="s">
        <v>10</v>
      </c>
      <c r="E1248" t="s">
        <v>15</v>
      </c>
      <c r="F1248">
        <v>16</v>
      </c>
      <c r="G1248">
        <v>167</v>
      </c>
      <c r="H1248">
        <v>2672</v>
      </c>
    </row>
    <row r="1249" spans="1:8" x14ac:dyDescent="0.35">
      <c r="A1249" s="2">
        <v>45343</v>
      </c>
      <c r="B1249" s="7">
        <f t="shared" si="19"/>
        <v>2</v>
      </c>
      <c r="C1249" s="7" t="str">
        <f>_xlfn.XLOOKUP(B1249,catalogos!$A$2:$A$13,catalogos!$B$2:$B$13)</f>
        <v>February</v>
      </c>
      <c r="D1249" t="s">
        <v>8</v>
      </c>
      <c r="E1249" t="s">
        <v>11</v>
      </c>
      <c r="F1249">
        <v>42</v>
      </c>
      <c r="G1249">
        <v>289</v>
      </c>
      <c r="H1249">
        <v>12138</v>
      </c>
    </row>
    <row r="1250" spans="1:8" x14ac:dyDescent="0.35">
      <c r="A1250" s="2">
        <v>45344</v>
      </c>
      <c r="B1250" s="7">
        <f t="shared" si="19"/>
        <v>2</v>
      </c>
      <c r="C1250" s="7" t="str">
        <f>_xlfn.XLOOKUP(B1250,catalogos!$A$2:$A$13,catalogos!$B$2:$B$13)</f>
        <v>February</v>
      </c>
      <c r="D1250" t="s">
        <v>8</v>
      </c>
      <c r="E1250" t="s">
        <v>12</v>
      </c>
      <c r="F1250">
        <v>69</v>
      </c>
      <c r="G1250">
        <v>172</v>
      </c>
      <c r="H1250">
        <v>11868</v>
      </c>
    </row>
    <row r="1251" spans="1:8" x14ac:dyDescent="0.35">
      <c r="A1251" s="2">
        <v>45344</v>
      </c>
      <c r="B1251" s="7">
        <f t="shared" si="19"/>
        <v>2</v>
      </c>
      <c r="C1251" s="7" t="str">
        <f>_xlfn.XLOOKUP(B1251,catalogos!$A$2:$A$13,catalogos!$B$2:$B$13)</f>
        <v>February</v>
      </c>
      <c r="D1251" t="s">
        <v>7</v>
      </c>
      <c r="E1251" t="s">
        <v>11</v>
      </c>
      <c r="F1251">
        <v>11</v>
      </c>
      <c r="G1251">
        <v>322</v>
      </c>
      <c r="H1251">
        <v>3542</v>
      </c>
    </row>
    <row r="1252" spans="1:8" x14ac:dyDescent="0.35">
      <c r="A1252" s="2">
        <v>45344</v>
      </c>
      <c r="B1252" s="7">
        <f t="shared" si="19"/>
        <v>2</v>
      </c>
      <c r="C1252" s="7" t="str">
        <f>_xlfn.XLOOKUP(B1252,catalogos!$A$2:$A$13,catalogos!$B$2:$B$13)</f>
        <v>February</v>
      </c>
      <c r="D1252" t="s">
        <v>8</v>
      </c>
      <c r="E1252" t="s">
        <v>14</v>
      </c>
      <c r="F1252">
        <v>75</v>
      </c>
      <c r="G1252">
        <v>281</v>
      </c>
      <c r="H1252">
        <v>21075</v>
      </c>
    </row>
    <row r="1253" spans="1:8" x14ac:dyDescent="0.35">
      <c r="A1253" s="2">
        <v>45344</v>
      </c>
      <c r="B1253" s="7">
        <f t="shared" si="19"/>
        <v>2</v>
      </c>
      <c r="C1253" s="7" t="str">
        <f>_xlfn.XLOOKUP(B1253,catalogos!$A$2:$A$13,catalogos!$B$2:$B$13)</f>
        <v>February</v>
      </c>
      <c r="D1253" t="s">
        <v>8</v>
      </c>
      <c r="E1253" t="s">
        <v>11</v>
      </c>
      <c r="F1253">
        <v>91</v>
      </c>
      <c r="G1253">
        <v>223</v>
      </c>
      <c r="H1253">
        <v>20293</v>
      </c>
    </row>
    <row r="1254" spans="1:8" x14ac:dyDescent="0.35">
      <c r="A1254" s="2">
        <v>45344</v>
      </c>
      <c r="B1254" s="7">
        <f t="shared" si="19"/>
        <v>2</v>
      </c>
      <c r="C1254" s="7" t="str">
        <f>_xlfn.XLOOKUP(B1254,catalogos!$A$2:$A$13,catalogos!$B$2:$B$13)</f>
        <v>February</v>
      </c>
      <c r="D1254" t="s">
        <v>6</v>
      </c>
      <c r="E1254" t="s">
        <v>15</v>
      </c>
      <c r="F1254">
        <v>86</v>
      </c>
      <c r="G1254">
        <v>27</v>
      </c>
      <c r="H1254">
        <v>2322</v>
      </c>
    </row>
    <row r="1255" spans="1:8" x14ac:dyDescent="0.35">
      <c r="A1255" s="2">
        <v>45344</v>
      </c>
      <c r="B1255" s="7">
        <f t="shared" si="19"/>
        <v>2</v>
      </c>
      <c r="C1255" s="7" t="str">
        <f>_xlfn.XLOOKUP(B1255,catalogos!$A$2:$A$13,catalogos!$B$2:$B$13)</f>
        <v>February</v>
      </c>
      <c r="D1255" t="s">
        <v>9</v>
      </c>
      <c r="E1255" t="s">
        <v>13</v>
      </c>
      <c r="F1255">
        <v>81</v>
      </c>
      <c r="G1255">
        <v>329</v>
      </c>
      <c r="H1255">
        <v>26649</v>
      </c>
    </row>
    <row r="1256" spans="1:8" x14ac:dyDescent="0.35">
      <c r="A1256" s="2">
        <v>45344</v>
      </c>
      <c r="B1256" s="7">
        <f t="shared" si="19"/>
        <v>2</v>
      </c>
      <c r="C1256" s="7" t="str">
        <f>_xlfn.XLOOKUP(B1256,catalogos!$A$2:$A$13,catalogos!$B$2:$B$13)</f>
        <v>February</v>
      </c>
      <c r="D1256" t="s">
        <v>10</v>
      </c>
      <c r="E1256" t="s">
        <v>12</v>
      </c>
      <c r="F1256">
        <v>21</v>
      </c>
      <c r="G1256">
        <v>310</v>
      </c>
      <c r="H1256">
        <v>6510</v>
      </c>
    </row>
    <row r="1257" spans="1:8" x14ac:dyDescent="0.35">
      <c r="A1257" s="2">
        <v>45344</v>
      </c>
      <c r="B1257" s="7">
        <f t="shared" si="19"/>
        <v>2</v>
      </c>
      <c r="C1257" s="7" t="str">
        <f>_xlfn.XLOOKUP(B1257,catalogos!$A$2:$A$13,catalogos!$B$2:$B$13)</f>
        <v>February</v>
      </c>
      <c r="D1257" t="s">
        <v>7</v>
      </c>
      <c r="E1257" t="s">
        <v>14</v>
      </c>
      <c r="F1257">
        <v>30</v>
      </c>
      <c r="G1257">
        <v>461</v>
      </c>
      <c r="H1257">
        <v>13830</v>
      </c>
    </row>
    <row r="1258" spans="1:8" x14ac:dyDescent="0.35">
      <c r="A1258" s="2">
        <v>45344</v>
      </c>
      <c r="B1258" s="7">
        <f t="shared" si="19"/>
        <v>2</v>
      </c>
      <c r="C1258" s="7" t="str">
        <f>_xlfn.XLOOKUP(B1258,catalogos!$A$2:$A$13,catalogos!$B$2:$B$13)</f>
        <v>February</v>
      </c>
      <c r="D1258" t="s">
        <v>9</v>
      </c>
      <c r="E1258" t="s">
        <v>13</v>
      </c>
      <c r="F1258">
        <v>33</v>
      </c>
      <c r="G1258">
        <v>425</v>
      </c>
      <c r="H1258">
        <v>14025</v>
      </c>
    </row>
    <row r="1259" spans="1:8" x14ac:dyDescent="0.35">
      <c r="A1259" s="2">
        <v>45344</v>
      </c>
      <c r="B1259" s="7">
        <f t="shared" si="19"/>
        <v>2</v>
      </c>
      <c r="C1259" s="7" t="str">
        <f>_xlfn.XLOOKUP(B1259,catalogos!$A$2:$A$13,catalogos!$B$2:$B$13)</f>
        <v>February</v>
      </c>
      <c r="D1259" t="s">
        <v>8</v>
      </c>
      <c r="E1259" t="s">
        <v>15</v>
      </c>
      <c r="F1259">
        <v>98</v>
      </c>
      <c r="G1259">
        <v>128</v>
      </c>
      <c r="H1259">
        <v>12544</v>
      </c>
    </row>
    <row r="1260" spans="1:8" x14ac:dyDescent="0.35">
      <c r="A1260" s="2">
        <v>45344</v>
      </c>
      <c r="B1260" s="7">
        <f t="shared" si="19"/>
        <v>2</v>
      </c>
      <c r="C1260" s="7" t="str">
        <f>_xlfn.XLOOKUP(B1260,catalogos!$A$2:$A$13,catalogos!$B$2:$B$13)</f>
        <v>February</v>
      </c>
      <c r="D1260" t="s">
        <v>10</v>
      </c>
      <c r="E1260" t="s">
        <v>13</v>
      </c>
      <c r="F1260">
        <v>76</v>
      </c>
      <c r="G1260">
        <v>294</v>
      </c>
      <c r="H1260">
        <v>22344</v>
      </c>
    </row>
    <row r="1261" spans="1:8" x14ac:dyDescent="0.35">
      <c r="A1261" s="2">
        <v>45344</v>
      </c>
      <c r="B1261" s="7">
        <f t="shared" si="19"/>
        <v>2</v>
      </c>
      <c r="C1261" s="7" t="str">
        <f>_xlfn.XLOOKUP(B1261,catalogos!$A$2:$A$13,catalogos!$B$2:$B$13)</f>
        <v>February</v>
      </c>
      <c r="D1261" t="s">
        <v>9</v>
      </c>
      <c r="E1261" t="s">
        <v>13</v>
      </c>
      <c r="F1261">
        <v>2</v>
      </c>
      <c r="G1261">
        <v>210</v>
      </c>
      <c r="H1261">
        <v>420</v>
      </c>
    </row>
    <row r="1262" spans="1:8" x14ac:dyDescent="0.35">
      <c r="A1262" s="2">
        <v>45344</v>
      </c>
      <c r="B1262" s="7">
        <f t="shared" si="19"/>
        <v>2</v>
      </c>
      <c r="C1262" s="7" t="str">
        <f>_xlfn.XLOOKUP(B1262,catalogos!$A$2:$A$13,catalogos!$B$2:$B$13)</f>
        <v>February</v>
      </c>
      <c r="D1262" t="s">
        <v>7</v>
      </c>
      <c r="E1262" t="s">
        <v>12</v>
      </c>
      <c r="F1262">
        <v>2</v>
      </c>
      <c r="G1262">
        <v>340</v>
      </c>
      <c r="H1262">
        <v>680</v>
      </c>
    </row>
    <row r="1263" spans="1:8" x14ac:dyDescent="0.35">
      <c r="A1263" s="2">
        <v>45344</v>
      </c>
      <c r="B1263" s="7">
        <f t="shared" si="19"/>
        <v>2</v>
      </c>
      <c r="C1263" s="7" t="str">
        <f>_xlfn.XLOOKUP(B1263,catalogos!$A$2:$A$13,catalogos!$B$2:$B$13)</f>
        <v>February</v>
      </c>
      <c r="D1263" t="s">
        <v>6</v>
      </c>
      <c r="E1263" t="s">
        <v>13</v>
      </c>
      <c r="F1263">
        <v>63</v>
      </c>
      <c r="G1263">
        <v>397</v>
      </c>
      <c r="H1263">
        <v>25011</v>
      </c>
    </row>
    <row r="1264" spans="1:8" x14ac:dyDescent="0.35">
      <c r="A1264" s="2">
        <v>45344</v>
      </c>
      <c r="B1264" s="7">
        <f t="shared" si="19"/>
        <v>2</v>
      </c>
      <c r="C1264" s="7" t="str">
        <f>_xlfn.XLOOKUP(B1264,catalogos!$A$2:$A$13,catalogos!$B$2:$B$13)</f>
        <v>February</v>
      </c>
      <c r="D1264" t="s">
        <v>8</v>
      </c>
      <c r="E1264" t="s">
        <v>11</v>
      </c>
      <c r="F1264">
        <v>19</v>
      </c>
      <c r="G1264">
        <v>82</v>
      </c>
      <c r="H1264">
        <v>1558</v>
      </c>
    </row>
    <row r="1265" spans="1:8" x14ac:dyDescent="0.35">
      <c r="A1265" s="2">
        <v>45344</v>
      </c>
      <c r="B1265" s="7">
        <f t="shared" si="19"/>
        <v>2</v>
      </c>
      <c r="C1265" s="7" t="str">
        <f>_xlfn.XLOOKUP(B1265,catalogos!$A$2:$A$13,catalogos!$B$2:$B$13)</f>
        <v>February</v>
      </c>
      <c r="D1265" t="s">
        <v>9</v>
      </c>
      <c r="E1265" t="s">
        <v>14</v>
      </c>
      <c r="F1265">
        <v>21</v>
      </c>
      <c r="G1265">
        <v>293</v>
      </c>
      <c r="H1265">
        <v>6153</v>
      </c>
    </row>
    <row r="1266" spans="1:8" x14ac:dyDescent="0.35">
      <c r="A1266" s="2">
        <v>45344</v>
      </c>
      <c r="B1266" s="7">
        <f t="shared" si="19"/>
        <v>2</v>
      </c>
      <c r="C1266" s="7" t="str">
        <f>_xlfn.XLOOKUP(B1266,catalogos!$A$2:$A$13,catalogos!$B$2:$B$13)</f>
        <v>February</v>
      </c>
      <c r="D1266" t="s">
        <v>6</v>
      </c>
      <c r="E1266" t="s">
        <v>11</v>
      </c>
      <c r="F1266">
        <v>32</v>
      </c>
      <c r="G1266">
        <v>129</v>
      </c>
      <c r="H1266">
        <v>4128</v>
      </c>
    </row>
    <row r="1267" spans="1:8" x14ac:dyDescent="0.35">
      <c r="A1267" s="2">
        <v>45344</v>
      </c>
      <c r="B1267" s="7">
        <f t="shared" si="19"/>
        <v>2</v>
      </c>
      <c r="C1267" s="7" t="str">
        <f>_xlfn.XLOOKUP(B1267,catalogos!$A$2:$A$13,catalogos!$B$2:$B$13)</f>
        <v>February</v>
      </c>
      <c r="D1267" t="s">
        <v>7</v>
      </c>
      <c r="E1267" t="s">
        <v>11</v>
      </c>
      <c r="F1267">
        <v>97</v>
      </c>
      <c r="G1267">
        <v>180</v>
      </c>
      <c r="H1267">
        <v>17460</v>
      </c>
    </row>
    <row r="1268" spans="1:8" x14ac:dyDescent="0.35">
      <c r="A1268" s="2">
        <v>45344</v>
      </c>
      <c r="B1268" s="7">
        <f t="shared" si="19"/>
        <v>2</v>
      </c>
      <c r="C1268" s="7" t="str">
        <f>_xlfn.XLOOKUP(B1268,catalogos!$A$2:$A$13,catalogos!$B$2:$B$13)</f>
        <v>February</v>
      </c>
      <c r="D1268" t="s">
        <v>9</v>
      </c>
      <c r="E1268" t="s">
        <v>14</v>
      </c>
      <c r="F1268">
        <v>31</v>
      </c>
      <c r="G1268">
        <v>312</v>
      </c>
      <c r="H1268">
        <v>9672</v>
      </c>
    </row>
    <row r="1269" spans="1:8" x14ac:dyDescent="0.35">
      <c r="A1269" s="2">
        <v>45344</v>
      </c>
      <c r="B1269" s="7">
        <f t="shared" si="19"/>
        <v>2</v>
      </c>
      <c r="C1269" s="7" t="str">
        <f>_xlfn.XLOOKUP(B1269,catalogos!$A$2:$A$13,catalogos!$B$2:$B$13)</f>
        <v>February</v>
      </c>
      <c r="D1269" t="s">
        <v>7</v>
      </c>
      <c r="E1269" t="s">
        <v>13</v>
      </c>
      <c r="F1269">
        <v>87</v>
      </c>
      <c r="G1269">
        <v>494</v>
      </c>
      <c r="H1269">
        <v>42978</v>
      </c>
    </row>
    <row r="1270" spans="1:8" x14ac:dyDescent="0.35">
      <c r="A1270" s="2">
        <v>45344</v>
      </c>
      <c r="B1270" s="7">
        <f t="shared" si="19"/>
        <v>2</v>
      </c>
      <c r="C1270" s="7" t="str">
        <f>_xlfn.XLOOKUP(B1270,catalogos!$A$2:$A$13,catalogos!$B$2:$B$13)</f>
        <v>February</v>
      </c>
      <c r="D1270" t="s">
        <v>7</v>
      </c>
      <c r="E1270" t="s">
        <v>14</v>
      </c>
      <c r="F1270">
        <v>80</v>
      </c>
      <c r="G1270">
        <v>339</v>
      </c>
      <c r="H1270">
        <v>27120</v>
      </c>
    </row>
    <row r="1271" spans="1:8" x14ac:dyDescent="0.35">
      <c r="A1271" s="2">
        <v>45344</v>
      </c>
      <c r="B1271" s="7">
        <f t="shared" si="19"/>
        <v>2</v>
      </c>
      <c r="C1271" s="7" t="str">
        <f>_xlfn.XLOOKUP(B1271,catalogos!$A$2:$A$13,catalogos!$B$2:$B$13)</f>
        <v>February</v>
      </c>
      <c r="D1271" t="s">
        <v>7</v>
      </c>
      <c r="E1271" t="s">
        <v>14</v>
      </c>
      <c r="F1271">
        <v>32</v>
      </c>
      <c r="G1271">
        <v>58</v>
      </c>
      <c r="H1271">
        <v>1856</v>
      </c>
    </row>
    <row r="1272" spans="1:8" x14ac:dyDescent="0.35">
      <c r="A1272" s="2">
        <v>45344</v>
      </c>
      <c r="B1272" s="7">
        <f t="shared" si="19"/>
        <v>2</v>
      </c>
      <c r="C1272" s="7" t="str">
        <f>_xlfn.XLOOKUP(B1272,catalogos!$A$2:$A$13,catalogos!$B$2:$B$13)</f>
        <v>February</v>
      </c>
      <c r="D1272" t="s">
        <v>10</v>
      </c>
      <c r="E1272" t="s">
        <v>15</v>
      </c>
      <c r="F1272">
        <v>75</v>
      </c>
      <c r="G1272">
        <v>142</v>
      </c>
      <c r="H1272">
        <v>10650</v>
      </c>
    </row>
    <row r="1273" spans="1:8" x14ac:dyDescent="0.35">
      <c r="A1273" s="2">
        <v>45344</v>
      </c>
      <c r="B1273" s="7">
        <f t="shared" si="19"/>
        <v>2</v>
      </c>
      <c r="C1273" s="7" t="str">
        <f>_xlfn.XLOOKUP(B1273,catalogos!$A$2:$A$13,catalogos!$B$2:$B$13)</f>
        <v>February</v>
      </c>
      <c r="D1273" t="s">
        <v>6</v>
      </c>
      <c r="E1273" t="s">
        <v>11</v>
      </c>
      <c r="F1273">
        <v>71</v>
      </c>
      <c r="G1273">
        <v>15</v>
      </c>
      <c r="H1273">
        <v>1065</v>
      </c>
    </row>
    <row r="1274" spans="1:8" x14ac:dyDescent="0.35">
      <c r="A1274" s="2">
        <v>45345</v>
      </c>
      <c r="B1274" s="7">
        <f t="shared" si="19"/>
        <v>2</v>
      </c>
      <c r="C1274" s="7" t="str">
        <f>_xlfn.XLOOKUP(B1274,catalogos!$A$2:$A$13,catalogos!$B$2:$B$13)</f>
        <v>February</v>
      </c>
      <c r="D1274" t="s">
        <v>8</v>
      </c>
      <c r="E1274" t="s">
        <v>12</v>
      </c>
      <c r="F1274">
        <v>28</v>
      </c>
      <c r="G1274">
        <v>366</v>
      </c>
      <c r="H1274">
        <v>10248</v>
      </c>
    </row>
    <row r="1275" spans="1:8" x14ac:dyDescent="0.35">
      <c r="A1275" s="2">
        <v>45345</v>
      </c>
      <c r="B1275" s="7">
        <f t="shared" si="19"/>
        <v>2</v>
      </c>
      <c r="C1275" s="7" t="str">
        <f>_xlfn.XLOOKUP(B1275,catalogos!$A$2:$A$13,catalogos!$B$2:$B$13)</f>
        <v>February</v>
      </c>
      <c r="D1275" t="s">
        <v>8</v>
      </c>
      <c r="E1275" t="s">
        <v>12</v>
      </c>
      <c r="F1275">
        <v>99</v>
      </c>
      <c r="G1275">
        <v>95</v>
      </c>
      <c r="H1275">
        <v>9405</v>
      </c>
    </row>
    <row r="1276" spans="1:8" x14ac:dyDescent="0.35">
      <c r="A1276" s="2">
        <v>45345</v>
      </c>
      <c r="B1276" s="7">
        <f t="shared" si="19"/>
        <v>2</v>
      </c>
      <c r="C1276" s="7" t="str">
        <f>_xlfn.XLOOKUP(B1276,catalogos!$A$2:$A$13,catalogos!$B$2:$B$13)</f>
        <v>February</v>
      </c>
      <c r="D1276" t="s">
        <v>9</v>
      </c>
      <c r="E1276" t="s">
        <v>15</v>
      </c>
      <c r="F1276">
        <v>62</v>
      </c>
      <c r="G1276">
        <v>255</v>
      </c>
      <c r="H1276">
        <v>15810</v>
      </c>
    </row>
    <row r="1277" spans="1:8" x14ac:dyDescent="0.35">
      <c r="A1277" s="2">
        <v>45345</v>
      </c>
      <c r="B1277" s="7">
        <f t="shared" si="19"/>
        <v>2</v>
      </c>
      <c r="C1277" s="7" t="str">
        <f>_xlfn.XLOOKUP(B1277,catalogos!$A$2:$A$13,catalogos!$B$2:$B$13)</f>
        <v>February</v>
      </c>
      <c r="D1277" t="s">
        <v>10</v>
      </c>
      <c r="E1277" t="s">
        <v>15</v>
      </c>
      <c r="F1277">
        <v>25</v>
      </c>
      <c r="G1277">
        <v>397</v>
      </c>
      <c r="H1277">
        <v>9925</v>
      </c>
    </row>
    <row r="1278" spans="1:8" x14ac:dyDescent="0.35">
      <c r="A1278" s="2">
        <v>45345</v>
      </c>
      <c r="B1278" s="7">
        <f t="shared" si="19"/>
        <v>2</v>
      </c>
      <c r="C1278" s="7" t="str">
        <f>_xlfn.XLOOKUP(B1278,catalogos!$A$2:$A$13,catalogos!$B$2:$B$13)</f>
        <v>February</v>
      </c>
      <c r="D1278" t="s">
        <v>10</v>
      </c>
      <c r="E1278" t="s">
        <v>15</v>
      </c>
      <c r="F1278">
        <v>15</v>
      </c>
      <c r="G1278">
        <v>57</v>
      </c>
      <c r="H1278">
        <v>855</v>
      </c>
    </row>
    <row r="1279" spans="1:8" x14ac:dyDescent="0.35">
      <c r="A1279" s="2">
        <v>45345</v>
      </c>
      <c r="B1279" s="7">
        <f t="shared" si="19"/>
        <v>2</v>
      </c>
      <c r="C1279" s="7" t="str">
        <f>_xlfn.XLOOKUP(B1279,catalogos!$A$2:$A$13,catalogos!$B$2:$B$13)</f>
        <v>February</v>
      </c>
      <c r="D1279" t="s">
        <v>9</v>
      </c>
      <c r="E1279" t="s">
        <v>11</v>
      </c>
      <c r="F1279">
        <v>87</v>
      </c>
      <c r="G1279">
        <v>36</v>
      </c>
      <c r="H1279">
        <v>3132</v>
      </c>
    </row>
    <row r="1280" spans="1:8" x14ac:dyDescent="0.35">
      <c r="A1280" s="2">
        <v>45345</v>
      </c>
      <c r="B1280" s="7">
        <f t="shared" si="19"/>
        <v>2</v>
      </c>
      <c r="C1280" s="7" t="str">
        <f>_xlfn.XLOOKUP(B1280,catalogos!$A$2:$A$13,catalogos!$B$2:$B$13)</f>
        <v>February</v>
      </c>
      <c r="D1280" t="s">
        <v>7</v>
      </c>
      <c r="E1280" t="s">
        <v>12</v>
      </c>
      <c r="F1280">
        <v>63</v>
      </c>
      <c r="G1280">
        <v>281</v>
      </c>
      <c r="H1280">
        <v>17703</v>
      </c>
    </row>
    <row r="1281" spans="1:8" x14ac:dyDescent="0.35">
      <c r="A1281" s="2">
        <v>45345</v>
      </c>
      <c r="B1281" s="7">
        <f t="shared" si="19"/>
        <v>2</v>
      </c>
      <c r="C1281" s="7" t="str">
        <f>_xlfn.XLOOKUP(B1281,catalogos!$A$2:$A$13,catalogos!$B$2:$B$13)</f>
        <v>February</v>
      </c>
      <c r="D1281" t="s">
        <v>7</v>
      </c>
      <c r="E1281" t="s">
        <v>15</v>
      </c>
      <c r="F1281">
        <v>37</v>
      </c>
      <c r="G1281">
        <v>486</v>
      </c>
      <c r="H1281">
        <v>17982</v>
      </c>
    </row>
    <row r="1282" spans="1:8" x14ac:dyDescent="0.35">
      <c r="A1282" s="2">
        <v>45345</v>
      </c>
      <c r="B1282" s="7">
        <f t="shared" si="19"/>
        <v>2</v>
      </c>
      <c r="C1282" s="7" t="str">
        <f>_xlfn.XLOOKUP(B1282,catalogos!$A$2:$A$13,catalogos!$B$2:$B$13)</f>
        <v>February</v>
      </c>
      <c r="D1282" t="s">
        <v>7</v>
      </c>
      <c r="E1282" t="s">
        <v>15</v>
      </c>
      <c r="F1282">
        <v>43</v>
      </c>
      <c r="G1282">
        <v>197</v>
      </c>
      <c r="H1282">
        <v>8471</v>
      </c>
    </row>
    <row r="1283" spans="1:8" x14ac:dyDescent="0.35">
      <c r="A1283" s="2">
        <v>45345</v>
      </c>
      <c r="B1283" s="7">
        <f t="shared" ref="B1283:B1346" si="20">MONTH(A1283)</f>
        <v>2</v>
      </c>
      <c r="C1283" s="7" t="str">
        <f>_xlfn.XLOOKUP(B1283,catalogos!$A$2:$A$13,catalogos!$B$2:$B$13)</f>
        <v>February</v>
      </c>
      <c r="D1283" t="s">
        <v>8</v>
      </c>
      <c r="E1283" t="s">
        <v>14</v>
      </c>
      <c r="F1283">
        <v>33</v>
      </c>
      <c r="G1283">
        <v>444</v>
      </c>
      <c r="H1283">
        <v>14652</v>
      </c>
    </row>
    <row r="1284" spans="1:8" x14ac:dyDescent="0.35">
      <c r="A1284" s="2">
        <v>45345</v>
      </c>
      <c r="B1284" s="7">
        <f t="shared" si="20"/>
        <v>2</v>
      </c>
      <c r="C1284" s="7" t="str">
        <f>_xlfn.XLOOKUP(B1284,catalogos!$A$2:$A$13,catalogos!$B$2:$B$13)</f>
        <v>February</v>
      </c>
      <c r="D1284" t="s">
        <v>9</v>
      </c>
      <c r="E1284" t="s">
        <v>11</v>
      </c>
      <c r="F1284">
        <v>63</v>
      </c>
      <c r="G1284">
        <v>194</v>
      </c>
      <c r="H1284">
        <v>12222</v>
      </c>
    </row>
    <row r="1285" spans="1:8" x14ac:dyDescent="0.35">
      <c r="A1285" s="2">
        <v>45345</v>
      </c>
      <c r="B1285" s="7">
        <f t="shared" si="20"/>
        <v>2</v>
      </c>
      <c r="C1285" s="7" t="str">
        <f>_xlfn.XLOOKUP(B1285,catalogos!$A$2:$A$13,catalogos!$B$2:$B$13)</f>
        <v>February</v>
      </c>
      <c r="D1285" t="s">
        <v>7</v>
      </c>
      <c r="E1285" t="s">
        <v>11</v>
      </c>
      <c r="F1285">
        <v>46</v>
      </c>
      <c r="G1285">
        <v>432</v>
      </c>
      <c r="H1285">
        <v>19872</v>
      </c>
    </row>
    <row r="1286" spans="1:8" x14ac:dyDescent="0.35">
      <c r="A1286" s="2">
        <v>45345</v>
      </c>
      <c r="B1286" s="7">
        <f t="shared" si="20"/>
        <v>2</v>
      </c>
      <c r="C1286" s="7" t="str">
        <f>_xlfn.XLOOKUP(B1286,catalogos!$A$2:$A$13,catalogos!$B$2:$B$13)</f>
        <v>February</v>
      </c>
      <c r="D1286" t="s">
        <v>9</v>
      </c>
      <c r="E1286" t="s">
        <v>11</v>
      </c>
      <c r="F1286">
        <v>14</v>
      </c>
      <c r="G1286">
        <v>176</v>
      </c>
      <c r="H1286">
        <v>2464</v>
      </c>
    </row>
    <row r="1287" spans="1:8" x14ac:dyDescent="0.35">
      <c r="A1287" s="2">
        <v>45345</v>
      </c>
      <c r="B1287" s="7">
        <f t="shared" si="20"/>
        <v>2</v>
      </c>
      <c r="C1287" s="7" t="str">
        <f>_xlfn.XLOOKUP(B1287,catalogos!$A$2:$A$13,catalogos!$B$2:$B$13)</f>
        <v>February</v>
      </c>
      <c r="D1287" t="s">
        <v>10</v>
      </c>
      <c r="E1287" t="s">
        <v>14</v>
      </c>
      <c r="F1287">
        <v>76</v>
      </c>
      <c r="G1287">
        <v>190</v>
      </c>
      <c r="H1287">
        <v>14440</v>
      </c>
    </row>
    <row r="1288" spans="1:8" x14ac:dyDescent="0.35">
      <c r="A1288" s="2">
        <v>45345</v>
      </c>
      <c r="B1288" s="7">
        <f t="shared" si="20"/>
        <v>2</v>
      </c>
      <c r="C1288" s="7" t="str">
        <f>_xlfn.XLOOKUP(B1288,catalogos!$A$2:$A$13,catalogos!$B$2:$B$13)</f>
        <v>February</v>
      </c>
      <c r="D1288" t="s">
        <v>10</v>
      </c>
      <c r="E1288" t="s">
        <v>12</v>
      </c>
      <c r="F1288">
        <v>53</v>
      </c>
      <c r="G1288">
        <v>433</v>
      </c>
      <c r="H1288">
        <v>22949</v>
      </c>
    </row>
    <row r="1289" spans="1:8" x14ac:dyDescent="0.35">
      <c r="A1289" s="2">
        <v>45345</v>
      </c>
      <c r="B1289" s="7">
        <f t="shared" si="20"/>
        <v>2</v>
      </c>
      <c r="C1289" s="7" t="str">
        <f>_xlfn.XLOOKUP(B1289,catalogos!$A$2:$A$13,catalogos!$B$2:$B$13)</f>
        <v>February</v>
      </c>
      <c r="D1289" t="s">
        <v>6</v>
      </c>
      <c r="E1289" t="s">
        <v>14</v>
      </c>
      <c r="F1289">
        <v>72</v>
      </c>
      <c r="G1289">
        <v>382</v>
      </c>
      <c r="H1289">
        <v>27504</v>
      </c>
    </row>
    <row r="1290" spans="1:8" x14ac:dyDescent="0.35">
      <c r="A1290" s="2">
        <v>45345</v>
      </c>
      <c r="B1290" s="7">
        <f t="shared" si="20"/>
        <v>2</v>
      </c>
      <c r="C1290" s="7" t="str">
        <f>_xlfn.XLOOKUP(B1290,catalogos!$A$2:$A$13,catalogos!$B$2:$B$13)</f>
        <v>February</v>
      </c>
      <c r="D1290" t="s">
        <v>7</v>
      </c>
      <c r="E1290" t="s">
        <v>12</v>
      </c>
      <c r="F1290">
        <v>90</v>
      </c>
      <c r="G1290">
        <v>341</v>
      </c>
      <c r="H1290">
        <v>30690</v>
      </c>
    </row>
    <row r="1291" spans="1:8" x14ac:dyDescent="0.35">
      <c r="A1291" s="2">
        <v>45345</v>
      </c>
      <c r="B1291" s="7">
        <f t="shared" si="20"/>
        <v>2</v>
      </c>
      <c r="C1291" s="7" t="str">
        <f>_xlfn.XLOOKUP(B1291,catalogos!$A$2:$A$13,catalogos!$B$2:$B$13)</f>
        <v>February</v>
      </c>
      <c r="D1291" t="s">
        <v>7</v>
      </c>
      <c r="E1291" t="s">
        <v>12</v>
      </c>
      <c r="F1291">
        <v>81</v>
      </c>
      <c r="G1291">
        <v>265</v>
      </c>
      <c r="H1291">
        <v>21465</v>
      </c>
    </row>
    <row r="1292" spans="1:8" x14ac:dyDescent="0.35">
      <c r="A1292" s="2">
        <v>45345</v>
      </c>
      <c r="B1292" s="7">
        <f t="shared" si="20"/>
        <v>2</v>
      </c>
      <c r="C1292" s="7" t="str">
        <f>_xlfn.XLOOKUP(B1292,catalogos!$A$2:$A$13,catalogos!$B$2:$B$13)</f>
        <v>February</v>
      </c>
      <c r="D1292" t="s">
        <v>8</v>
      </c>
      <c r="E1292" t="s">
        <v>11</v>
      </c>
      <c r="F1292">
        <v>25</v>
      </c>
      <c r="G1292">
        <v>423</v>
      </c>
      <c r="H1292">
        <v>10575</v>
      </c>
    </row>
    <row r="1293" spans="1:8" x14ac:dyDescent="0.35">
      <c r="A1293" s="2">
        <v>45345</v>
      </c>
      <c r="B1293" s="7">
        <f t="shared" si="20"/>
        <v>2</v>
      </c>
      <c r="C1293" s="7" t="str">
        <f>_xlfn.XLOOKUP(B1293,catalogos!$A$2:$A$13,catalogos!$B$2:$B$13)</f>
        <v>February</v>
      </c>
      <c r="D1293" t="s">
        <v>6</v>
      </c>
      <c r="E1293" t="s">
        <v>15</v>
      </c>
      <c r="F1293">
        <v>5</v>
      </c>
      <c r="G1293">
        <v>23</v>
      </c>
      <c r="H1293">
        <v>115</v>
      </c>
    </row>
    <row r="1294" spans="1:8" x14ac:dyDescent="0.35">
      <c r="A1294" s="2">
        <v>45345</v>
      </c>
      <c r="B1294" s="7">
        <f t="shared" si="20"/>
        <v>2</v>
      </c>
      <c r="C1294" s="7" t="str">
        <f>_xlfn.XLOOKUP(B1294,catalogos!$A$2:$A$13,catalogos!$B$2:$B$13)</f>
        <v>February</v>
      </c>
      <c r="D1294" t="s">
        <v>7</v>
      </c>
      <c r="E1294" t="s">
        <v>12</v>
      </c>
      <c r="F1294">
        <v>78</v>
      </c>
      <c r="G1294">
        <v>163</v>
      </c>
      <c r="H1294">
        <v>12714</v>
      </c>
    </row>
    <row r="1295" spans="1:8" x14ac:dyDescent="0.35">
      <c r="A1295" s="2">
        <v>45345</v>
      </c>
      <c r="B1295" s="7">
        <f t="shared" si="20"/>
        <v>2</v>
      </c>
      <c r="C1295" s="7" t="str">
        <f>_xlfn.XLOOKUP(B1295,catalogos!$A$2:$A$13,catalogos!$B$2:$B$13)</f>
        <v>February</v>
      </c>
      <c r="D1295" t="s">
        <v>6</v>
      </c>
      <c r="E1295" t="s">
        <v>11</v>
      </c>
      <c r="F1295">
        <v>52</v>
      </c>
      <c r="G1295">
        <v>479</v>
      </c>
      <c r="H1295">
        <v>24908</v>
      </c>
    </row>
    <row r="1296" spans="1:8" x14ac:dyDescent="0.35">
      <c r="A1296" s="2">
        <v>45345</v>
      </c>
      <c r="B1296" s="7">
        <f t="shared" si="20"/>
        <v>2</v>
      </c>
      <c r="C1296" s="7" t="str">
        <f>_xlfn.XLOOKUP(B1296,catalogos!$A$2:$A$13,catalogos!$B$2:$B$13)</f>
        <v>February</v>
      </c>
      <c r="D1296" t="s">
        <v>10</v>
      </c>
      <c r="E1296" t="s">
        <v>11</v>
      </c>
      <c r="F1296">
        <v>86</v>
      </c>
      <c r="G1296">
        <v>441</v>
      </c>
      <c r="H1296">
        <v>37926</v>
      </c>
    </row>
    <row r="1297" spans="1:8" x14ac:dyDescent="0.35">
      <c r="A1297" s="2">
        <v>45345</v>
      </c>
      <c r="B1297" s="7">
        <f t="shared" si="20"/>
        <v>2</v>
      </c>
      <c r="C1297" s="7" t="str">
        <f>_xlfn.XLOOKUP(B1297,catalogos!$A$2:$A$13,catalogos!$B$2:$B$13)</f>
        <v>February</v>
      </c>
      <c r="D1297" t="s">
        <v>7</v>
      </c>
      <c r="E1297" t="s">
        <v>13</v>
      </c>
      <c r="F1297">
        <v>34</v>
      </c>
      <c r="G1297">
        <v>112</v>
      </c>
      <c r="H1297">
        <v>3808</v>
      </c>
    </row>
    <row r="1298" spans="1:8" x14ac:dyDescent="0.35">
      <c r="A1298" s="2">
        <v>45346</v>
      </c>
      <c r="B1298" s="7">
        <f t="shared" si="20"/>
        <v>2</v>
      </c>
      <c r="C1298" s="7" t="str">
        <f>_xlfn.XLOOKUP(B1298,catalogos!$A$2:$A$13,catalogos!$B$2:$B$13)</f>
        <v>February</v>
      </c>
      <c r="D1298" t="s">
        <v>8</v>
      </c>
      <c r="E1298" t="s">
        <v>12</v>
      </c>
      <c r="F1298">
        <v>90</v>
      </c>
      <c r="G1298">
        <v>199</v>
      </c>
      <c r="H1298">
        <v>17910</v>
      </c>
    </row>
    <row r="1299" spans="1:8" x14ac:dyDescent="0.35">
      <c r="A1299" s="2">
        <v>45346</v>
      </c>
      <c r="B1299" s="7">
        <f t="shared" si="20"/>
        <v>2</v>
      </c>
      <c r="C1299" s="7" t="str">
        <f>_xlfn.XLOOKUP(B1299,catalogos!$A$2:$A$13,catalogos!$B$2:$B$13)</f>
        <v>February</v>
      </c>
      <c r="D1299" t="s">
        <v>9</v>
      </c>
      <c r="E1299" t="s">
        <v>14</v>
      </c>
      <c r="F1299">
        <v>7</v>
      </c>
      <c r="G1299">
        <v>89</v>
      </c>
      <c r="H1299">
        <v>623</v>
      </c>
    </row>
    <row r="1300" spans="1:8" x14ac:dyDescent="0.35">
      <c r="A1300" s="2">
        <v>45346</v>
      </c>
      <c r="B1300" s="7">
        <f t="shared" si="20"/>
        <v>2</v>
      </c>
      <c r="C1300" s="7" t="str">
        <f>_xlfn.XLOOKUP(B1300,catalogos!$A$2:$A$13,catalogos!$B$2:$B$13)</f>
        <v>February</v>
      </c>
      <c r="D1300" t="s">
        <v>9</v>
      </c>
      <c r="E1300" t="s">
        <v>13</v>
      </c>
      <c r="F1300">
        <v>7</v>
      </c>
      <c r="G1300">
        <v>491</v>
      </c>
      <c r="H1300">
        <v>3437</v>
      </c>
    </row>
    <row r="1301" spans="1:8" x14ac:dyDescent="0.35">
      <c r="A1301" s="2">
        <v>45346</v>
      </c>
      <c r="B1301" s="7">
        <f t="shared" si="20"/>
        <v>2</v>
      </c>
      <c r="C1301" s="7" t="str">
        <f>_xlfn.XLOOKUP(B1301,catalogos!$A$2:$A$13,catalogos!$B$2:$B$13)</f>
        <v>February</v>
      </c>
      <c r="D1301" t="s">
        <v>9</v>
      </c>
      <c r="E1301" t="s">
        <v>13</v>
      </c>
      <c r="F1301">
        <v>34</v>
      </c>
      <c r="G1301">
        <v>436</v>
      </c>
      <c r="H1301">
        <v>14824</v>
      </c>
    </row>
    <row r="1302" spans="1:8" x14ac:dyDescent="0.35">
      <c r="A1302" s="2">
        <v>45346</v>
      </c>
      <c r="B1302" s="7">
        <f t="shared" si="20"/>
        <v>2</v>
      </c>
      <c r="C1302" s="7" t="str">
        <f>_xlfn.XLOOKUP(B1302,catalogos!$A$2:$A$13,catalogos!$B$2:$B$13)</f>
        <v>February</v>
      </c>
      <c r="D1302" t="s">
        <v>10</v>
      </c>
      <c r="E1302" t="s">
        <v>12</v>
      </c>
      <c r="F1302">
        <v>86</v>
      </c>
      <c r="G1302">
        <v>412</v>
      </c>
      <c r="H1302">
        <v>35432</v>
      </c>
    </row>
    <row r="1303" spans="1:8" x14ac:dyDescent="0.35">
      <c r="A1303" s="2">
        <v>45346</v>
      </c>
      <c r="B1303" s="7">
        <f t="shared" si="20"/>
        <v>2</v>
      </c>
      <c r="C1303" s="7" t="str">
        <f>_xlfn.XLOOKUP(B1303,catalogos!$A$2:$A$13,catalogos!$B$2:$B$13)</f>
        <v>February</v>
      </c>
      <c r="D1303" t="s">
        <v>6</v>
      </c>
      <c r="E1303" t="s">
        <v>15</v>
      </c>
      <c r="F1303">
        <v>89</v>
      </c>
      <c r="G1303">
        <v>193</v>
      </c>
      <c r="H1303">
        <v>17177</v>
      </c>
    </row>
    <row r="1304" spans="1:8" x14ac:dyDescent="0.35">
      <c r="A1304" s="2">
        <v>45346</v>
      </c>
      <c r="B1304" s="7">
        <f t="shared" si="20"/>
        <v>2</v>
      </c>
      <c r="C1304" s="7" t="str">
        <f>_xlfn.XLOOKUP(B1304,catalogos!$A$2:$A$13,catalogos!$B$2:$B$13)</f>
        <v>February</v>
      </c>
      <c r="D1304" t="s">
        <v>7</v>
      </c>
      <c r="E1304" t="s">
        <v>12</v>
      </c>
      <c r="F1304">
        <v>94</v>
      </c>
      <c r="G1304">
        <v>346</v>
      </c>
      <c r="H1304">
        <v>32524</v>
      </c>
    </row>
    <row r="1305" spans="1:8" x14ac:dyDescent="0.35">
      <c r="A1305" s="2">
        <v>45346</v>
      </c>
      <c r="B1305" s="7">
        <f t="shared" si="20"/>
        <v>2</v>
      </c>
      <c r="C1305" s="7" t="str">
        <f>_xlfn.XLOOKUP(B1305,catalogos!$A$2:$A$13,catalogos!$B$2:$B$13)</f>
        <v>February</v>
      </c>
      <c r="D1305" t="s">
        <v>6</v>
      </c>
      <c r="E1305" t="s">
        <v>13</v>
      </c>
      <c r="F1305">
        <v>28</v>
      </c>
      <c r="G1305">
        <v>383</v>
      </c>
      <c r="H1305">
        <v>10724</v>
      </c>
    </row>
    <row r="1306" spans="1:8" x14ac:dyDescent="0.35">
      <c r="A1306" s="2">
        <v>45346</v>
      </c>
      <c r="B1306" s="7">
        <f t="shared" si="20"/>
        <v>2</v>
      </c>
      <c r="C1306" s="7" t="str">
        <f>_xlfn.XLOOKUP(B1306,catalogos!$A$2:$A$13,catalogos!$B$2:$B$13)</f>
        <v>February</v>
      </c>
      <c r="D1306" t="s">
        <v>10</v>
      </c>
      <c r="E1306" t="s">
        <v>14</v>
      </c>
      <c r="F1306">
        <v>1</v>
      </c>
      <c r="G1306">
        <v>101</v>
      </c>
      <c r="H1306">
        <v>101</v>
      </c>
    </row>
    <row r="1307" spans="1:8" x14ac:dyDescent="0.35">
      <c r="A1307" s="2">
        <v>45346</v>
      </c>
      <c r="B1307" s="7">
        <f t="shared" si="20"/>
        <v>2</v>
      </c>
      <c r="C1307" s="7" t="str">
        <f>_xlfn.XLOOKUP(B1307,catalogos!$A$2:$A$13,catalogos!$B$2:$B$13)</f>
        <v>February</v>
      </c>
      <c r="D1307" t="s">
        <v>9</v>
      </c>
      <c r="E1307" t="s">
        <v>11</v>
      </c>
      <c r="F1307">
        <v>65</v>
      </c>
      <c r="G1307">
        <v>476</v>
      </c>
      <c r="H1307">
        <v>30940</v>
      </c>
    </row>
    <row r="1308" spans="1:8" x14ac:dyDescent="0.35">
      <c r="A1308" s="2">
        <v>45346</v>
      </c>
      <c r="B1308" s="7">
        <f t="shared" si="20"/>
        <v>2</v>
      </c>
      <c r="C1308" s="7" t="str">
        <f>_xlfn.XLOOKUP(B1308,catalogos!$A$2:$A$13,catalogos!$B$2:$B$13)</f>
        <v>February</v>
      </c>
      <c r="D1308" t="s">
        <v>7</v>
      </c>
      <c r="E1308" t="s">
        <v>15</v>
      </c>
      <c r="F1308">
        <v>45</v>
      </c>
      <c r="G1308">
        <v>227</v>
      </c>
      <c r="H1308">
        <v>10215</v>
      </c>
    </row>
    <row r="1309" spans="1:8" x14ac:dyDescent="0.35">
      <c r="A1309" s="2">
        <v>45346</v>
      </c>
      <c r="B1309" s="7">
        <f t="shared" si="20"/>
        <v>2</v>
      </c>
      <c r="C1309" s="7" t="str">
        <f>_xlfn.XLOOKUP(B1309,catalogos!$A$2:$A$13,catalogos!$B$2:$B$13)</f>
        <v>February</v>
      </c>
      <c r="D1309" t="s">
        <v>10</v>
      </c>
      <c r="E1309" t="s">
        <v>15</v>
      </c>
      <c r="F1309">
        <v>18</v>
      </c>
      <c r="G1309">
        <v>199</v>
      </c>
      <c r="H1309">
        <v>3582</v>
      </c>
    </row>
    <row r="1310" spans="1:8" x14ac:dyDescent="0.35">
      <c r="A1310" s="2">
        <v>45346</v>
      </c>
      <c r="B1310" s="7">
        <f t="shared" si="20"/>
        <v>2</v>
      </c>
      <c r="C1310" s="7" t="str">
        <f>_xlfn.XLOOKUP(B1310,catalogos!$A$2:$A$13,catalogos!$B$2:$B$13)</f>
        <v>February</v>
      </c>
      <c r="D1310" t="s">
        <v>8</v>
      </c>
      <c r="E1310" t="s">
        <v>11</v>
      </c>
      <c r="F1310">
        <v>40</v>
      </c>
      <c r="G1310">
        <v>278</v>
      </c>
      <c r="H1310">
        <v>11120</v>
      </c>
    </row>
    <row r="1311" spans="1:8" x14ac:dyDescent="0.35">
      <c r="A1311" s="2">
        <v>45346</v>
      </c>
      <c r="B1311" s="7">
        <f t="shared" si="20"/>
        <v>2</v>
      </c>
      <c r="C1311" s="7" t="str">
        <f>_xlfn.XLOOKUP(B1311,catalogos!$A$2:$A$13,catalogos!$B$2:$B$13)</f>
        <v>February</v>
      </c>
      <c r="D1311" t="s">
        <v>7</v>
      </c>
      <c r="E1311" t="s">
        <v>14</v>
      </c>
      <c r="F1311">
        <v>11</v>
      </c>
      <c r="G1311">
        <v>359</v>
      </c>
      <c r="H1311">
        <v>3949</v>
      </c>
    </row>
    <row r="1312" spans="1:8" x14ac:dyDescent="0.35">
      <c r="A1312" s="2">
        <v>45346</v>
      </c>
      <c r="B1312" s="7">
        <f t="shared" si="20"/>
        <v>2</v>
      </c>
      <c r="C1312" s="7" t="str">
        <f>_xlfn.XLOOKUP(B1312,catalogos!$A$2:$A$13,catalogos!$B$2:$B$13)</f>
        <v>February</v>
      </c>
      <c r="D1312" t="s">
        <v>8</v>
      </c>
      <c r="E1312" t="s">
        <v>13</v>
      </c>
      <c r="F1312">
        <v>81</v>
      </c>
      <c r="G1312">
        <v>394</v>
      </c>
      <c r="H1312">
        <v>31914</v>
      </c>
    </row>
    <row r="1313" spans="1:8" x14ac:dyDescent="0.35">
      <c r="A1313" s="2">
        <v>45346</v>
      </c>
      <c r="B1313" s="7">
        <f t="shared" si="20"/>
        <v>2</v>
      </c>
      <c r="C1313" s="7" t="str">
        <f>_xlfn.XLOOKUP(B1313,catalogos!$A$2:$A$13,catalogos!$B$2:$B$13)</f>
        <v>February</v>
      </c>
      <c r="D1313" t="s">
        <v>6</v>
      </c>
      <c r="E1313" t="s">
        <v>15</v>
      </c>
      <c r="F1313">
        <v>25</v>
      </c>
      <c r="G1313">
        <v>333</v>
      </c>
      <c r="H1313">
        <v>8325</v>
      </c>
    </row>
    <row r="1314" spans="1:8" x14ac:dyDescent="0.35">
      <c r="A1314" s="2">
        <v>45346</v>
      </c>
      <c r="B1314" s="7">
        <f t="shared" si="20"/>
        <v>2</v>
      </c>
      <c r="C1314" s="7" t="str">
        <f>_xlfn.XLOOKUP(B1314,catalogos!$A$2:$A$13,catalogos!$B$2:$B$13)</f>
        <v>February</v>
      </c>
      <c r="D1314" t="s">
        <v>9</v>
      </c>
      <c r="E1314" t="s">
        <v>11</v>
      </c>
      <c r="F1314">
        <v>97</v>
      </c>
      <c r="G1314">
        <v>218</v>
      </c>
      <c r="H1314">
        <v>21146</v>
      </c>
    </row>
    <row r="1315" spans="1:8" x14ac:dyDescent="0.35">
      <c r="A1315" s="2">
        <v>45346</v>
      </c>
      <c r="B1315" s="7">
        <f t="shared" si="20"/>
        <v>2</v>
      </c>
      <c r="C1315" s="7" t="str">
        <f>_xlfn.XLOOKUP(B1315,catalogos!$A$2:$A$13,catalogos!$B$2:$B$13)</f>
        <v>February</v>
      </c>
      <c r="D1315" t="s">
        <v>9</v>
      </c>
      <c r="E1315" t="s">
        <v>13</v>
      </c>
      <c r="F1315">
        <v>11</v>
      </c>
      <c r="G1315">
        <v>337</v>
      </c>
      <c r="H1315">
        <v>3707</v>
      </c>
    </row>
    <row r="1316" spans="1:8" x14ac:dyDescent="0.35">
      <c r="A1316" s="2">
        <v>45346</v>
      </c>
      <c r="B1316" s="7">
        <f t="shared" si="20"/>
        <v>2</v>
      </c>
      <c r="C1316" s="7" t="str">
        <f>_xlfn.XLOOKUP(B1316,catalogos!$A$2:$A$13,catalogos!$B$2:$B$13)</f>
        <v>February</v>
      </c>
      <c r="D1316" t="s">
        <v>10</v>
      </c>
      <c r="E1316" t="s">
        <v>13</v>
      </c>
      <c r="F1316">
        <v>63</v>
      </c>
      <c r="G1316">
        <v>213</v>
      </c>
      <c r="H1316">
        <v>13419</v>
      </c>
    </row>
    <row r="1317" spans="1:8" x14ac:dyDescent="0.35">
      <c r="A1317" s="2">
        <v>45346</v>
      </c>
      <c r="B1317" s="7">
        <f t="shared" si="20"/>
        <v>2</v>
      </c>
      <c r="C1317" s="7" t="str">
        <f>_xlfn.XLOOKUP(B1317,catalogos!$A$2:$A$13,catalogos!$B$2:$B$13)</f>
        <v>February</v>
      </c>
      <c r="D1317" t="s">
        <v>7</v>
      </c>
      <c r="E1317" t="s">
        <v>12</v>
      </c>
      <c r="F1317">
        <v>80</v>
      </c>
      <c r="G1317">
        <v>394</v>
      </c>
      <c r="H1317">
        <v>31520</v>
      </c>
    </row>
    <row r="1318" spans="1:8" x14ac:dyDescent="0.35">
      <c r="A1318" s="2">
        <v>45346</v>
      </c>
      <c r="B1318" s="7">
        <f t="shared" si="20"/>
        <v>2</v>
      </c>
      <c r="C1318" s="7" t="str">
        <f>_xlfn.XLOOKUP(B1318,catalogos!$A$2:$A$13,catalogos!$B$2:$B$13)</f>
        <v>February</v>
      </c>
      <c r="D1318" t="s">
        <v>6</v>
      </c>
      <c r="E1318" t="s">
        <v>13</v>
      </c>
      <c r="F1318">
        <v>13</v>
      </c>
      <c r="G1318">
        <v>386</v>
      </c>
      <c r="H1318">
        <v>5018</v>
      </c>
    </row>
    <row r="1319" spans="1:8" x14ac:dyDescent="0.35">
      <c r="A1319" s="2">
        <v>45346</v>
      </c>
      <c r="B1319" s="7">
        <f t="shared" si="20"/>
        <v>2</v>
      </c>
      <c r="C1319" s="7" t="str">
        <f>_xlfn.XLOOKUP(B1319,catalogos!$A$2:$A$13,catalogos!$B$2:$B$13)</f>
        <v>February</v>
      </c>
      <c r="D1319" t="s">
        <v>10</v>
      </c>
      <c r="E1319" t="s">
        <v>12</v>
      </c>
      <c r="F1319">
        <v>12</v>
      </c>
      <c r="G1319">
        <v>349</v>
      </c>
      <c r="H1319">
        <v>4188</v>
      </c>
    </row>
    <row r="1320" spans="1:8" x14ac:dyDescent="0.35">
      <c r="A1320" s="2">
        <v>45346</v>
      </c>
      <c r="B1320" s="7">
        <f t="shared" si="20"/>
        <v>2</v>
      </c>
      <c r="C1320" s="7" t="str">
        <f>_xlfn.XLOOKUP(B1320,catalogos!$A$2:$A$13,catalogos!$B$2:$B$13)</f>
        <v>February</v>
      </c>
      <c r="D1320" t="s">
        <v>7</v>
      </c>
      <c r="E1320" t="s">
        <v>11</v>
      </c>
      <c r="F1320">
        <v>11</v>
      </c>
      <c r="G1320">
        <v>487</v>
      </c>
      <c r="H1320">
        <v>5357</v>
      </c>
    </row>
    <row r="1321" spans="1:8" x14ac:dyDescent="0.35">
      <c r="A1321" s="2">
        <v>45346</v>
      </c>
      <c r="B1321" s="7">
        <f t="shared" si="20"/>
        <v>2</v>
      </c>
      <c r="C1321" s="7" t="str">
        <f>_xlfn.XLOOKUP(B1321,catalogos!$A$2:$A$13,catalogos!$B$2:$B$13)</f>
        <v>February</v>
      </c>
      <c r="D1321" t="s">
        <v>6</v>
      </c>
      <c r="E1321" t="s">
        <v>15</v>
      </c>
      <c r="F1321">
        <v>88</v>
      </c>
      <c r="G1321">
        <v>258</v>
      </c>
      <c r="H1321">
        <v>22704</v>
      </c>
    </row>
    <row r="1322" spans="1:8" x14ac:dyDescent="0.35">
      <c r="A1322" s="2">
        <v>45347</v>
      </c>
      <c r="B1322" s="7">
        <f t="shared" si="20"/>
        <v>2</v>
      </c>
      <c r="C1322" s="7" t="str">
        <f>_xlfn.XLOOKUP(B1322,catalogos!$A$2:$A$13,catalogos!$B$2:$B$13)</f>
        <v>February</v>
      </c>
      <c r="D1322" t="s">
        <v>7</v>
      </c>
      <c r="E1322" t="s">
        <v>15</v>
      </c>
      <c r="F1322">
        <v>37</v>
      </c>
      <c r="G1322">
        <v>178</v>
      </c>
      <c r="H1322">
        <v>6586</v>
      </c>
    </row>
    <row r="1323" spans="1:8" x14ac:dyDescent="0.35">
      <c r="A1323" s="2">
        <v>45347</v>
      </c>
      <c r="B1323" s="7">
        <f t="shared" si="20"/>
        <v>2</v>
      </c>
      <c r="C1323" s="7" t="str">
        <f>_xlfn.XLOOKUP(B1323,catalogos!$A$2:$A$13,catalogos!$B$2:$B$13)</f>
        <v>February</v>
      </c>
      <c r="D1323" t="s">
        <v>10</v>
      </c>
      <c r="E1323" t="s">
        <v>11</v>
      </c>
      <c r="F1323">
        <v>28</v>
      </c>
      <c r="G1323">
        <v>484</v>
      </c>
      <c r="H1323">
        <v>13552</v>
      </c>
    </row>
    <row r="1324" spans="1:8" x14ac:dyDescent="0.35">
      <c r="A1324" s="2">
        <v>45347</v>
      </c>
      <c r="B1324" s="7">
        <f t="shared" si="20"/>
        <v>2</v>
      </c>
      <c r="C1324" s="7" t="str">
        <f>_xlfn.XLOOKUP(B1324,catalogos!$A$2:$A$13,catalogos!$B$2:$B$13)</f>
        <v>February</v>
      </c>
      <c r="D1324" t="s">
        <v>9</v>
      </c>
      <c r="E1324" t="s">
        <v>11</v>
      </c>
      <c r="F1324">
        <v>71</v>
      </c>
      <c r="G1324">
        <v>390</v>
      </c>
      <c r="H1324">
        <v>27690</v>
      </c>
    </row>
    <row r="1325" spans="1:8" x14ac:dyDescent="0.35">
      <c r="A1325" s="2">
        <v>45347</v>
      </c>
      <c r="B1325" s="7">
        <f t="shared" si="20"/>
        <v>2</v>
      </c>
      <c r="C1325" s="7" t="str">
        <f>_xlfn.XLOOKUP(B1325,catalogos!$A$2:$A$13,catalogos!$B$2:$B$13)</f>
        <v>February</v>
      </c>
      <c r="D1325" t="s">
        <v>8</v>
      </c>
      <c r="E1325" t="s">
        <v>11</v>
      </c>
      <c r="F1325">
        <v>25</v>
      </c>
      <c r="G1325">
        <v>455</v>
      </c>
      <c r="H1325">
        <v>11375</v>
      </c>
    </row>
    <row r="1326" spans="1:8" x14ac:dyDescent="0.35">
      <c r="A1326" s="2">
        <v>45347</v>
      </c>
      <c r="B1326" s="7">
        <f t="shared" si="20"/>
        <v>2</v>
      </c>
      <c r="C1326" s="7" t="str">
        <f>_xlfn.XLOOKUP(B1326,catalogos!$A$2:$A$13,catalogos!$B$2:$B$13)</f>
        <v>February</v>
      </c>
      <c r="D1326" t="s">
        <v>8</v>
      </c>
      <c r="E1326" t="s">
        <v>15</v>
      </c>
      <c r="F1326">
        <v>20</v>
      </c>
      <c r="G1326">
        <v>311</v>
      </c>
      <c r="H1326">
        <v>6220</v>
      </c>
    </row>
    <row r="1327" spans="1:8" x14ac:dyDescent="0.35">
      <c r="A1327" s="2">
        <v>45347</v>
      </c>
      <c r="B1327" s="7">
        <f t="shared" si="20"/>
        <v>2</v>
      </c>
      <c r="C1327" s="7" t="str">
        <f>_xlfn.XLOOKUP(B1327,catalogos!$A$2:$A$13,catalogos!$B$2:$B$13)</f>
        <v>February</v>
      </c>
      <c r="D1327" t="s">
        <v>6</v>
      </c>
      <c r="E1327" t="s">
        <v>15</v>
      </c>
      <c r="F1327">
        <v>81</v>
      </c>
      <c r="G1327">
        <v>404</v>
      </c>
      <c r="H1327">
        <v>32724</v>
      </c>
    </row>
    <row r="1328" spans="1:8" x14ac:dyDescent="0.35">
      <c r="A1328" s="2">
        <v>45347</v>
      </c>
      <c r="B1328" s="7">
        <f t="shared" si="20"/>
        <v>2</v>
      </c>
      <c r="C1328" s="7" t="str">
        <f>_xlfn.XLOOKUP(B1328,catalogos!$A$2:$A$13,catalogos!$B$2:$B$13)</f>
        <v>February</v>
      </c>
      <c r="D1328" t="s">
        <v>10</v>
      </c>
      <c r="E1328" t="s">
        <v>15</v>
      </c>
      <c r="F1328">
        <v>23</v>
      </c>
      <c r="G1328">
        <v>216</v>
      </c>
      <c r="H1328">
        <v>4968</v>
      </c>
    </row>
    <row r="1329" spans="1:8" x14ac:dyDescent="0.35">
      <c r="A1329" s="2">
        <v>45347</v>
      </c>
      <c r="B1329" s="7">
        <f t="shared" si="20"/>
        <v>2</v>
      </c>
      <c r="C1329" s="7" t="str">
        <f>_xlfn.XLOOKUP(B1329,catalogos!$A$2:$A$13,catalogos!$B$2:$B$13)</f>
        <v>February</v>
      </c>
      <c r="D1329" t="s">
        <v>6</v>
      </c>
      <c r="E1329" t="s">
        <v>15</v>
      </c>
      <c r="F1329">
        <v>74</v>
      </c>
      <c r="G1329">
        <v>474</v>
      </c>
      <c r="H1329">
        <v>35076</v>
      </c>
    </row>
    <row r="1330" spans="1:8" x14ac:dyDescent="0.35">
      <c r="A1330" s="2">
        <v>45347</v>
      </c>
      <c r="B1330" s="7">
        <f t="shared" si="20"/>
        <v>2</v>
      </c>
      <c r="C1330" s="7" t="str">
        <f>_xlfn.XLOOKUP(B1330,catalogos!$A$2:$A$13,catalogos!$B$2:$B$13)</f>
        <v>February</v>
      </c>
      <c r="D1330" t="s">
        <v>8</v>
      </c>
      <c r="E1330" t="s">
        <v>15</v>
      </c>
      <c r="F1330">
        <v>34</v>
      </c>
      <c r="G1330">
        <v>233</v>
      </c>
      <c r="H1330">
        <v>7922</v>
      </c>
    </row>
    <row r="1331" spans="1:8" x14ac:dyDescent="0.35">
      <c r="A1331" s="2">
        <v>45347</v>
      </c>
      <c r="B1331" s="7">
        <f t="shared" si="20"/>
        <v>2</v>
      </c>
      <c r="C1331" s="7" t="str">
        <f>_xlfn.XLOOKUP(B1331,catalogos!$A$2:$A$13,catalogos!$B$2:$B$13)</f>
        <v>February</v>
      </c>
      <c r="D1331" t="s">
        <v>6</v>
      </c>
      <c r="E1331" t="s">
        <v>12</v>
      </c>
      <c r="F1331">
        <v>86</v>
      </c>
      <c r="G1331">
        <v>111</v>
      </c>
      <c r="H1331">
        <v>9546</v>
      </c>
    </row>
    <row r="1332" spans="1:8" x14ac:dyDescent="0.35">
      <c r="A1332" s="2">
        <v>45347</v>
      </c>
      <c r="B1332" s="7">
        <f t="shared" si="20"/>
        <v>2</v>
      </c>
      <c r="C1332" s="7" t="str">
        <f>_xlfn.XLOOKUP(B1332,catalogos!$A$2:$A$13,catalogos!$B$2:$B$13)</f>
        <v>February</v>
      </c>
      <c r="D1332" t="s">
        <v>8</v>
      </c>
      <c r="E1332" t="s">
        <v>12</v>
      </c>
      <c r="F1332">
        <v>65</v>
      </c>
      <c r="G1332">
        <v>288</v>
      </c>
      <c r="H1332">
        <v>18720</v>
      </c>
    </row>
    <row r="1333" spans="1:8" x14ac:dyDescent="0.35">
      <c r="A1333" s="2">
        <v>45347</v>
      </c>
      <c r="B1333" s="7">
        <f t="shared" si="20"/>
        <v>2</v>
      </c>
      <c r="C1333" s="7" t="str">
        <f>_xlfn.XLOOKUP(B1333,catalogos!$A$2:$A$13,catalogos!$B$2:$B$13)</f>
        <v>February</v>
      </c>
      <c r="D1333" t="s">
        <v>9</v>
      </c>
      <c r="E1333" t="s">
        <v>11</v>
      </c>
      <c r="F1333">
        <v>44</v>
      </c>
      <c r="G1333">
        <v>499</v>
      </c>
      <c r="H1333">
        <v>21956</v>
      </c>
    </row>
    <row r="1334" spans="1:8" x14ac:dyDescent="0.35">
      <c r="A1334" s="2">
        <v>45347</v>
      </c>
      <c r="B1334" s="7">
        <f t="shared" si="20"/>
        <v>2</v>
      </c>
      <c r="C1334" s="7" t="str">
        <f>_xlfn.XLOOKUP(B1334,catalogos!$A$2:$A$13,catalogos!$B$2:$B$13)</f>
        <v>February</v>
      </c>
      <c r="D1334" t="s">
        <v>9</v>
      </c>
      <c r="E1334" t="s">
        <v>12</v>
      </c>
      <c r="F1334">
        <v>48</v>
      </c>
      <c r="G1334">
        <v>341</v>
      </c>
      <c r="H1334">
        <v>16368</v>
      </c>
    </row>
    <row r="1335" spans="1:8" x14ac:dyDescent="0.35">
      <c r="A1335" s="2">
        <v>45347</v>
      </c>
      <c r="B1335" s="7">
        <f t="shared" si="20"/>
        <v>2</v>
      </c>
      <c r="C1335" s="7" t="str">
        <f>_xlfn.XLOOKUP(B1335,catalogos!$A$2:$A$13,catalogos!$B$2:$B$13)</f>
        <v>February</v>
      </c>
      <c r="D1335" t="s">
        <v>7</v>
      </c>
      <c r="E1335" t="s">
        <v>12</v>
      </c>
      <c r="F1335">
        <v>91</v>
      </c>
      <c r="G1335">
        <v>494</v>
      </c>
      <c r="H1335">
        <v>44954</v>
      </c>
    </row>
    <row r="1336" spans="1:8" x14ac:dyDescent="0.35">
      <c r="A1336" s="2">
        <v>45347</v>
      </c>
      <c r="B1336" s="7">
        <f t="shared" si="20"/>
        <v>2</v>
      </c>
      <c r="C1336" s="7" t="str">
        <f>_xlfn.XLOOKUP(B1336,catalogos!$A$2:$A$13,catalogos!$B$2:$B$13)</f>
        <v>February</v>
      </c>
      <c r="D1336" t="s">
        <v>8</v>
      </c>
      <c r="E1336" t="s">
        <v>13</v>
      </c>
      <c r="F1336">
        <v>52</v>
      </c>
      <c r="G1336">
        <v>340</v>
      </c>
      <c r="H1336">
        <v>17680</v>
      </c>
    </row>
    <row r="1337" spans="1:8" x14ac:dyDescent="0.35">
      <c r="A1337" s="2">
        <v>45347</v>
      </c>
      <c r="B1337" s="7">
        <f t="shared" si="20"/>
        <v>2</v>
      </c>
      <c r="C1337" s="7" t="str">
        <f>_xlfn.XLOOKUP(B1337,catalogos!$A$2:$A$13,catalogos!$B$2:$B$13)</f>
        <v>February</v>
      </c>
      <c r="D1337" t="s">
        <v>8</v>
      </c>
      <c r="E1337" t="s">
        <v>14</v>
      </c>
      <c r="F1337">
        <v>35</v>
      </c>
      <c r="G1337">
        <v>248</v>
      </c>
      <c r="H1337">
        <v>8680</v>
      </c>
    </row>
    <row r="1338" spans="1:8" x14ac:dyDescent="0.35">
      <c r="A1338" s="2">
        <v>45347</v>
      </c>
      <c r="B1338" s="7">
        <f t="shared" si="20"/>
        <v>2</v>
      </c>
      <c r="C1338" s="7" t="str">
        <f>_xlfn.XLOOKUP(B1338,catalogos!$A$2:$A$13,catalogos!$B$2:$B$13)</f>
        <v>February</v>
      </c>
      <c r="D1338" t="s">
        <v>8</v>
      </c>
      <c r="E1338" t="s">
        <v>11</v>
      </c>
      <c r="F1338">
        <v>58</v>
      </c>
      <c r="G1338">
        <v>154</v>
      </c>
      <c r="H1338">
        <v>8932</v>
      </c>
    </row>
    <row r="1339" spans="1:8" x14ac:dyDescent="0.35">
      <c r="A1339" s="2">
        <v>45347</v>
      </c>
      <c r="B1339" s="7">
        <f t="shared" si="20"/>
        <v>2</v>
      </c>
      <c r="C1339" s="7" t="str">
        <f>_xlfn.XLOOKUP(B1339,catalogos!$A$2:$A$13,catalogos!$B$2:$B$13)</f>
        <v>February</v>
      </c>
      <c r="D1339" t="s">
        <v>7</v>
      </c>
      <c r="E1339" t="s">
        <v>13</v>
      </c>
      <c r="F1339">
        <v>20</v>
      </c>
      <c r="G1339">
        <v>157</v>
      </c>
      <c r="H1339">
        <v>3140</v>
      </c>
    </row>
    <row r="1340" spans="1:8" x14ac:dyDescent="0.35">
      <c r="A1340" s="2">
        <v>45347</v>
      </c>
      <c r="B1340" s="7">
        <f t="shared" si="20"/>
        <v>2</v>
      </c>
      <c r="C1340" s="7" t="str">
        <f>_xlfn.XLOOKUP(B1340,catalogos!$A$2:$A$13,catalogos!$B$2:$B$13)</f>
        <v>February</v>
      </c>
      <c r="D1340" t="s">
        <v>6</v>
      </c>
      <c r="E1340" t="s">
        <v>15</v>
      </c>
      <c r="F1340">
        <v>68</v>
      </c>
      <c r="G1340">
        <v>281</v>
      </c>
      <c r="H1340">
        <v>19108</v>
      </c>
    </row>
    <row r="1341" spans="1:8" x14ac:dyDescent="0.35">
      <c r="A1341" s="2">
        <v>45347</v>
      </c>
      <c r="B1341" s="7">
        <f t="shared" si="20"/>
        <v>2</v>
      </c>
      <c r="C1341" s="7" t="str">
        <f>_xlfn.XLOOKUP(B1341,catalogos!$A$2:$A$13,catalogos!$B$2:$B$13)</f>
        <v>February</v>
      </c>
      <c r="D1341" t="s">
        <v>9</v>
      </c>
      <c r="E1341" t="s">
        <v>14</v>
      </c>
      <c r="F1341">
        <v>39</v>
      </c>
      <c r="G1341">
        <v>196</v>
      </c>
      <c r="H1341">
        <v>7644</v>
      </c>
    </row>
    <row r="1342" spans="1:8" x14ac:dyDescent="0.35">
      <c r="A1342" s="2">
        <v>45347</v>
      </c>
      <c r="B1342" s="7">
        <f t="shared" si="20"/>
        <v>2</v>
      </c>
      <c r="C1342" s="7" t="str">
        <f>_xlfn.XLOOKUP(B1342,catalogos!$A$2:$A$13,catalogos!$B$2:$B$13)</f>
        <v>February</v>
      </c>
      <c r="D1342" t="s">
        <v>9</v>
      </c>
      <c r="E1342" t="s">
        <v>11</v>
      </c>
      <c r="F1342">
        <v>55</v>
      </c>
      <c r="G1342">
        <v>364</v>
      </c>
      <c r="H1342">
        <v>20020</v>
      </c>
    </row>
    <row r="1343" spans="1:8" x14ac:dyDescent="0.35">
      <c r="A1343" s="2">
        <v>45347</v>
      </c>
      <c r="B1343" s="7">
        <f t="shared" si="20"/>
        <v>2</v>
      </c>
      <c r="C1343" s="7" t="str">
        <f>_xlfn.XLOOKUP(B1343,catalogos!$A$2:$A$13,catalogos!$B$2:$B$13)</f>
        <v>February</v>
      </c>
      <c r="D1343" t="s">
        <v>6</v>
      </c>
      <c r="E1343" t="s">
        <v>13</v>
      </c>
      <c r="F1343">
        <v>56</v>
      </c>
      <c r="G1343">
        <v>194</v>
      </c>
      <c r="H1343">
        <v>10864</v>
      </c>
    </row>
    <row r="1344" spans="1:8" x14ac:dyDescent="0.35">
      <c r="A1344" s="2">
        <v>45347</v>
      </c>
      <c r="B1344" s="7">
        <f t="shared" si="20"/>
        <v>2</v>
      </c>
      <c r="C1344" s="7" t="str">
        <f>_xlfn.XLOOKUP(B1344,catalogos!$A$2:$A$13,catalogos!$B$2:$B$13)</f>
        <v>February</v>
      </c>
      <c r="D1344" t="s">
        <v>9</v>
      </c>
      <c r="E1344" t="s">
        <v>14</v>
      </c>
      <c r="F1344">
        <v>88</v>
      </c>
      <c r="G1344">
        <v>293</v>
      </c>
      <c r="H1344">
        <v>25784</v>
      </c>
    </row>
    <row r="1345" spans="1:8" x14ac:dyDescent="0.35">
      <c r="A1345" s="2">
        <v>45347</v>
      </c>
      <c r="B1345" s="7">
        <f t="shared" si="20"/>
        <v>2</v>
      </c>
      <c r="C1345" s="7" t="str">
        <f>_xlfn.XLOOKUP(B1345,catalogos!$A$2:$A$13,catalogos!$B$2:$B$13)</f>
        <v>February</v>
      </c>
      <c r="D1345" t="s">
        <v>9</v>
      </c>
      <c r="E1345" t="s">
        <v>13</v>
      </c>
      <c r="F1345">
        <v>70</v>
      </c>
      <c r="G1345">
        <v>200</v>
      </c>
      <c r="H1345">
        <v>14000</v>
      </c>
    </row>
    <row r="1346" spans="1:8" x14ac:dyDescent="0.35">
      <c r="A1346" s="2">
        <v>45348</v>
      </c>
      <c r="B1346" s="7">
        <f t="shared" si="20"/>
        <v>2</v>
      </c>
      <c r="C1346" s="7" t="str">
        <f>_xlfn.XLOOKUP(B1346,catalogos!$A$2:$A$13,catalogos!$B$2:$B$13)</f>
        <v>February</v>
      </c>
      <c r="D1346" t="s">
        <v>6</v>
      </c>
      <c r="E1346" t="s">
        <v>12</v>
      </c>
      <c r="F1346">
        <v>34</v>
      </c>
      <c r="G1346">
        <v>325</v>
      </c>
      <c r="H1346">
        <v>11050</v>
      </c>
    </row>
    <row r="1347" spans="1:8" x14ac:dyDescent="0.35">
      <c r="A1347" s="2">
        <v>45348</v>
      </c>
      <c r="B1347" s="7">
        <f t="shared" ref="B1347:B1410" si="21">MONTH(A1347)</f>
        <v>2</v>
      </c>
      <c r="C1347" s="7" t="str">
        <f>_xlfn.XLOOKUP(B1347,catalogos!$A$2:$A$13,catalogos!$B$2:$B$13)</f>
        <v>February</v>
      </c>
      <c r="D1347" t="s">
        <v>9</v>
      </c>
      <c r="E1347" t="s">
        <v>15</v>
      </c>
      <c r="F1347">
        <v>41</v>
      </c>
      <c r="G1347">
        <v>237</v>
      </c>
      <c r="H1347">
        <v>9717</v>
      </c>
    </row>
    <row r="1348" spans="1:8" x14ac:dyDescent="0.35">
      <c r="A1348" s="2">
        <v>45348</v>
      </c>
      <c r="B1348" s="7">
        <f t="shared" si="21"/>
        <v>2</v>
      </c>
      <c r="C1348" s="7" t="str">
        <f>_xlfn.XLOOKUP(B1348,catalogos!$A$2:$A$13,catalogos!$B$2:$B$13)</f>
        <v>February</v>
      </c>
      <c r="D1348" t="s">
        <v>6</v>
      </c>
      <c r="E1348" t="s">
        <v>12</v>
      </c>
      <c r="F1348">
        <v>31</v>
      </c>
      <c r="G1348">
        <v>68</v>
      </c>
      <c r="H1348">
        <v>2108</v>
      </c>
    </row>
    <row r="1349" spans="1:8" x14ac:dyDescent="0.35">
      <c r="A1349" s="2">
        <v>45348</v>
      </c>
      <c r="B1349" s="7">
        <f t="shared" si="21"/>
        <v>2</v>
      </c>
      <c r="C1349" s="7" t="str">
        <f>_xlfn.XLOOKUP(B1349,catalogos!$A$2:$A$13,catalogos!$B$2:$B$13)</f>
        <v>February</v>
      </c>
      <c r="D1349" t="s">
        <v>7</v>
      </c>
      <c r="E1349" t="s">
        <v>15</v>
      </c>
      <c r="F1349">
        <v>42</v>
      </c>
      <c r="G1349">
        <v>257</v>
      </c>
      <c r="H1349">
        <v>10794</v>
      </c>
    </row>
    <row r="1350" spans="1:8" x14ac:dyDescent="0.35">
      <c r="A1350" s="2">
        <v>45348</v>
      </c>
      <c r="B1350" s="7">
        <f t="shared" si="21"/>
        <v>2</v>
      </c>
      <c r="C1350" s="7" t="str">
        <f>_xlfn.XLOOKUP(B1350,catalogos!$A$2:$A$13,catalogos!$B$2:$B$13)</f>
        <v>February</v>
      </c>
      <c r="D1350" t="s">
        <v>7</v>
      </c>
      <c r="E1350" t="s">
        <v>12</v>
      </c>
      <c r="F1350">
        <v>79</v>
      </c>
      <c r="G1350">
        <v>371</v>
      </c>
      <c r="H1350">
        <v>29309</v>
      </c>
    </row>
    <row r="1351" spans="1:8" x14ac:dyDescent="0.35">
      <c r="A1351" s="2">
        <v>45348</v>
      </c>
      <c r="B1351" s="7">
        <f t="shared" si="21"/>
        <v>2</v>
      </c>
      <c r="C1351" s="7" t="str">
        <f>_xlfn.XLOOKUP(B1351,catalogos!$A$2:$A$13,catalogos!$B$2:$B$13)</f>
        <v>February</v>
      </c>
      <c r="D1351" t="s">
        <v>6</v>
      </c>
      <c r="E1351" t="s">
        <v>13</v>
      </c>
      <c r="F1351">
        <v>27</v>
      </c>
      <c r="G1351">
        <v>258</v>
      </c>
      <c r="H1351">
        <v>6966</v>
      </c>
    </row>
    <row r="1352" spans="1:8" x14ac:dyDescent="0.35">
      <c r="A1352" s="2">
        <v>45348</v>
      </c>
      <c r="B1352" s="7">
        <f t="shared" si="21"/>
        <v>2</v>
      </c>
      <c r="C1352" s="7" t="str">
        <f>_xlfn.XLOOKUP(B1352,catalogos!$A$2:$A$13,catalogos!$B$2:$B$13)</f>
        <v>February</v>
      </c>
      <c r="D1352" t="s">
        <v>9</v>
      </c>
      <c r="E1352" t="s">
        <v>15</v>
      </c>
      <c r="F1352">
        <v>92</v>
      </c>
      <c r="G1352">
        <v>213</v>
      </c>
      <c r="H1352">
        <v>19596</v>
      </c>
    </row>
    <row r="1353" spans="1:8" x14ac:dyDescent="0.35">
      <c r="A1353" s="2">
        <v>45348</v>
      </c>
      <c r="B1353" s="7">
        <f t="shared" si="21"/>
        <v>2</v>
      </c>
      <c r="C1353" s="7" t="str">
        <f>_xlfn.XLOOKUP(B1353,catalogos!$A$2:$A$13,catalogos!$B$2:$B$13)</f>
        <v>February</v>
      </c>
      <c r="D1353" t="s">
        <v>9</v>
      </c>
      <c r="E1353" t="s">
        <v>15</v>
      </c>
      <c r="F1353">
        <v>8</v>
      </c>
      <c r="G1353">
        <v>138</v>
      </c>
      <c r="H1353">
        <v>1104</v>
      </c>
    </row>
    <row r="1354" spans="1:8" x14ac:dyDescent="0.35">
      <c r="A1354" s="2">
        <v>45348</v>
      </c>
      <c r="B1354" s="7">
        <f t="shared" si="21"/>
        <v>2</v>
      </c>
      <c r="C1354" s="7" t="str">
        <f>_xlfn.XLOOKUP(B1354,catalogos!$A$2:$A$13,catalogos!$B$2:$B$13)</f>
        <v>February</v>
      </c>
      <c r="D1354" t="s">
        <v>9</v>
      </c>
      <c r="E1354" t="s">
        <v>15</v>
      </c>
      <c r="F1354">
        <v>81</v>
      </c>
      <c r="G1354">
        <v>375</v>
      </c>
      <c r="H1354">
        <v>30375</v>
      </c>
    </row>
    <row r="1355" spans="1:8" x14ac:dyDescent="0.35">
      <c r="A1355" s="2">
        <v>45348</v>
      </c>
      <c r="B1355" s="7">
        <f t="shared" si="21"/>
        <v>2</v>
      </c>
      <c r="C1355" s="7" t="str">
        <f>_xlfn.XLOOKUP(B1355,catalogos!$A$2:$A$13,catalogos!$B$2:$B$13)</f>
        <v>February</v>
      </c>
      <c r="D1355" t="s">
        <v>9</v>
      </c>
      <c r="E1355" t="s">
        <v>11</v>
      </c>
      <c r="F1355">
        <v>49</v>
      </c>
      <c r="G1355">
        <v>88</v>
      </c>
      <c r="H1355">
        <v>4312</v>
      </c>
    </row>
    <row r="1356" spans="1:8" x14ac:dyDescent="0.35">
      <c r="A1356" s="2">
        <v>45348</v>
      </c>
      <c r="B1356" s="7">
        <f t="shared" si="21"/>
        <v>2</v>
      </c>
      <c r="C1356" s="7" t="str">
        <f>_xlfn.XLOOKUP(B1356,catalogos!$A$2:$A$13,catalogos!$B$2:$B$13)</f>
        <v>February</v>
      </c>
      <c r="D1356" t="s">
        <v>8</v>
      </c>
      <c r="E1356" t="s">
        <v>13</v>
      </c>
      <c r="F1356">
        <v>77</v>
      </c>
      <c r="G1356">
        <v>223</v>
      </c>
      <c r="H1356">
        <v>17171</v>
      </c>
    </row>
    <row r="1357" spans="1:8" x14ac:dyDescent="0.35">
      <c r="A1357" s="2">
        <v>45348</v>
      </c>
      <c r="B1357" s="7">
        <f t="shared" si="21"/>
        <v>2</v>
      </c>
      <c r="C1357" s="7" t="str">
        <f>_xlfn.XLOOKUP(B1357,catalogos!$A$2:$A$13,catalogos!$B$2:$B$13)</f>
        <v>February</v>
      </c>
      <c r="D1357" t="s">
        <v>8</v>
      </c>
      <c r="E1357" t="s">
        <v>11</v>
      </c>
      <c r="F1357">
        <v>3</v>
      </c>
      <c r="G1357">
        <v>360</v>
      </c>
      <c r="H1357">
        <v>1080</v>
      </c>
    </row>
    <row r="1358" spans="1:8" x14ac:dyDescent="0.35">
      <c r="A1358" s="2">
        <v>45348</v>
      </c>
      <c r="B1358" s="7">
        <f t="shared" si="21"/>
        <v>2</v>
      </c>
      <c r="C1358" s="7" t="str">
        <f>_xlfn.XLOOKUP(B1358,catalogos!$A$2:$A$13,catalogos!$B$2:$B$13)</f>
        <v>February</v>
      </c>
      <c r="D1358" t="s">
        <v>9</v>
      </c>
      <c r="E1358" t="s">
        <v>12</v>
      </c>
      <c r="F1358">
        <v>43</v>
      </c>
      <c r="G1358">
        <v>212</v>
      </c>
      <c r="H1358">
        <v>9116</v>
      </c>
    </row>
    <row r="1359" spans="1:8" x14ac:dyDescent="0.35">
      <c r="A1359" s="2">
        <v>45348</v>
      </c>
      <c r="B1359" s="7">
        <f t="shared" si="21"/>
        <v>2</v>
      </c>
      <c r="C1359" s="7" t="str">
        <f>_xlfn.XLOOKUP(B1359,catalogos!$A$2:$A$13,catalogos!$B$2:$B$13)</f>
        <v>February</v>
      </c>
      <c r="D1359" t="s">
        <v>10</v>
      </c>
      <c r="E1359" t="s">
        <v>14</v>
      </c>
      <c r="F1359">
        <v>92</v>
      </c>
      <c r="G1359">
        <v>445</v>
      </c>
      <c r="H1359">
        <v>40940</v>
      </c>
    </row>
    <row r="1360" spans="1:8" x14ac:dyDescent="0.35">
      <c r="A1360" s="2">
        <v>45348</v>
      </c>
      <c r="B1360" s="7">
        <f t="shared" si="21"/>
        <v>2</v>
      </c>
      <c r="C1360" s="7" t="str">
        <f>_xlfn.XLOOKUP(B1360,catalogos!$A$2:$A$13,catalogos!$B$2:$B$13)</f>
        <v>February</v>
      </c>
      <c r="D1360" t="s">
        <v>8</v>
      </c>
      <c r="E1360" t="s">
        <v>14</v>
      </c>
      <c r="F1360">
        <v>44</v>
      </c>
      <c r="G1360">
        <v>420</v>
      </c>
      <c r="H1360">
        <v>18480</v>
      </c>
    </row>
    <row r="1361" spans="1:8" x14ac:dyDescent="0.35">
      <c r="A1361" s="2">
        <v>45348</v>
      </c>
      <c r="B1361" s="7">
        <f t="shared" si="21"/>
        <v>2</v>
      </c>
      <c r="C1361" s="7" t="str">
        <f>_xlfn.XLOOKUP(B1361,catalogos!$A$2:$A$13,catalogos!$B$2:$B$13)</f>
        <v>February</v>
      </c>
      <c r="D1361" t="s">
        <v>8</v>
      </c>
      <c r="E1361" t="s">
        <v>15</v>
      </c>
      <c r="F1361">
        <v>63</v>
      </c>
      <c r="G1361">
        <v>482</v>
      </c>
      <c r="H1361">
        <v>30366</v>
      </c>
    </row>
    <row r="1362" spans="1:8" x14ac:dyDescent="0.35">
      <c r="A1362" s="2">
        <v>45348</v>
      </c>
      <c r="B1362" s="7">
        <f t="shared" si="21"/>
        <v>2</v>
      </c>
      <c r="C1362" s="7" t="str">
        <f>_xlfn.XLOOKUP(B1362,catalogos!$A$2:$A$13,catalogos!$B$2:$B$13)</f>
        <v>February</v>
      </c>
      <c r="D1362" t="s">
        <v>6</v>
      </c>
      <c r="E1362" t="s">
        <v>12</v>
      </c>
      <c r="F1362">
        <v>10</v>
      </c>
      <c r="G1362">
        <v>83</v>
      </c>
      <c r="H1362">
        <v>830</v>
      </c>
    </row>
    <row r="1363" spans="1:8" x14ac:dyDescent="0.35">
      <c r="A1363" s="2">
        <v>45348</v>
      </c>
      <c r="B1363" s="7">
        <f t="shared" si="21"/>
        <v>2</v>
      </c>
      <c r="C1363" s="7" t="str">
        <f>_xlfn.XLOOKUP(B1363,catalogos!$A$2:$A$13,catalogos!$B$2:$B$13)</f>
        <v>February</v>
      </c>
      <c r="D1363" t="s">
        <v>8</v>
      </c>
      <c r="E1363" t="s">
        <v>11</v>
      </c>
      <c r="F1363">
        <v>74</v>
      </c>
      <c r="G1363">
        <v>306</v>
      </c>
      <c r="H1363">
        <v>22644</v>
      </c>
    </row>
    <row r="1364" spans="1:8" x14ac:dyDescent="0.35">
      <c r="A1364" s="2">
        <v>45348</v>
      </c>
      <c r="B1364" s="7">
        <f t="shared" si="21"/>
        <v>2</v>
      </c>
      <c r="C1364" s="7" t="str">
        <f>_xlfn.XLOOKUP(B1364,catalogos!$A$2:$A$13,catalogos!$B$2:$B$13)</f>
        <v>February</v>
      </c>
      <c r="D1364" t="s">
        <v>10</v>
      </c>
      <c r="E1364" t="s">
        <v>14</v>
      </c>
      <c r="F1364">
        <v>98</v>
      </c>
      <c r="G1364">
        <v>469</v>
      </c>
      <c r="H1364">
        <v>45962</v>
      </c>
    </row>
    <row r="1365" spans="1:8" x14ac:dyDescent="0.35">
      <c r="A1365" s="2">
        <v>45348</v>
      </c>
      <c r="B1365" s="7">
        <f t="shared" si="21"/>
        <v>2</v>
      </c>
      <c r="C1365" s="7" t="str">
        <f>_xlfn.XLOOKUP(B1365,catalogos!$A$2:$A$13,catalogos!$B$2:$B$13)</f>
        <v>February</v>
      </c>
      <c r="D1365" t="s">
        <v>9</v>
      </c>
      <c r="E1365" t="s">
        <v>14</v>
      </c>
      <c r="F1365">
        <v>81</v>
      </c>
      <c r="G1365">
        <v>6</v>
      </c>
      <c r="H1365">
        <v>486</v>
      </c>
    </row>
    <row r="1366" spans="1:8" x14ac:dyDescent="0.35">
      <c r="A1366" s="2">
        <v>45348</v>
      </c>
      <c r="B1366" s="7">
        <f t="shared" si="21"/>
        <v>2</v>
      </c>
      <c r="C1366" s="7" t="str">
        <f>_xlfn.XLOOKUP(B1366,catalogos!$A$2:$A$13,catalogos!$B$2:$B$13)</f>
        <v>February</v>
      </c>
      <c r="D1366" t="s">
        <v>6</v>
      </c>
      <c r="E1366" t="s">
        <v>15</v>
      </c>
      <c r="F1366">
        <v>2</v>
      </c>
      <c r="G1366">
        <v>320</v>
      </c>
      <c r="H1366">
        <v>640</v>
      </c>
    </row>
    <row r="1367" spans="1:8" x14ac:dyDescent="0.35">
      <c r="A1367" s="2">
        <v>45348</v>
      </c>
      <c r="B1367" s="7">
        <f t="shared" si="21"/>
        <v>2</v>
      </c>
      <c r="C1367" s="7" t="str">
        <f>_xlfn.XLOOKUP(B1367,catalogos!$A$2:$A$13,catalogos!$B$2:$B$13)</f>
        <v>February</v>
      </c>
      <c r="D1367" t="s">
        <v>6</v>
      </c>
      <c r="E1367" t="s">
        <v>15</v>
      </c>
      <c r="F1367">
        <v>51</v>
      </c>
      <c r="G1367">
        <v>86</v>
      </c>
      <c r="H1367">
        <v>4386</v>
      </c>
    </row>
    <row r="1368" spans="1:8" x14ac:dyDescent="0.35">
      <c r="A1368" s="2">
        <v>45348</v>
      </c>
      <c r="B1368" s="7">
        <f t="shared" si="21"/>
        <v>2</v>
      </c>
      <c r="C1368" s="7" t="str">
        <f>_xlfn.XLOOKUP(B1368,catalogos!$A$2:$A$13,catalogos!$B$2:$B$13)</f>
        <v>February</v>
      </c>
      <c r="D1368" t="s">
        <v>8</v>
      </c>
      <c r="E1368" t="s">
        <v>11</v>
      </c>
      <c r="F1368">
        <v>57</v>
      </c>
      <c r="G1368">
        <v>250</v>
      </c>
      <c r="H1368">
        <v>14250</v>
      </c>
    </row>
    <row r="1369" spans="1:8" x14ac:dyDescent="0.35">
      <c r="A1369" s="2">
        <v>45348</v>
      </c>
      <c r="B1369" s="7">
        <f t="shared" si="21"/>
        <v>2</v>
      </c>
      <c r="C1369" s="7" t="str">
        <f>_xlfn.XLOOKUP(B1369,catalogos!$A$2:$A$13,catalogos!$B$2:$B$13)</f>
        <v>February</v>
      </c>
      <c r="D1369" t="s">
        <v>8</v>
      </c>
      <c r="E1369" t="s">
        <v>12</v>
      </c>
      <c r="F1369">
        <v>51</v>
      </c>
      <c r="G1369">
        <v>66</v>
      </c>
      <c r="H1369">
        <v>3366</v>
      </c>
    </row>
    <row r="1370" spans="1:8" x14ac:dyDescent="0.35">
      <c r="A1370" s="2">
        <v>45349</v>
      </c>
      <c r="B1370" s="7">
        <f t="shared" si="21"/>
        <v>2</v>
      </c>
      <c r="C1370" s="7" t="str">
        <f>_xlfn.XLOOKUP(B1370,catalogos!$A$2:$A$13,catalogos!$B$2:$B$13)</f>
        <v>February</v>
      </c>
      <c r="D1370" t="s">
        <v>8</v>
      </c>
      <c r="E1370" t="s">
        <v>13</v>
      </c>
      <c r="F1370">
        <v>76</v>
      </c>
      <c r="G1370">
        <v>262</v>
      </c>
      <c r="H1370">
        <v>19912</v>
      </c>
    </row>
    <row r="1371" spans="1:8" x14ac:dyDescent="0.35">
      <c r="A1371" s="2">
        <v>45349</v>
      </c>
      <c r="B1371" s="7">
        <f t="shared" si="21"/>
        <v>2</v>
      </c>
      <c r="C1371" s="7" t="str">
        <f>_xlfn.XLOOKUP(B1371,catalogos!$A$2:$A$13,catalogos!$B$2:$B$13)</f>
        <v>February</v>
      </c>
      <c r="D1371" t="s">
        <v>10</v>
      </c>
      <c r="E1371" t="s">
        <v>11</v>
      </c>
      <c r="F1371">
        <v>7</v>
      </c>
      <c r="G1371">
        <v>163</v>
      </c>
      <c r="H1371">
        <v>1141</v>
      </c>
    </row>
    <row r="1372" spans="1:8" x14ac:dyDescent="0.35">
      <c r="A1372" s="2">
        <v>45349</v>
      </c>
      <c r="B1372" s="7">
        <f t="shared" si="21"/>
        <v>2</v>
      </c>
      <c r="C1372" s="7" t="str">
        <f>_xlfn.XLOOKUP(B1372,catalogos!$A$2:$A$13,catalogos!$B$2:$B$13)</f>
        <v>February</v>
      </c>
      <c r="D1372" t="s">
        <v>7</v>
      </c>
      <c r="E1372" t="s">
        <v>14</v>
      </c>
      <c r="F1372">
        <v>99</v>
      </c>
      <c r="G1372">
        <v>390</v>
      </c>
      <c r="H1372">
        <v>38610</v>
      </c>
    </row>
    <row r="1373" spans="1:8" x14ac:dyDescent="0.35">
      <c r="A1373" s="2">
        <v>45349</v>
      </c>
      <c r="B1373" s="7">
        <f t="shared" si="21"/>
        <v>2</v>
      </c>
      <c r="C1373" s="7" t="str">
        <f>_xlfn.XLOOKUP(B1373,catalogos!$A$2:$A$13,catalogos!$B$2:$B$13)</f>
        <v>February</v>
      </c>
      <c r="D1373" t="s">
        <v>8</v>
      </c>
      <c r="E1373" t="s">
        <v>13</v>
      </c>
      <c r="F1373">
        <v>80</v>
      </c>
      <c r="G1373">
        <v>166</v>
      </c>
      <c r="H1373">
        <v>13280</v>
      </c>
    </row>
    <row r="1374" spans="1:8" x14ac:dyDescent="0.35">
      <c r="A1374" s="2">
        <v>45349</v>
      </c>
      <c r="B1374" s="7">
        <f t="shared" si="21"/>
        <v>2</v>
      </c>
      <c r="C1374" s="7" t="str">
        <f>_xlfn.XLOOKUP(B1374,catalogos!$A$2:$A$13,catalogos!$B$2:$B$13)</f>
        <v>February</v>
      </c>
      <c r="D1374" t="s">
        <v>6</v>
      </c>
      <c r="E1374" t="s">
        <v>14</v>
      </c>
      <c r="F1374">
        <v>7</v>
      </c>
      <c r="G1374">
        <v>118</v>
      </c>
      <c r="H1374">
        <v>826</v>
      </c>
    </row>
    <row r="1375" spans="1:8" x14ac:dyDescent="0.35">
      <c r="A1375" s="2">
        <v>45349</v>
      </c>
      <c r="B1375" s="7">
        <f t="shared" si="21"/>
        <v>2</v>
      </c>
      <c r="C1375" s="7" t="str">
        <f>_xlfn.XLOOKUP(B1375,catalogos!$A$2:$A$13,catalogos!$B$2:$B$13)</f>
        <v>February</v>
      </c>
      <c r="D1375" t="s">
        <v>7</v>
      </c>
      <c r="E1375" t="s">
        <v>11</v>
      </c>
      <c r="F1375">
        <v>10</v>
      </c>
      <c r="G1375">
        <v>386</v>
      </c>
      <c r="H1375">
        <v>3860</v>
      </c>
    </row>
    <row r="1376" spans="1:8" x14ac:dyDescent="0.35">
      <c r="A1376" s="2">
        <v>45349</v>
      </c>
      <c r="B1376" s="7">
        <f t="shared" si="21"/>
        <v>2</v>
      </c>
      <c r="C1376" s="7" t="str">
        <f>_xlfn.XLOOKUP(B1376,catalogos!$A$2:$A$13,catalogos!$B$2:$B$13)</f>
        <v>February</v>
      </c>
      <c r="D1376" t="s">
        <v>8</v>
      </c>
      <c r="E1376" t="s">
        <v>12</v>
      </c>
      <c r="F1376">
        <v>55</v>
      </c>
      <c r="G1376">
        <v>404</v>
      </c>
      <c r="H1376">
        <v>22220</v>
      </c>
    </row>
    <row r="1377" spans="1:8" x14ac:dyDescent="0.35">
      <c r="A1377" s="2">
        <v>45349</v>
      </c>
      <c r="B1377" s="7">
        <f t="shared" si="21"/>
        <v>2</v>
      </c>
      <c r="C1377" s="7" t="str">
        <f>_xlfn.XLOOKUP(B1377,catalogos!$A$2:$A$13,catalogos!$B$2:$B$13)</f>
        <v>February</v>
      </c>
      <c r="D1377" t="s">
        <v>9</v>
      </c>
      <c r="E1377" t="s">
        <v>14</v>
      </c>
      <c r="F1377">
        <v>19</v>
      </c>
      <c r="G1377">
        <v>63</v>
      </c>
      <c r="H1377">
        <v>1197</v>
      </c>
    </row>
    <row r="1378" spans="1:8" x14ac:dyDescent="0.35">
      <c r="A1378" s="2">
        <v>45349</v>
      </c>
      <c r="B1378" s="7">
        <f t="shared" si="21"/>
        <v>2</v>
      </c>
      <c r="C1378" s="7" t="str">
        <f>_xlfn.XLOOKUP(B1378,catalogos!$A$2:$A$13,catalogos!$B$2:$B$13)</f>
        <v>February</v>
      </c>
      <c r="D1378" t="s">
        <v>10</v>
      </c>
      <c r="E1378" t="s">
        <v>11</v>
      </c>
      <c r="F1378">
        <v>34</v>
      </c>
      <c r="G1378">
        <v>170</v>
      </c>
      <c r="H1378">
        <v>5780</v>
      </c>
    </row>
    <row r="1379" spans="1:8" x14ac:dyDescent="0.35">
      <c r="A1379" s="2">
        <v>45349</v>
      </c>
      <c r="B1379" s="7">
        <f t="shared" si="21"/>
        <v>2</v>
      </c>
      <c r="C1379" s="7" t="str">
        <f>_xlfn.XLOOKUP(B1379,catalogos!$A$2:$A$13,catalogos!$B$2:$B$13)</f>
        <v>February</v>
      </c>
      <c r="D1379" t="s">
        <v>8</v>
      </c>
      <c r="E1379" t="s">
        <v>11</v>
      </c>
      <c r="F1379">
        <v>58</v>
      </c>
      <c r="G1379">
        <v>306</v>
      </c>
      <c r="H1379">
        <v>17748</v>
      </c>
    </row>
    <row r="1380" spans="1:8" x14ac:dyDescent="0.35">
      <c r="A1380" s="2">
        <v>45349</v>
      </c>
      <c r="B1380" s="7">
        <f t="shared" si="21"/>
        <v>2</v>
      </c>
      <c r="C1380" s="7" t="str">
        <f>_xlfn.XLOOKUP(B1380,catalogos!$A$2:$A$13,catalogos!$B$2:$B$13)</f>
        <v>February</v>
      </c>
      <c r="D1380" t="s">
        <v>7</v>
      </c>
      <c r="E1380" t="s">
        <v>15</v>
      </c>
      <c r="F1380">
        <v>56</v>
      </c>
      <c r="G1380">
        <v>181</v>
      </c>
      <c r="H1380">
        <v>10136</v>
      </c>
    </row>
    <row r="1381" spans="1:8" x14ac:dyDescent="0.35">
      <c r="A1381" s="2">
        <v>45349</v>
      </c>
      <c r="B1381" s="7">
        <f t="shared" si="21"/>
        <v>2</v>
      </c>
      <c r="C1381" s="7" t="str">
        <f>_xlfn.XLOOKUP(B1381,catalogos!$A$2:$A$13,catalogos!$B$2:$B$13)</f>
        <v>February</v>
      </c>
      <c r="D1381" t="s">
        <v>10</v>
      </c>
      <c r="E1381" t="s">
        <v>12</v>
      </c>
      <c r="F1381">
        <v>49</v>
      </c>
      <c r="G1381">
        <v>75</v>
      </c>
      <c r="H1381">
        <v>3675</v>
      </c>
    </row>
    <row r="1382" spans="1:8" x14ac:dyDescent="0.35">
      <c r="A1382" s="2">
        <v>45349</v>
      </c>
      <c r="B1382" s="7">
        <f t="shared" si="21"/>
        <v>2</v>
      </c>
      <c r="C1382" s="7" t="str">
        <f>_xlfn.XLOOKUP(B1382,catalogos!$A$2:$A$13,catalogos!$B$2:$B$13)</f>
        <v>February</v>
      </c>
      <c r="D1382" t="s">
        <v>8</v>
      </c>
      <c r="E1382" t="s">
        <v>14</v>
      </c>
      <c r="F1382">
        <v>97</v>
      </c>
      <c r="G1382">
        <v>79</v>
      </c>
      <c r="H1382">
        <v>7663</v>
      </c>
    </row>
    <row r="1383" spans="1:8" x14ac:dyDescent="0.35">
      <c r="A1383" s="2">
        <v>45349</v>
      </c>
      <c r="B1383" s="7">
        <f t="shared" si="21"/>
        <v>2</v>
      </c>
      <c r="C1383" s="7" t="str">
        <f>_xlfn.XLOOKUP(B1383,catalogos!$A$2:$A$13,catalogos!$B$2:$B$13)</f>
        <v>February</v>
      </c>
      <c r="D1383" t="s">
        <v>8</v>
      </c>
      <c r="E1383" t="s">
        <v>15</v>
      </c>
      <c r="F1383">
        <v>47</v>
      </c>
      <c r="G1383">
        <v>428</v>
      </c>
      <c r="H1383">
        <v>20116</v>
      </c>
    </row>
    <row r="1384" spans="1:8" x14ac:dyDescent="0.35">
      <c r="A1384" s="2">
        <v>45349</v>
      </c>
      <c r="B1384" s="7">
        <f t="shared" si="21"/>
        <v>2</v>
      </c>
      <c r="C1384" s="7" t="str">
        <f>_xlfn.XLOOKUP(B1384,catalogos!$A$2:$A$13,catalogos!$B$2:$B$13)</f>
        <v>February</v>
      </c>
      <c r="D1384" t="s">
        <v>7</v>
      </c>
      <c r="E1384" t="s">
        <v>14</v>
      </c>
      <c r="F1384">
        <v>16</v>
      </c>
      <c r="G1384">
        <v>365</v>
      </c>
      <c r="H1384">
        <v>5840</v>
      </c>
    </row>
    <row r="1385" spans="1:8" x14ac:dyDescent="0.35">
      <c r="A1385" s="2">
        <v>45349</v>
      </c>
      <c r="B1385" s="7">
        <f t="shared" si="21"/>
        <v>2</v>
      </c>
      <c r="C1385" s="7" t="str">
        <f>_xlfn.XLOOKUP(B1385,catalogos!$A$2:$A$13,catalogos!$B$2:$B$13)</f>
        <v>February</v>
      </c>
      <c r="D1385" t="s">
        <v>6</v>
      </c>
      <c r="E1385" t="s">
        <v>11</v>
      </c>
      <c r="F1385">
        <v>74</v>
      </c>
      <c r="G1385">
        <v>154</v>
      </c>
      <c r="H1385">
        <v>11396</v>
      </c>
    </row>
    <row r="1386" spans="1:8" x14ac:dyDescent="0.35">
      <c r="A1386" s="2">
        <v>45349</v>
      </c>
      <c r="B1386" s="7">
        <f t="shared" si="21"/>
        <v>2</v>
      </c>
      <c r="C1386" s="7" t="str">
        <f>_xlfn.XLOOKUP(B1386,catalogos!$A$2:$A$13,catalogos!$B$2:$B$13)</f>
        <v>February</v>
      </c>
      <c r="D1386" t="s">
        <v>7</v>
      </c>
      <c r="E1386" t="s">
        <v>13</v>
      </c>
      <c r="F1386">
        <v>56</v>
      </c>
      <c r="G1386">
        <v>36</v>
      </c>
      <c r="H1386">
        <v>2016</v>
      </c>
    </row>
    <row r="1387" spans="1:8" x14ac:dyDescent="0.35">
      <c r="A1387" s="2">
        <v>45349</v>
      </c>
      <c r="B1387" s="7">
        <f t="shared" si="21"/>
        <v>2</v>
      </c>
      <c r="C1387" s="7" t="str">
        <f>_xlfn.XLOOKUP(B1387,catalogos!$A$2:$A$13,catalogos!$B$2:$B$13)</f>
        <v>February</v>
      </c>
      <c r="D1387" t="s">
        <v>6</v>
      </c>
      <c r="E1387" t="s">
        <v>11</v>
      </c>
      <c r="F1387">
        <v>58</v>
      </c>
      <c r="G1387">
        <v>64</v>
      </c>
      <c r="H1387">
        <v>3712</v>
      </c>
    </row>
    <row r="1388" spans="1:8" x14ac:dyDescent="0.35">
      <c r="A1388" s="2">
        <v>45349</v>
      </c>
      <c r="B1388" s="7">
        <f t="shared" si="21"/>
        <v>2</v>
      </c>
      <c r="C1388" s="7" t="str">
        <f>_xlfn.XLOOKUP(B1388,catalogos!$A$2:$A$13,catalogos!$B$2:$B$13)</f>
        <v>February</v>
      </c>
      <c r="D1388" t="s">
        <v>8</v>
      </c>
      <c r="E1388" t="s">
        <v>12</v>
      </c>
      <c r="F1388">
        <v>96</v>
      </c>
      <c r="G1388">
        <v>360</v>
      </c>
      <c r="H1388">
        <v>34560</v>
      </c>
    </row>
    <row r="1389" spans="1:8" x14ac:dyDescent="0.35">
      <c r="A1389" s="2">
        <v>45349</v>
      </c>
      <c r="B1389" s="7">
        <f t="shared" si="21"/>
        <v>2</v>
      </c>
      <c r="C1389" s="7" t="str">
        <f>_xlfn.XLOOKUP(B1389,catalogos!$A$2:$A$13,catalogos!$B$2:$B$13)</f>
        <v>February</v>
      </c>
      <c r="D1389" t="s">
        <v>6</v>
      </c>
      <c r="E1389" t="s">
        <v>14</v>
      </c>
      <c r="F1389">
        <v>33</v>
      </c>
      <c r="G1389">
        <v>461</v>
      </c>
      <c r="H1389">
        <v>15213</v>
      </c>
    </row>
    <row r="1390" spans="1:8" x14ac:dyDescent="0.35">
      <c r="A1390" s="2">
        <v>45349</v>
      </c>
      <c r="B1390" s="7">
        <f t="shared" si="21"/>
        <v>2</v>
      </c>
      <c r="C1390" s="7" t="str">
        <f>_xlfn.XLOOKUP(B1390,catalogos!$A$2:$A$13,catalogos!$B$2:$B$13)</f>
        <v>February</v>
      </c>
      <c r="D1390" t="s">
        <v>7</v>
      </c>
      <c r="E1390" t="s">
        <v>15</v>
      </c>
      <c r="F1390">
        <v>15</v>
      </c>
      <c r="G1390">
        <v>305</v>
      </c>
      <c r="H1390">
        <v>4575</v>
      </c>
    </row>
    <row r="1391" spans="1:8" x14ac:dyDescent="0.35">
      <c r="A1391" s="2">
        <v>45349</v>
      </c>
      <c r="B1391" s="7">
        <f t="shared" si="21"/>
        <v>2</v>
      </c>
      <c r="C1391" s="7" t="str">
        <f>_xlfn.XLOOKUP(B1391,catalogos!$A$2:$A$13,catalogos!$B$2:$B$13)</f>
        <v>February</v>
      </c>
      <c r="D1391" t="s">
        <v>9</v>
      </c>
      <c r="E1391" t="s">
        <v>15</v>
      </c>
      <c r="F1391">
        <v>66</v>
      </c>
      <c r="G1391">
        <v>414</v>
      </c>
      <c r="H1391">
        <v>27324</v>
      </c>
    </row>
    <row r="1392" spans="1:8" x14ac:dyDescent="0.35">
      <c r="A1392" s="2">
        <v>45349</v>
      </c>
      <c r="B1392" s="7">
        <f t="shared" si="21"/>
        <v>2</v>
      </c>
      <c r="C1392" s="7" t="str">
        <f>_xlfn.XLOOKUP(B1392,catalogos!$A$2:$A$13,catalogos!$B$2:$B$13)</f>
        <v>February</v>
      </c>
      <c r="D1392" t="s">
        <v>8</v>
      </c>
      <c r="E1392" t="s">
        <v>11</v>
      </c>
      <c r="F1392">
        <v>72</v>
      </c>
      <c r="G1392">
        <v>489</v>
      </c>
      <c r="H1392">
        <v>35208</v>
      </c>
    </row>
    <row r="1393" spans="1:8" x14ac:dyDescent="0.35">
      <c r="A1393" s="2">
        <v>45349</v>
      </c>
      <c r="B1393" s="7">
        <f t="shared" si="21"/>
        <v>2</v>
      </c>
      <c r="C1393" s="7" t="str">
        <f>_xlfn.XLOOKUP(B1393,catalogos!$A$2:$A$13,catalogos!$B$2:$B$13)</f>
        <v>February</v>
      </c>
      <c r="D1393" t="s">
        <v>6</v>
      </c>
      <c r="E1393" t="s">
        <v>11</v>
      </c>
      <c r="F1393">
        <v>47</v>
      </c>
      <c r="G1393">
        <v>120</v>
      </c>
      <c r="H1393">
        <v>5640</v>
      </c>
    </row>
    <row r="1394" spans="1:8" x14ac:dyDescent="0.35">
      <c r="A1394" s="2">
        <v>45350</v>
      </c>
      <c r="B1394" s="7">
        <f t="shared" si="21"/>
        <v>2</v>
      </c>
      <c r="C1394" s="7" t="str">
        <f>_xlfn.XLOOKUP(B1394,catalogos!$A$2:$A$13,catalogos!$B$2:$B$13)</f>
        <v>February</v>
      </c>
      <c r="D1394" t="s">
        <v>6</v>
      </c>
      <c r="E1394" t="s">
        <v>14</v>
      </c>
      <c r="F1394">
        <v>10</v>
      </c>
      <c r="G1394">
        <v>199</v>
      </c>
      <c r="H1394">
        <v>1990</v>
      </c>
    </row>
    <row r="1395" spans="1:8" x14ac:dyDescent="0.35">
      <c r="A1395" s="2">
        <v>45350</v>
      </c>
      <c r="B1395" s="7">
        <f t="shared" si="21"/>
        <v>2</v>
      </c>
      <c r="C1395" s="7" t="str">
        <f>_xlfn.XLOOKUP(B1395,catalogos!$A$2:$A$13,catalogos!$B$2:$B$13)</f>
        <v>February</v>
      </c>
      <c r="D1395" t="s">
        <v>10</v>
      </c>
      <c r="E1395" t="s">
        <v>11</v>
      </c>
      <c r="F1395">
        <v>18</v>
      </c>
      <c r="G1395">
        <v>438</v>
      </c>
      <c r="H1395">
        <v>7884</v>
      </c>
    </row>
    <row r="1396" spans="1:8" x14ac:dyDescent="0.35">
      <c r="A1396" s="2">
        <v>45350</v>
      </c>
      <c r="B1396" s="7">
        <f t="shared" si="21"/>
        <v>2</v>
      </c>
      <c r="C1396" s="7" t="str">
        <f>_xlfn.XLOOKUP(B1396,catalogos!$A$2:$A$13,catalogos!$B$2:$B$13)</f>
        <v>February</v>
      </c>
      <c r="D1396" t="s">
        <v>7</v>
      </c>
      <c r="E1396" t="s">
        <v>12</v>
      </c>
      <c r="F1396">
        <v>57</v>
      </c>
      <c r="G1396">
        <v>407</v>
      </c>
      <c r="H1396">
        <v>23199</v>
      </c>
    </row>
    <row r="1397" spans="1:8" x14ac:dyDescent="0.35">
      <c r="A1397" s="2">
        <v>45350</v>
      </c>
      <c r="B1397" s="7">
        <f t="shared" si="21"/>
        <v>2</v>
      </c>
      <c r="C1397" s="7" t="str">
        <f>_xlfn.XLOOKUP(B1397,catalogos!$A$2:$A$13,catalogos!$B$2:$B$13)</f>
        <v>February</v>
      </c>
      <c r="D1397" t="s">
        <v>8</v>
      </c>
      <c r="E1397" t="s">
        <v>13</v>
      </c>
      <c r="F1397">
        <v>52</v>
      </c>
      <c r="G1397">
        <v>318</v>
      </c>
      <c r="H1397">
        <v>16536</v>
      </c>
    </row>
    <row r="1398" spans="1:8" x14ac:dyDescent="0.35">
      <c r="A1398" s="2">
        <v>45350</v>
      </c>
      <c r="B1398" s="7">
        <f t="shared" si="21"/>
        <v>2</v>
      </c>
      <c r="C1398" s="7" t="str">
        <f>_xlfn.XLOOKUP(B1398,catalogos!$A$2:$A$13,catalogos!$B$2:$B$13)</f>
        <v>February</v>
      </c>
      <c r="D1398" t="s">
        <v>7</v>
      </c>
      <c r="E1398" t="s">
        <v>13</v>
      </c>
      <c r="F1398">
        <v>78</v>
      </c>
      <c r="G1398">
        <v>26</v>
      </c>
      <c r="H1398">
        <v>2028</v>
      </c>
    </row>
    <row r="1399" spans="1:8" x14ac:dyDescent="0.35">
      <c r="A1399" s="2">
        <v>45350</v>
      </c>
      <c r="B1399" s="7">
        <f t="shared" si="21"/>
        <v>2</v>
      </c>
      <c r="C1399" s="7" t="str">
        <f>_xlfn.XLOOKUP(B1399,catalogos!$A$2:$A$13,catalogos!$B$2:$B$13)</f>
        <v>February</v>
      </c>
      <c r="D1399" t="s">
        <v>9</v>
      </c>
      <c r="E1399" t="s">
        <v>12</v>
      </c>
      <c r="F1399">
        <v>10</v>
      </c>
      <c r="G1399">
        <v>71</v>
      </c>
      <c r="H1399">
        <v>710</v>
      </c>
    </row>
    <row r="1400" spans="1:8" x14ac:dyDescent="0.35">
      <c r="A1400" s="2">
        <v>45350</v>
      </c>
      <c r="B1400" s="7">
        <f t="shared" si="21"/>
        <v>2</v>
      </c>
      <c r="C1400" s="7" t="str">
        <f>_xlfn.XLOOKUP(B1400,catalogos!$A$2:$A$13,catalogos!$B$2:$B$13)</f>
        <v>February</v>
      </c>
      <c r="D1400" t="s">
        <v>10</v>
      </c>
      <c r="E1400" t="s">
        <v>15</v>
      </c>
      <c r="F1400">
        <v>27</v>
      </c>
      <c r="G1400">
        <v>343</v>
      </c>
      <c r="H1400">
        <v>9261</v>
      </c>
    </row>
    <row r="1401" spans="1:8" x14ac:dyDescent="0.35">
      <c r="A1401" s="2">
        <v>45350</v>
      </c>
      <c r="B1401" s="7">
        <f t="shared" si="21"/>
        <v>2</v>
      </c>
      <c r="C1401" s="7" t="str">
        <f>_xlfn.XLOOKUP(B1401,catalogos!$A$2:$A$13,catalogos!$B$2:$B$13)</f>
        <v>February</v>
      </c>
      <c r="D1401" t="s">
        <v>7</v>
      </c>
      <c r="E1401" t="s">
        <v>15</v>
      </c>
      <c r="F1401">
        <v>64</v>
      </c>
      <c r="G1401">
        <v>197</v>
      </c>
      <c r="H1401">
        <v>12608</v>
      </c>
    </row>
    <row r="1402" spans="1:8" x14ac:dyDescent="0.35">
      <c r="A1402" s="2">
        <v>45350</v>
      </c>
      <c r="B1402" s="7">
        <f t="shared" si="21"/>
        <v>2</v>
      </c>
      <c r="C1402" s="7" t="str">
        <f>_xlfn.XLOOKUP(B1402,catalogos!$A$2:$A$13,catalogos!$B$2:$B$13)</f>
        <v>February</v>
      </c>
      <c r="D1402" t="s">
        <v>7</v>
      </c>
      <c r="E1402" t="s">
        <v>11</v>
      </c>
      <c r="F1402">
        <v>11</v>
      </c>
      <c r="G1402">
        <v>480</v>
      </c>
      <c r="H1402">
        <v>5280</v>
      </c>
    </row>
    <row r="1403" spans="1:8" x14ac:dyDescent="0.35">
      <c r="A1403" s="2">
        <v>45350</v>
      </c>
      <c r="B1403" s="7">
        <f t="shared" si="21"/>
        <v>2</v>
      </c>
      <c r="C1403" s="7" t="str">
        <f>_xlfn.XLOOKUP(B1403,catalogos!$A$2:$A$13,catalogos!$B$2:$B$13)</f>
        <v>February</v>
      </c>
      <c r="D1403" t="s">
        <v>7</v>
      </c>
      <c r="E1403" t="s">
        <v>14</v>
      </c>
      <c r="F1403">
        <v>27</v>
      </c>
      <c r="G1403">
        <v>480</v>
      </c>
      <c r="H1403">
        <v>12960</v>
      </c>
    </row>
    <row r="1404" spans="1:8" x14ac:dyDescent="0.35">
      <c r="A1404" s="2">
        <v>45350</v>
      </c>
      <c r="B1404" s="7">
        <f t="shared" si="21"/>
        <v>2</v>
      </c>
      <c r="C1404" s="7" t="str">
        <f>_xlfn.XLOOKUP(B1404,catalogos!$A$2:$A$13,catalogos!$B$2:$B$13)</f>
        <v>February</v>
      </c>
      <c r="D1404" t="s">
        <v>7</v>
      </c>
      <c r="E1404" t="s">
        <v>15</v>
      </c>
      <c r="F1404">
        <v>92</v>
      </c>
      <c r="G1404">
        <v>459</v>
      </c>
      <c r="H1404">
        <v>42228</v>
      </c>
    </row>
    <row r="1405" spans="1:8" x14ac:dyDescent="0.35">
      <c r="A1405" s="2">
        <v>45350</v>
      </c>
      <c r="B1405" s="7">
        <f t="shared" si="21"/>
        <v>2</v>
      </c>
      <c r="C1405" s="7" t="str">
        <f>_xlfn.XLOOKUP(B1405,catalogos!$A$2:$A$13,catalogos!$B$2:$B$13)</f>
        <v>February</v>
      </c>
      <c r="D1405" t="s">
        <v>6</v>
      </c>
      <c r="E1405" t="s">
        <v>13</v>
      </c>
      <c r="F1405">
        <v>26</v>
      </c>
      <c r="G1405">
        <v>263</v>
      </c>
      <c r="H1405">
        <v>6838</v>
      </c>
    </row>
    <row r="1406" spans="1:8" x14ac:dyDescent="0.35">
      <c r="A1406" s="2">
        <v>45350</v>
      </c>
      <c r="B1406" s="7">
        <f t="shared" si="21"/>
        <v>2</v>
      </c>
      <c r="C1406" s="7" t="str">
        <f>_xlfn.XLOOKUP(B1406,catalogos!$A$2:$A$13,catalogos!$B$2:$B$13)</f>
        <v>February</v>
      </c>
      <c r="D1406" t="s">
        <v>6</v>
      </c>
      <c r="E1406" t="s">
        <v>15</v>
      </c>
      <c r="F1406">
        <v>87</v>
      </c>
      <c r="G1406">
        <v>178</v>
      </c>
      <c r="H1406">
        <v>15486</v>
      </c>
    </row>
    <row r="1407" spans="1:8" x14ac:dyDescent="0.35">
      <c r="A1407" s="2">
        <v>45350</v>
      </c>
      <c r="B1407" s="7">
        <f t="shared" si="21"/>
        <v>2</v>
      </c>
      <c r="C1407" s="7" t="str">
        <f>_xlfn.XLOOKUP(B1407,catalogos!$A$2:$A$13,catalogos!$B$2:$B$13)</f>
        <v>February</v>
      </c>
      <c r="D1407" t="s">
        <v>6</v>
      </c>
      <c r="E1407" t="s">
        <v>13</v>
      </c>
      <c r="F1407">
        <v>81</v>
      </c>
      <c r="G1407">
        <v>459</v>
      </c>
      <c r="H1407">
        <v>37179</v>
      </c>
    </row>
    <row r="1408" spans="1:8" x14ac:dyDescent="0.35">
      <c r="A1408" s="2">
        <v>45350</v>
      </c>
      <c r="B1408" s="7">
        <f t="shared" si="21"/>
        <v>2</v>
      </c>
      <c r="C1408" s="7" t="str">
        <f>_xlfn.XLOOKUP(B1408,catalogos!$A$2:$A$13,catalogos!$B$2:$B$13)</f>
        <v>February</v>
      </c>
      <c r="D1408" t="s">
        <v>9</v>
      </c>
      <c r="E1408" t="s">
        <v>15</v>
      </c>
      <c r="F1408">
        <v>48</v>
      </c>
      <c r="G1408">
        <v>252</v>
      </c>
      <c r="H1408">
        <v>12096</v>
      </c>
    </row>
    <row r="1409" spans="1:8" x14ac:dyDescent="0.35">
      <c r="A1409" s="2">
        <v>45350</v>
      </c>
      <c r="B1409" s="7">
        <f t="shared" si="21"/>
        <v>2</v>
      </c>
      <c r="C1409" s="7" t="str">
        <f>_xlfn.XLOOKUP(B1409,catalogos!$A$2:$A$13,catalogos!$B$2:$B$13)</f>
        <v>February</v>
      </c>
      <c r="D1409" t="s">
        <v>10</v>
      </c>
      <c r="E1409" t="s">
        <v>14</v>
      </c>
      <c r="F1409">
        <v>62</v>
      </c>
      <c r="G1409">
        <v>381</v>
      </c>
      <c r="H1409">
        <v>23622</v>
      </c>
    </row>
    <row r="1410" spans="1:8" x14ac:dyDescent="0.35">
      <c r="A1410" s="2">
        <v>45350</v>
      </c>
      <c r="B1410" s="7">
        <f t="shared" si="21"/>
        <v>2</v>
      </c>
      <c r="C1410" s="7" t="str">
        <f>_xlfn.XLOOKUP(B1410,catalogos!$A$2:$A$13,catalogos!$B$2:$B$13)</f>
        <v>February</v>
      </c>
      <c r="D1410" t="s">
        <v>6</v>
      </c>
      <c r="E1410" t="s">
        <v>14</v>
      </c>
      <c r="F1410">
        <v>75</v>
      </c>
      <c r="G1410">
        <v>20</v>
      </c>
      <c r="H1410">
        <v>1500</v>
      </c>
    </row>
    <row r="1411" spans="1:8" x14ac:dyDescent="0.35">
      <c r="A1411" s="2">
        <v>45350</v>
      </c>
      <c r="B1411" s="7">
        <f t="shared" ref="B1411:B1474" si="22">MONTH(A1411)</f>
        <v>2</v>
      </c>
      <c r="C1411" s="7" t="str">
        <f>_xlfn.XLOOKUP(B1411,catalogos!$A$2:$A$13,catalogos!$B$2:$B$13)</f>
        <v>February</v>
      </c>
      <c r="D1411" t="s">
        <v>8</v>
      </c>
      <c r="E1411" t="s">
        <v>11</v>
      </c>
      <c r="F1411">
        <v>5</v>
      </c>
      <c r="G1411">
        <v>293</v>
      </c>
      <c r="H1411">
        <v>1465</v>
      </c>
    </row>
    <row r="1412" spans="1:8" x14ac:dyDescent="0.35">
      <c r="A1412" s="2">
        <v>45350</v>
      </c>
      <c r="B1412" s="7">
        <f t="shared" si="22"/>
        <v>2</v>
      </c>
      <c r="C1412" s="7" t="str">
        <f>_xlfn.XLOOKUP(B1412,catalogos!$A$2:$A$13,catalogos!$B$2:$B$13)</f>
        <v>February</v>
      </c>
      <c r="D1412" t="s">
        <v>9</v>
      </c>
      <c r="E1412" t="s">
        <v>14</v>
      </c>
      <c r="F1412">
        <v>2</v>
      </c>
      <c r="G1412">
        <v>447</v>
      </c>
      <c r="H1412">
        <v>894</v>
      </c>
    </row>
    <row r="1413" spans="1:8" x14ac:dyDescent="0.35">
      <c r="A1413" s="2">
        <v>45350</v>
      </c>
      <c r="B1413" s="7">
        <f t="shared" si="22"/>
        <v>2</v>
      </c>
      <c r="C1413" s="7" t="str">
        <f>_xlfn.XLOOKUP(B1413,catalogos!$A$2:$A$13,catalogos!$B$2:$B$13)</f>
        <v>February</v>
      </c>
      <c r="D1413" t="s">
        <v>7</v>
      </c>
      <c r="E1413" t="s">
        <v>15</v>
      </c>
      <c r="F1413">
        <v>9</v>
      </c>
      <c r="G1413">
        <v>58</v>
      </c>
      <c r="H1413">
        <v>522</v>
      </c>
    </row>
    <row r="1414" spans="1:8" x14ac:dyDescent="0.35">
      <c r="A1414" s="2">
        <v>45350</v>
      </c>
      <c r="B1414" s="7">
        <f t="shared" si="22"/>
        <v>2</v>
      </c>
      <c r="C1414" s="7" t="str">
        <f>_xlfn.XLOOKUP(B1414,catalogos!$A$2:$A$13,catalogos!$B$2:$B$13)</f>
        <v>February</v>
      </c>
      <c r="D1414" t="s">
        <v>10</v>
      </c>
      <c r="E1414" t="s">
        <v>15</v>
      </c>
      <c r="F1414">
        <v>97</v>
      </c>
      <c r="G1414">
        <v>394</v>
      </c>
      <c r="H1414">
        <v>38218</v>
      </c>
    </row>
    <row r="1415" spans="1:8" x14ac:dyDescent="0.35">
      <c r="A1415" s="2">
        <v>45350</v>
      </c>
      <c r="B1415" s="7">
        <f t="shared" si="22"/>
        <v>2</v>
      </c>
      <c r="C1415" s="7" t="str">
        <f>_xlfn.XLOOKUP(B1415,catalogos!$A$2:$A$13,catalogos!$B$2:$B$13)</f>
        <v>February</v>
      </c>
      <c r="D1415" t="s">
        <v>10</v>
      </c>
      <c r="E1415" t="s">
        <v>15</v>
      </c>
      <c r="F1415">
        <v>21</v>
      </c>
      <c r="G1415">
        <v>314</v>
      </c>
      <c r="H1415">
        <v>6594</v>
      </c>
    </row>
    <row r="1416" spans="1:8" x14ac:dyDescent="0.35">
      <c r="A1416" s="2">
        <v>45350</v>
      </c>
      <c r="B1416" s="7">
        <f t="shared" si="22"/>
        <v>2</v>
      </c>
      <c r="C1416" s="7" t="str">
        <f>_xlfn.XLOOKUP(B1416,catalogos!$A$2:$A$13,catalogos!$B$2:$B$13)</f>
        <v>February</v>
      </c>
      <c r="D1416" t="s">
        <v>10</v>
      </c>
      <c r="E1416" t="s">
        <v>14</v>
      </c>
      <c r="F1416">
        <v>71</v>
      </c>
      <c r="G1416">
        <v>336</v>
      </c>
      <c r="H1416">
        <v>23856</v>
      </c>
    </row>
    <row r="1417" spans="1:8" x14ac:dyDescent="0.35">
      <c r="A1417" s="2">
        <v>45350</v>
      </c>
      <c r="B1417" s="7">
        <f t="shared" si="22"/>
        <v>2</v>
      </c>
      <c r="C1417" s="7" t="str">
        <f>_xlfn.XLOOKUP(B1417,catalogos!$A$2:$A$13,catalogos!$B$2:$B$13)</f>
        <v>February</v>
      </c>
      <c r="D1417" t="s">
        <v>6</v>
      </c>
      <c r="E1417" t="s">
        <v>14</v>
      </c>
      <c r="F1417">
        <v>6</v>
      </c>
      <c r="G1417">
        <v>206</v>
      </c>
      <c r="H1417">
        <v>1236</v>
      </c>
    </row>
    <row r="1418" spans="1:8" x14ac:dyDescent="0.35">
      <c r="A1418" s="2">
        <v>45351</v>
      </c>
      <c r="B1418" s="7">
        <f t="shared" si="22"/>
        <v>2</v>
      </c>
      <c r="C1418" s="7" t="str">
        <f>_xlfn.XLOOKUP(B1418,catalogos!$A$2:$A$13,catalogos!$B$2:$B$13)</f>
        <v>February</v>
      </c>
      <c r="D1418" t="s">
        <v>7</v>
      </c>
      <c r="E1418" t="s">
        <v>11</v>
      </c>
      <c r="F1418">
        <v>26</v>
      </c>
      <c r="G1418">
        <v>471</v>
      </c>
      <c r="H1418">
        <v>12246</v>
      </c>
    </row>
    <row r="1419" spans="1:8" x14ac:dyDescent="0.35">
      <c r="A1419" s="2">
        <v>45351</v>
      </c>
      <c r="B1419" s="7">
        <f t="shared" si="22"/>
        <v>2</v>
      </c>
      <c r="C1419" s="7" t="str">
        <f>_xlfn.XLOOKUP(B1419,catalogos!$A$2:$A$13,catalogos!$B$2:$B$13)</f>
        <v>February</v>
      </c>
      <c r="D1419" t="s">
        <v>7</v>
      </c>
      <c r="E1419" t="s">
        <v>13</v>
      </c>
      <c r="F1419">
        <v>36</v>
      </c>
      <c r="G1419">
        <v>208</v>
      </c>
      <c r="H1419">
        <v>7488</v>
      </c>
    </row>
    <row r="1420" spans="1:8" x14ac:dyDescent="0.35">
      <c r="A1420" s="2">
        <v>45351</v>
      </c>
      <c r="B1420" s="7">
        <f t="shared" si="22"/>
        <v>2</v>
      </c>
      <c r="C1420" s="7" t="str">
        <f>_xlfn.XLOOKUP(B1420,catalogos!$A$2:$A$13,catalogos!$B$2:$B$13)</f>
        <v>February</v>
      </c>
      <c r="D1420" t="s">
        <v>9</v>
      </c>
      <c r="E1420" t="s">
        <v>11</v>
      </c>
      <c r="F1420">
        <v>88</v>
      </c>
      <c r="G1420">
        <v>240</v>
      </c>
      <c r="H1420">
        <v>21120</v>
      </c>
    </row>
    <row r="1421" spans="1:8" x14ac:dyDescent="0.35">
      <c r="A1421" s="2">
        <v>45351</v>
      </c>
      <c r="B1421" s="7">
        <f t="shared" si="22"/>
        <v>2</v>
      </c>
      <c r="C1421" s="7" t="str">
        <f>_xlfn.XLOOKUP(B1421,catalogos!$A$2:$A$13,catalogos!$B$2:$B$13)</f>
        <v>February</v>
      </c>
      <c r="D1421" t="s">
        <v>6</v>
      </c>
      <c r="E1421" t="s">
        <v>11</v>
      </c>
      <c r="F1421">
        <v>97</v>
      </c>
      <c r="G1421">
        <v>44</v>
      </c>
      <c r="H1421">
        <v>4268</v>
      </c>
    </row>
    <row r="1422" spans="1:8" x14ac:dyDescent="0.35">
      <c r="A1422" s="2">
        <v>45351</v>
      </c>
      <c r="B1422" s="7">
        <f t="shared" si="22"/>
        <v>2</v>
      </c>
      <c r="C1422" s="7" t="str">
        <f>_xlfn.XLOOKUP(B1422,catalogos!$A$2:$A$13,catalogos!$B$2:$B$13)</f>
        <v>February</v>
      </c>
      <c r="D1422" t="s">
        <v>6</v>
      </c>
      <c r="E1422" t="s">
        <v>12</v>
      </c>
      <c r="F1422">
        <v>12</v>
      </c>
      <c r="G1422">
        <v>278</v>
      </c>
      <c r="H1422">
        <v>3336</v>
      </c>
    </row>
    <row r="1423" spans="1:8" x14ac:dyDescent="0.35">
      <c r="A1423" s="2">
        <v>45351</v>
      </c>
      <c r="B1423" s="7">
        <f t="shared" si="22"/>
        <v>2</v>
      </c>
      <c r="C1423" s="7" t="str">
        <f>_xlfn.XLOOKUP(B1423,catalogos!$A$2:$A$13,catalogos!$B$2:$B$13)</f>
        <v>February</v>
      </c>
      <c r="D1423" t="s">
        <v>6</v>
      </c>
      <c r="E1423" t="s">
        <v>12</v>
      </c>
      <c r="F1423">
        <v>28</v>
      </c>
      <c r="G1423">
        <v>426</v>
      </c>
      <c r="H1423">
        <v>11928</v>
      </c>
    </row>
    <row r="1424" spans="1:8" x14ac:dyDescent="0.35">
      <c r="A1424" s="2">
        <v>45351</v>
      </c>
      <c r="B1424" s="7">
        <f t="shared" si="22"/>
        <v>2</v>
      </c>
      <c r="C1424" s="7" t="str">
        <f>_xlfn.XLOOKUP(B1424,catalogos!$A$2:$A$13,catalogos!$B$2:$B$13)</f>
        <v>February</v>
      </c>
      <c r="D1424" t="s">
        <v>6</v>
      </c>
      <c r="E1424" t="s">
        <v>11</v>
      </c>
      <c r="F1424">
        <v>36</v>
      </c>
      <c r="G1424">
        <v>156</v>
      </c>
      <c r="H1424">
        <v>5616</v>
      </c>
    </row>
    <row r="1425" spans="1:8" x14ac:dyDescent="0.35">
      <c r="A1425" s="2">
        <v>45351</v>
      </c>
      <c r="B1425" s="7">
        <f t="shared" si="22"/>
        <v>2</v>
      </c>
      <c r="C1425" s="7" t="str">
        <f>_xlfn.XLOOKUP(B1425,catalogos!$A$2:$A$13,catalogos!$B$2:$B$13)</f>
        <v>February</v>
      </c>
      <c r="D1425" t="s">
        <v>10</v>
      </c>
      <c r="E1425" t="s">
        <v>11</v>
      </c>
      <c r="F1425">
        <v>20</v>
      </c>
      <c r="G1425">
        <v>14</v>
      </c>
      <c r="H1425">
        <v>280</v>
      </c>
    </row>
    <row r="1426" spans="1:8" x14ac:dyDescent="0.35">
      <c r="A1426" s="2">
        <v>45351</v>
      </c>
      <c r="B1426" s="7">
        <f t="shared" si="22"/>
        <v>2</v>
      </c>
      <c r="C1426" s="7" t="str">
        <f>_xlfn.XLOOKUP(B1426,catalogos!$A$2:$A$13,catalogos!$B$2:$B$13)</f>
        <v>February</v>
      </c>
      <c r="D1426" t="s">
        <v>7</v>
      </c>
      <c r="E1426" t="s">
        <v>11</v>
      </c>
      <c r="F1426">
        <v>18</v>
      </c>
      <c r="G1426">
        <v>369</v>
      </c>
      <c r="H1426">
        <v>6642</v>
      </c>
    </row>
    <row r="1427" spans="1:8" x14ac:dyDescent="0.35">
      <c r="A1427" s="2">
        <v>45351</v>
      </c>
      <c r="B1427" s="7">
        <f t="shared" si="22"/>
        <v>2</v>
      </c>
      <c r="C1427" s="7" t="str">
        <f>_xlfn.XLOOKUP(B1427,catalogos!$A$2:$A$13,catalogos!$B$2:$B$13)</f>
        <v>February</v>
      </c>
      <c r="D1427" t="s">
        <v>7</v>
      </c>
      <c r="E1427" t="s">
        <v>14</v>
      </c>
      <c r="F1427">
        <v>80</v>
      </c>
      <c r="G1427">
        <v>159</v>
      </c>
      <c r="H1427">
        <v>12720</v>
      </c>
    </row>
    <row r="1428" spans="1:8" x14ac:dyDescent="0.35">
      <c r="A1428" s="2">
        <v>45351</v>
      </c>
      <c r="B1428" s="7">
        <f t="shared" si="22"/>
        <v>2</v>
      </c>
      <c r="C1428" s="7" t="str">
        <f>_xlfn.XLOOKUP(B1428,catalogos!$A$2:$A$13,catalogos!$B$2:$B$13)</f>
        <v>February</v>
      </c>
      <c r="D1428" t="s">
        <v>10</v>
      </c>
      <c r="E1428" t="s">
        <v>11</v>
      </c>
      <c r="F1428">
        <v>51</v>
      </c>
      <c r="G1428">
        <v>147</v>
      </c>
      <c r="H1428">
        <v>7497</v>
      </c>
    </row>
    <row r="1429" spans="1:8" x14ac:dyDescent="0.35">
      <c r="A1429" s="2">
        <v>45351</v>
      </c>
      <c r="B1429" s="7">
        <f t="shared" si="22"/>
        <v>2</v>
      </c>
      <c r="C1429" s="7" t="str">
        <f>_xlfn.XLOOKUP(B1429,catalogos!$A$2:$A$13,catalogos!$B$2:$B$13)</f>
        <v>February</v>
      </c>
      <c r="D1429" t="s">
        <v>7</v>
      </c>
      <c r="E1429" t="s">
        <v>14</v>
      </c>
      <c r="F1429">
        <v>30</v>
      </c>
      <c r="G1429">
        <v>69</v>
      </c>
      <c r="H1429">
        <v>2070</v>
      </c>
    </row>
    <row r="1430" spans="1:8" x14ac:dyDescent="0.35">
      <c r="A1430" s="2">
        <v>45351</v>
      </c>
      <c r="B1430" s="7">
        <f t="shared" si="22"/>
        <v>2</v>
      </c>
      <c r="C1430" s="7" t="str">
        <f>_xlfn.XLOOKUP(B1430,catalogos!$A$2:$A$13,catalogos!$B$2:$B$13)</f>
        <v>February</v>
      </c>
      <c r="D1430" t="s">
        <v>10</v>
      </c>
      <c r="E1430" t="s">
        <v>14</v>
      </c>
      <c r="F1430">
        <v>26</v>
      </c>
      <c r="G1430">
        <v>267</v>
      </c>
      <c r="H1430">
        <v>6942</v>
      </c>
    </row>
    <row r="1431" spans="1:8" x14ac:dyDescent="0.35">
      <c r="A1431" s="2">
        <v>45351</v>
      </c>
      <c r="B1431" s="7">
        <f t="shared" si="22"/>
        <v>2</v>
      </c>
      <c r="C1431" s="7" t="str">
        <f>_xlfn.XLOOKUP(B1431,catalogos!$A$2:$A$13,catalogos!$B$2:$B$13)</f>
        <v>February</v>
      </c>
      <c r="D1431" t="s">
        <v>7</v>
      </c>
      <c r="E1431" t="s">
        <v>11</v>
      </c>
      <c r="F1431">
        <v>86</v>
      </c>
      <c r="G1431">
        <v>274</v>
      </c>
      <c r="H1431">
        <v>23564</v>
      </c>
    </row>
    <row r="1432" spans="1:8" x14ac:dyDescent="0.35">
      <c r="A1432" s="2">
        <v>45351</v>
      </c>
      <c r="B1432" s="7">
        <f t="shared" si="22"/>
        <v>2</v>
      </c>
      <c r="C1432" s="7" t="str">
        <f>_xlfn.XLOOKUP(B1432,catalogos!$A$2:$A$13,catalogos!$B$2:$B$13)</f>
        <v>February</v>
      </c>
      <c r="D1432" t="s">
        <v>8</v>
      </c>
      <c r="E1432" t="s">
        <v>14</v>
      </c>
      <c r="F1432">
        <v>13</v>
      </c>
      <c r="G1432">
        <v>360</v>
      </c>
      <c r="H1432">
        <v>4680</v>
      </c>
    </row>
    <row r="1433" spans="1:8" x14ac:dyDescent="0.35">
      <c r="A1433" s="2">
        <v>45351</v>
      </c>
      <c r="B1433" s="7">
        <f t="shared" si="22"/>
        <v>2</v>
      </c>
      <c r="C1433" s="7" t="str">
        <f>_xlfn.XLOOKUP(B1433,catalogos!$A$2:$A$13,catalogos!$B$2:$B$13)</f>
        <v>February</v>
      </c>
      <c r="D1433" t="s">
        <v>10</v>
      </c>
      <c r="E1433" t="s">
        <v>11</v>
      </c>
      <c r="F1433">
        <v>95</v>
      </c>
      <c r="G1433">
        <v>398</v>
      </c>
      <c r="H1433">
        <v>37810</v>
      </c>
    </row>
    <row r="1434" spans="1:8" x14ac:dyDescent="0.35">
      <c r="A1434" s="2">
        <v>45351</v>
      </c>
      <c r="B1434" s="7">
        <f t="shared" si="22"/>
        <v>2</v>
      </c>
      <c r="C1434" s="7" t="str">
        <f>_xlfn.XLOOKUP(B1434,catalogos!$A$2:$A$13,catalogos!$B$2:$B$13)</f>
        <v>February</v>
      </c>
      <c r="D1434" t="s">
        <v>8</v>
      </c>
      <c r="E1434" t="s">
        <v>15</v>
      </c>
      <c r="F1434">
        <v>83</v>
      </c>
      <c r="G1434">
        <v>368</v>
      </c>
      <c r="H1434">
        <v>30544</v>
      </c>
    </row>
    <row r="1435" spans="1:8" x14ac:dyDescent="0.35">
      <c r="A1435" s="2">
        <v>45351</v>
      </c>
      <c r="B1435" s="7">
        <f t="shared" si="22"/>
        <v>2</v>
      </c>
      <c r="C1435" s="7" t="str">
        <f>_xlfn.XLOOKUP(B1435,catalogos!$A$2:$A$13,catalogos!$B$2:$B$13)</f>
        <v>February</v>
      </c>
      <c r="D1435" t="s">
        <v>7</v>
      </c>
      <c r="E1435" t="s">
        <v>12</v>
      </c>
      <c r="F1435">
        <v>97</v>
      </c>
      <c r="G1435">
        <v>498</v>
      </c>
      <c r="H1435">
        <v>48306</v>
      </c>
    </row>
    <row r="1436" spans="1:8" x14ac:dyDescent="0.35">
      <c r="A1436" s="2">
        <v>45351</v>
      </c>
      <c r="B1436" s="7">
        <f t="shared" si="22"/>
        <v>2</v>
      </c>
      <c r="C1436" s="7" t="str">
        <f>_xlfn.XLOOKUP(B1436,catalogos!$A$2:$A$13,catalogos!$B$2:$B$13)</f>
        <v>February</v>
      </c>
      <c r="D1436" t="s">
        <v>9</v>
      </c>
      <c r="E1436" t="s">
        <v>14</v>
      </c>
      <c r="F1436">
        <v>69</v>
      </c>
      <c r="G1436">
        <v>396</v>
      </c>
      <c r="H1436">
        <v>27324</v>
      </c>
    </row>
    <row r="1437" spans="1:8" x14ac:dyDescent="0.35">
      <c r="A1437" s="2">
        <v>45351</v>
      </c>
      <c r="B1437" s="7">
        <f t="shared" si="22"/>
        <v>2</v>
      </c>
      <c r="C1437" s="7" t="str">
        <f>_xlfn.XLOOKUP(B1437,catalogos!$A$2:$A$13,catalogos!$B$2:$B$13)</f>
        <v>February</v>
      </c>
      <c r="D1437" t="s">
        <v>9</v>
      </c>
      <c r="E1437" t="s">
        <v>12</v>
      </c>
      <c r="F1437">
        <v>69</v>
      </c>
      <c r="G1437">
        <v>226</v>
      </c>
      <c r="H1437">
        <v>15594</v>
      </c>
    </row>
    <row r="1438" spans="1:8" x14ac:dyDescent="0.35">
      <c r="A1438" s="2">
        <v>45351</v>
      </c>
      <c r="B1438" s="7">
        <f t="shared" si="22"/>
        <v>2</v>
      </c>
      <c r="C1438" s="7" t="str">
        <f>_xlfn.XLOOKUP(B1438,catalogos!$A$2:$A$13,catalogos!$B$2:$B$13)</f>
        <v>February</v>
      </c>
      <c r="D1438" t="s">
        <v>6</v>
      </c>
      <c r="E1438" t="s">
        <v>12</v>
      </c>
      <c r="F1438">
        <v>17</v>
      </c>
      <c r="G1438">
        <v>437</v>
      </c>
      <c r="H1438">
        <v>7429</v>
      </c>
    </row>
    <row r="1439" spans="1:8" x14ac:dyDescent="0.35">
      <c r="A1439" s="2">
        <v>45351</v>
      </c>
      <c r="B1439" s="7">
        <f t="shared" si="22"/>
        <v>2</v>
      </c>
      <c r="C1439" s="7" t="str">
        <f>_xlfn.XLOOKUP(B1439,catalogos!$A$2:$A$13,catalogos!$B$2:$B$13)</f>
        <v>February</v>
      </c>
      <c r="D1439" t="s">
        <v>9</v>
      </c>
      <c r="E1439" t="s">
        <v>14</v>
      </c>
      <c r="F1439">
        <v>79</v>
      </c>
      <c r="G1439">
        <v>129</v>
      </c>
      <c r="H1439">
        <v>10191</v>
      </c>
    </row>
    <row r="1440" spans="1:8" x14ac:dyDescent="0.35">
      <c r="A1440" s="2">
        <v>45351</v>
      </c>
      <c r="B1440" s="7">
        <f t="shared" si="22"/>
        <v>2</v>
      </c>
      <c r="C1440" s="7" t="str">
        <f>_xlfn.XLOOKUP(B1440,catalogos!$A$2:$A$13,catalogos!$B$2:$B$13)</f>
        <v>February</v>
      </c>
      <c r="D1440" t="s">
        <v>10</v>
      </c>
      <c r="E1440" t="s">
        <v>11</v>
      </c>
      <c r="F1440">
        <v>47</v>
      </c>
      <c r="G1440">
        <v>186</v>
      </c>
      <c r="H1440">
        <v>8742</v>
      </c>
    </row>
    <row r="1441" spans="1:8" x14ac:dyDescent="0.35">
      <c r="A1441" s="2">
        <v>45351</v>
      </c>
      <c r="B1441" s="7">
        <f t="shared" si="22"/>
        <v>2</v>
      </c>
      <c r="C1441" s="7" t="str">
        <f>_xlfn.XLOOKUP(B1441,catalogos!$A$2:$A$13,catalogos!$B$2:$B$13)</f>
        <v>February</v>
      </c>
      <c r="D1441" t="s">
        <v>7</v>
      </c>
      <c r="E1441" t="s">
        <v>12</v>
      </c>
      <c r="F1441">
        <v>84</v>
      </c>
      <c r="G1441">
        <v>186</v>
      </c>
      <c r="H1441">
        <v>15624</v>
      </c>
    </row>
    <row r="1442" spans="1:8" x14ac:dyDescent="0.35">
      <c r="A1442" s="2">
        <v>45352</v>
      </c>
      <c r="B1442" s="7">
        <f t="shared" si="22"/>
        <v>3</v>
      </c>
      <c r="C1442" s="7" t="str">
        <f>_xlfn.XLOOKUP(B1442,catalogos!$A$2:$A$13,catalogos!$B$2:$B$13)</f>
        <v>March</v>
      </c>
      <c r="D1442" t="s">
        <v>7</v>
      </c>
      <c r="E1442" t="s">
        <v>13</v>
      </c>
      <c r="F1442">
        <v>44</v>
      </c>
      <c r="G1442">
        <v>108</v>
      </c>
      <c r="H1442">
        <v>4752</v>
      </c>
    </row>
    <row r="1443" spans="1:8" x14ac:dyDescent="0.35">
      <c r="A1443" s="2">
        <v>45352</v>
      </c>
      <c r="B1443" s="7">
        <f t="shared" si="22"/>
        <v>3</v>
      </c>
      <c r="C1443" s="7" t="str">
        <f>_xlfn.XLOOKUP(B1443,catalogos!$A$2:$A$13,catalogos!$B$2:$B$13)</f>
        <v>March</v>
      </c>
      <c r="D1443" t="s">
        <v>8</v>
      </c>
      <c r="E1443" t="s">
        <v>13</v>
      </c>
      <c r="F1443">
        <v>68</v>
      </c>
      <c r="G1443">
        <v>219</v>
      </c>
      <c r="H1443">
        <v>14892</v>
      </c>
    </row>
    <row r="1444" spans="1:8" x14ac:dyDescent="0.35">
      <c r="A1444" s="2">
        <v>45352</v>
      </c>
      <c r="B1444" s="7">
        <f t="shared" si="22"/>
        <v>3</v>
      </c>
      <c r="C1444" s="7" t="str">
        <f>_xlfn.XLOOKUP(B1444,catalogos!$A$2:$A$13,catalogos!$B$2:$B$13)</f>
        <v>March</v>
      </c>
      <c r="D1444" t="s">
        <v>8</v>
      </c>
      <c r="E1444" t="s">
        <v>11</v>
      </c>
      <c r="F1444">
        <v>49</v>
      </c>
      <c r="G1444">
        <v>346</v>
      </c>
      <c r="H1444">
        <v>16954</v>
      </c>
    </row>
    <row r="1445" spans="1:8" x14ac:dyDescent="0.35">
      <c r="A1445" s="2">
        <v>45352</v>
      </c>
      <c r="B1445" s="7">
        <f t="shared" si="22"/>
        <v>3</v>
      </c>
      <c r="C1445" s="7" t="str">
        <f>_xlfn.XLOOKUP(B1445,catalogos!$A$2:$A$13,catalogos!$B$2:$B$13)</f>
        <v>March</v>
      </c>
      <c r="D1445" t="s">
        <v>6</v>
      </c>
      <c r="E1445" t="s">
        <v>11</v>
      </c>
      <c r="F1445">
        <v>33</v>
      </c>
      <c r="G1445">
        <v>181</v>
      </c>
      <c r="H1445">
        <v>5973</v>
      </c>
    </row>
    <row r="1446" spans="1:8" x14ac:dyDescent="0.35">
      <c r="A1446" s="2">
        <v>45352</v>
      </c>
      <c r="B1446" s="7">
        <f t="shared" si="22"/>
        <v>3</v>
      </c>
      <c r="C1446" s="7" t="str">
        <f>_xlfn.XLOOKUP(B1446,catalogos!$A$2:$A$13,catalogos!$B$2:$B$13)</f>
        <v>March</v>
      </c>
      <c r="D1446" t="s">
        <v>9</v>
      </c>
      <c r="E1446" t="s">
        <v>12</v>
      </c>
      <c r="F1446">
        <v>56</v>
      </c>
      <c r="G1446">
        <v>47</v>
      </c>
      <c r="H1446">
        <v>2632</v>
      </c>
    </row>
    <row r="1447" spans="1:8" x14ac:dyDescent="0.35">
      <c r="A1447" s="2">
        <v>45352</v>
      </c>
      <c r="B1447" s="7">
        <f t="shared" si="22"/>
        <v>3</v>
      </c>
      <c r="C1447" s="7" t="str">
        <f>_xlfn.XLOOKUP(B1447,catalogos!$A$2:$A$13,catalogos!$B$2:$B$13)</f>
        <v>March</v>
      </c>
      <c r="D1447" t="s">
        <v>8</v>
      </c>
      <c r="E1447" t="s">
        <v>12</v>
      </c>
      <c r="F1447">
        <v>12</v>
      </c>
      <c r="G1447">
        <v>46</v>
      </c>
      <c r="H1447">
        <v>552</v>
      </c>
    </row>
    <row r="1448" spans="1:8" x14ac:dyDescent="0.35">
      <c r="A1448" s="2">
        <v>45352</v>
      </c>
      <c r="B1448" s="7">
        <f t="shared" si="22"/>
        <v>3</v>
      </c>
      <c r="C1448" s="7" t="str">
        <f>_xlfn.XLOOKUP(B1448,catalogos!$A$2:$A$13,catalogos!$B$2:$B$13)</f>
        <v>March</v>
      </c>
      <c r="D1448" t="s">
        <v>8</v>
      </c>
      <c r="E1448" t="s">
        <v>15</v>
      </c>
      <c r="F1448">
        <v>88</v>
      </c>
      <c r="G1448">
        <v>326</v>
      </c>
      <c r="H1448">
        <v>28688</v>
      </c>
    </row>
    <row r="1449" spans="1:8" x14ac:dyDescent="0.35">
      <c r="A1449" s="2">
        <v>45352</v>
      </c>
      <c r="B1449" s="7">
        <f t="shared" si="22"/>
        <v>3</v>
      </c>
      <c r="C1449" s="7" t="str">
        <f>_xlfn.XLOOKUP(B1449,catalogos!$A$2:$A$13,catalogos!$B$2:$B$13)</f>
        <v>March</v>
      </c>
      <c r="D1449" t="s">
        <v>6</v>
      </c>
      <c r="E1449" t="s">
        <v>15</v>
      </c>
      <c r="F1449">
        <v>20</v>
      </c>
      <c r="G1449">
        <v>314</v>
      </c>
      <c r="H1449">
        <v>6280</v>
      </c>
    </row>
    <row r="1450" spans="1:8" x14ac:dyDescent="0.35">
      <c r="A1450" s="2">
        <v>45352</v>
      </c>
      <c r="B1450" s="7">
        <f t="shared" si="22"/>
        <v>3</v>
      </c>
      <c r="C1450" s="7" t="str">
        <f>_xlfn.XLOOKUP(B1450,catalogos!$A$2:$A$13,catalogos!$B$2:$B$13)</f>
        <v>March</v>
      </c>
      <c r="D1450" t="s">
        <v>6</v>
      </c>
      <c r="E1450" t="s">
        <v>15</v>
      </c>
      <c r="F1450">
        <v>75</v>
      </c>
      <c r="G1450">
        <v>275</v>
      </c>
      <c r="H1450">
        <v>20625</v>
      </c>
    </row>
    <row r="1451" spans="1:8" x14ac:dyDescent="0.35">
      <c r="A1451" s="2">
        <v>45352</v>
      </c>
      <c r="B1451" s="7">
        <f t="shared" si="22"/>
        <v>3</v>
      </c>
      <c r="C1451" s="7" t="str">
        <f>_xlfn.XLOOKUP(B1451,catalogos!$A$2:$A$13,catalogos!$B$2:$B$13)</f>
        <v>March</v>
      </c>
      <c r="D1451" t="s">
        <v>7</v>
      </c>
      <c r="E1451" t="s">
        <v>14</v>
      </c>
      <c r="F1451">
        <v>4</v>
      </c>
      <c r="G1451">
        <v>300</v>
      </c>
      <c r="H1451">
        <v>1200</v>
      </c>
    </row>
    <row r="1452" spans="1:8" x14ac:dyDescent="0.35">
      <c r="A1452" s="2">
        <v>45352</v>
      </c>
      <c r="B1452" s="7">
        <f t="shared" si="22"/>
        <v>3</v>
      </c>
      <c r="C1452" s="7" t="str">
        <f>_xlfn.XLOOKUP(B1452,catalogos!$A$2:$A$13,catalogos!$B$2:$B$13)</f>
        <v>March</v>
      </c>
      <c r="D1452" t="s">
        <v>9</v>
      </c>
      <c r="E1452" t="s">
        <v>13</v>
      </c>
      <c r="F1452">
        <v>58</v>
      </c>
      <c r="G1452">
        <v>445</v>
      </c>
      <c r="H1452">
        <v>25810</v>
      </c>
    </row>
    <row r="1453" spans="1:8" x14ac:dyDescent="0.35">
      <c r="A1453" s="2">
        <v>45352</v>
      </c>
      <c r="B1453" s="7">
        <f t="shared" si="22"/>
        <v>3</v>
      </c>
      <c r="C1453" s="7" t="str">
        <f>_xlfn.XLOOKUP(B1453,catalogos!$A$2:$A$13,catalogos!$B$2:$B$13)</f>
        <v>March</v>
      </c>
      <c r="D1453" t="s">
        <v>8</v>
      </c>
      <c r="E1453" t="s">
        <v>12</v>
      </c>
      <c r="F1453">
        <v>93</v>
      </c>
      <c r="G1453">
        <v>308</v>
      </c>
      <c r="H1453">
        <v>28644</v>
      </c>
    </row>
    <row r="1454" spans="1:8" x14ac:dyDescent="0.35">
      <c r="A1454" s="2">
        <v>45352</v>
      </c>
      <c r="B1454" s="7">
        <f t="shared" si="22"/>
        <v>3</v>
      </c>
      <c r="C1454" s="7" t="str">
        <f>_xlfn.XLOOKUP(B1454,catalogos!$A$2:$A$13,catalogos!$B$2:$B$13)</f>
        <v>March</v>
      </c>
      <c r="D1454" t="s">
        <v>7</v>
      </c>
      <c r="E1454" t="s">
        <v>15</v>
      </c>
      <c r="F1454">
        <v>26</v>
      </c>
      <c r="G1454">
        <v>244</v>
      </c>
      <c r="H1454">
        <v>6344</v>
      </c>
    </row>
    <row r="1455" spans="1:8" x14ac:dyDescent="0.35">
      <c r="A1455" s="2">
        <v>45352</v>
      </c>
      <c r="B1455" s="7">
        <f t="shared" si="22"/>
        <v>3</v>
      </c>
      <c r="C1455" s="7" t="str">
        <f>_xlfn.XLOOKUP(B1455,catalogos!$A$2:$A$13,catalogos!$B$2:$B$13)</f>
        <v>March</v>
      </c>
      <c r="D1455" t="s">
        <v>10</v>
      </c>
      <c r="E1455" t="s">
        <v>13</v>
      </c>
      <c r="F1455">
        <v>51</v>
      </c>
      <c r="G1455">
        <v>171</v>
      </c>
      <c r="H1455">
        <v>8721</v>
      </c>
    </row>
    <row r="1456" spans="1:8" x14ac:dyDescent="0.35">
      <c r="A1456" s="2">
        <v>45352</v>
      </c>
      <c r="B1456" s="7">
        <f t="shared" si="22"/>
        <v>3</v>
      </c>
      <c r="C1456" s="7" t="str">
        <f>_xlfn.XLOOKUP(B1456,catalogos!$A$2:$A$13,catalogos!$B$2:$B$13)</f>
        <v>March</v>
      </c>
      <c r="D1456" t="s">
        <v>6</v>
      </c>
      <c r="E1456" t="s">
        <v>14</v>
      </c>
      <c r="F1456">
        <v>87</v>
      </c>
      <c r="G1456">
        <v>106</v>
      </c>
      <c r="H1456">
        <v>9222</v>
      </c>
    </row>
    <row r="1457" spans="1:8" x14ac:dyDescent="0.35">
      <c r="A1457" s="2">
        <v>45352</v>
      </c>
      <c r="B1457" s="7">
        <f t="shared" si="22"/>
        <v>3</v>
      </c>
      <c r="C1457" s="7" t="str">
        <f>_xlfn.XLOOKUP(B1457,catalogos!$A$2:$A$13,catalogos!$B$2:$B$13)</f>
        <v>March</v>
      </c>
      <c r="D1457" t="s">
        <v>6</v>
      </c>
      <c r="E1457" t="s">
        <v>11</v>
      </c>
      <c r="F1457">
        <v>20</v>
      </c>
      <c r="G1457">
        <v>308</v>
      </c>
      <c r="H1457">
        <v>6160</v>
      </c>
    </row>
    <row r="1458" spans="1:8" x14ac:dyDescent="0.35">
      <c r="A1458" s="2">
        <v>45352</v>
      </c>
      <c r="B1458" s="7">
        <f t="shared" si="22"/>
        <v>3</v>
      </c>
      <c r="C1458" s="7" t="str">
        <f>_xlfn.XLOOKUP(B1458,catalogos!$A$2:$A$13,catalogos!$B$2:$B$13)</f>
        <v>March</v>
      </c>
      <c r="D1458" t="s">
        <v>9</v>
      </c>
      <c r="E1458" t="s">
        <v>12</v>
      </c>
      <c r="F1458">
        <v>41</v>
      </c>
      <c r="G1458">
        <v>480</v>
      </c>
      <c r="H1458">
        <v>19680</v>
      </c>
    </row>
    <row r="1459" spans="1:8" x14ac:dyDescent="0.35">
      <c r="A1459" s="2">
        <v>45352</v>
      </c>
      <c r="B1459" s="7">
        <f t="shared" si="22"/>
        <v>3</v>
      </c>
      <c r="C1459" s="7" t="str">
        <f>_xlfn.XLOOKUP(B1459,catalogos!$A$2:$A$13,catalogos!$B$2:$B$13)</f>
        <v>March</v>
      </c>
      <c r="D1459" t="s">
        <v>10</v>
      </c>
      <c r="E1459" t="s">
        <v>15</v>
      </c>
      <c r="F1459">
        <v>13</v>
      </c>
      <c r="G1459">
        <v>146</v>
      </c>
      <c r="H1459">
        <v>1898</v>
      </c>
    </row>
    <row r="1460" spans="1:8" x14ac:dyDescent="0.35">
      <c r="A1460" s="2">
        <v>45352</v>
      </c>
      <c r="B1460" s="7">
        <f t="shared" si="22"/>
        <v>3</v>
      </c>
      <c r="C1460" s="7" t="str">
        <f>_xlfn.XLOOKUP(B1460,catalogos!$A$2:$A$13,catalogos!$B$2:$B$13)</f>
        <v>March</v>
      </c>
      <c r="D1460" t="s">
        <v>7</v>
      </c>
      <c r="E1460" t="s">
        <v>11</v>
      </c>
      <c r="F1460">
        <v>59</v>
      </c>
      <c r="G1460">
        <v>381</v>
      </c>
      <c r="H1460">
        <v>22479</v>
      </c>
    </row>
    <row r="1461" spans="1:8" x14ac:dyDescent="0.35">
      <c r="A1461" s="2">
        <v>45352</v>
      </c>
      <c r="B1461" s="7">
        <f t="shared" si="22"/>
        <v>3</v>
      </c>
      <c r="C1461" s="7" t="str">
        <f>_xlfn.XLOOKUP(B1461,catalogos!$A$2:$A$13,catalogos!$B$2:$B$13)</f>
        <v>March</v>
      </c>
      <c r="D1461" t="s">
        <v>10</v>
      </c>
      <c r="E1461" t="s">
        <v>14</v>
      </c>
      <c r="F1461">
        <v>60</v>
      </c>
      <c r="G1461">
        <v>432</v>
      </c>
      <c r="H1461">
        <v>25920</v>
      </c>
    </row>
    <row r="1462" spans="1:8" x14ac:dyDescent="0.35">
      <c r="A1462" s="2">
        <v>45352</v>
      </c>
      <c r="B1462" s="7">
        <f t="shared" si="22"/>
        <v>3</v>
      </c>
      <c r="C1462" s="7" t="str">
        <f>_xlfn.XLOOKUP(B1462,catalogos!$A$2:$A$13,catalogos!$B$2:$B$13)</f>
        <v>March</v>
      </c>
      <c r="D1462" t="s">
        <v>8</v>
      </c>
      <c r="E1462" t="s">
        <v>13</v>
      </c>
      <c r="F1462">
        <v>84</v>
      </c>
      <c r="G1462">
        <v>370</v>
      </c>
      <c r="H1462">
        <v>31080</v>
      </c>
    </row>
    <row r="1463" spans="1:8" x14ac:dyDescent="0.35">
      <c r="A1463" s="2">
        <v>45352</v>
      </c>
      <c r="B1463" s="7">
        <f t="shared" si="22"/>
        <v>3</v>
      </c>
      <c r="C1463" s="7" t="str">
        <f>_xlfn.XLOOKUP(B1463,catalogos!$A$2:$A$13,catalogos!$B$2:$B$13)</f>
        <v>March</v>
      </c>
      <c r="D1463" t="s">
        <v>7</v>
      </c>
      <c r="E1463" t="s">
        <v>14</v>
      </c>
      <c r="F1463">
        <v>66</v>
      </c>
      <c r="G1463">
        <v>488</v>
      </c>
      <c r="H1463">
        <v>32208</v>
      </c>
    </row>
    <row r="1464" spans="1:8" x14ac:dyDescent="0.35">
      <c r="A1464" s="2">
        <v>45352</v>
      </c>
      <c r="B1464" s="7">
        <f t="shared" si="22"/>
        <v>3</v>
      </c>
      <c r="C1464" s="7" t="str">
        <f>_xlfn.XLOOKUP(B1464,catalogos!$A$2:$A$13,catalogos!$B$2:$B$13)</f>
        <v>March</v>
      </c>
      <c r="D1464" t="s">
        <v>9</v>
      </c>
      <c r="E1464" t="s">
        <v>11</v>
      </c>
      <c r="F1464">
        <v>31</v>
      </c>
      <c r="G1464">
        <v>37</v>
      </c>
      <c r="H1464">
        <v>1147</v>
      </c>
    </row>
    <row r="1465" spans="1:8" x14ac:dyDescent="0.35">
      <c r="A1465" s="2">
        <v>45352</v>
      </c>
      <c r="B1465" s="7">
        <f t="shared" si="22"/>
        <v>3</v>
      </c>
      <c r="C1465" s="7" t="str">
        <f>_xlfn.XLOOKUP(B1465,catalogos!$A$2:$A$13,catalogos!$B$2:$B$13)</f>
        <v>March</v>
      </c>
      <c r="D1465" t="s">
        <v>8</v>
      </c>
      <c r="E1465" t="s">
        <v>14</v>
      </c>
      <c r="F1465">
        <v>51</v>
      </c>
      <c r="G1465">
        <v>100</v>
      </c>
      <c r="H1465">
        <v>5100</v>
      </c>
    </row>
    <row r="1466" spans="1:8" x14ac:dyDescent="0.35">
      <c r="A1466" s="2">
        <v>45353</v>
      </c>
      <c r="B1466" s="7">
        <f t="shared" si="22"/>
        <v>3</v>
      </c>
      <c r="C1466" s="7" t="str">
        <f>_xlfn.XLOOKUP(B1466,catalogos!$A$2:$A$13,catalogos!$B$2:$B$13)</f>
        <v>March</v>
      </c>
      <c r="D1466" t="s">
        <v>6</v>
      </c>
      <c r="E1466" t="s">
        <v>14</v>
      </c>
      <c r="F1466">
        <v>55</v>
      </c>
      <c r="G1466">
        <v>472</v>
      </c>
      <c r="H1466">
        <v>25960</v>
      </c>
    </row>
    <row r="1467" spans="1:8" x14ac:dyDescent="0.35">
      <c r="A1467" s="2">
        <v>45353</v>
      </c>
      <c r="B1467" s="7">
        <f t="shared" si="22"/>
        <v>3</v>
      </c>
      <c r="C1467" s="7" t="str">
        <f>_xlfn.XLOOKUP(B1467,catalogos!$A$2:$A$13,catalogos!$B$2:$B$13)</f>
        <v>March</v>
      </c>
      <c r="D1467" t="s">
        <v>9</v>
      </c>
      <c r="E1467" t="s">
        <v>12</v>
      </c>
      <c r="F1467">
        <v>41</v>
      </c>
      <c r="G1467">
        <v>421</v>
      </c>
      <c r="H1467">
        <v>17261</v>
      </c>
    </row>
    <row r="1468" spans="1:8" x14ac:dyDescent="0.35">
      <c r="A1468" s="2">
        <v>45353</v>
      </c>
      <c r="B1468" s="7">
        <f t="shared" si="22"/>
        <v>3</v>
      </c>
      <c r="C1468" s="7" t="str">
        <f>_xlfn.XLOOKUP(B1468,catalogos!$A$2:$A$13,catalogos!$B$2:$B$13)</f>
        <v>March</v>
      </c>
      <c r="D1468" t="s">
        <v>9</v>
      </c>
      <c r="E1468" t="s">
        <v>14</v>
      </c>
      <c r="F1468">
        <v>42</v>
      </c>
      <c r="G1468">
        <v>343</v>
      </c>
      <c r="H1468">
        <v>14406</v>
      </c>
    </row>
    <row r="1469" spans="1:8" x14ac:dyDescent="0.35">
      <c r="A1469" s="2">
        <v>45353</v>
      </c>
      <c r="B1469" s="7">
        <f t="shared" si="22"/>
        <v>3</v>
      </c>
      <c r="C1469" s="7" t="str">
        <f>_xlfn.XLOOKUP(B1469,catalogos!$A$2:$A$13,catalogos!$B$2:$B$13)</f>
        <v>March</v>
      </c>
      <c r="D1469" t="s">
        <v>9</v>
      </c>
      <c r="E1469" t="s">
        <v>14</v>
      </c>
      <c r="F1469">
        <v>55</v>
      </c>
      <c r="G1469">
        <v>453</v>
      </c>
      <c r="H1469">
        <v>24915</v>
      </c>
    </row>
    <row r="1470" spans="1:8" x14ac:dyDescent="0.35">
      <c r="A1470" s="2">
        <v>45353</v>
      </c>
      <c r="B1470" s="7">
        <f t="shared" si="22"/>
        <v>3</v>
      </c>
      <c r="C1470" s="7" t="str">
        <f>_xlfn.XLOOKUP(B1470,catalogos!$A$2:$A$13,catalogos!$B$2:$B$13)</f>
        <v>March</v>
      </c>
      <c r="D1470" t="s">
        <v>7</v>
      </c>
      <c r="E1470" t="s">
        <v>11</v>
      </c>
      <c r="F1470">
        <v>58</v>
      </c>
      <c r="G1470">
        <v>314</v>
      </c>
      <c r="H1470">
        <v>18212</v>
      </c>
    </row>
    <row r="1471" spans="1:8" x14ac:dyDescent="0.35">
      <c r="A1471" s="2">
        <v>45353</v>
      </c>
      <c r="B1471" s="7">
        <f t="shared" si="22"/>
        <v>3</v>
      </c>
      <c r="C1471" s="7" t="str">
        <f>_xlfn.XLOOKUP(B1471,catalogos!$A$2:$A$13,catalogos!$B$2:$B$13)</f>
        <v>March</v>
      </c>
      <c r="D1471" t="s">
        <v>9</v>
      </c>
      <c r="E1471" t="s">
        <v>11</v>
      </c>
      <c r="F1471">
        <v>84</v>
      </c>
      <c r="G1471">
        <v>54</v>
      </c>
      <c r="H1471">
        <v>4536</v>
      </c>
    </row>
    <row r="1472" spans="1:8" x14ac:dyDescent="0.35">
      <c r="A1472" s="2">
        <v>45353</v>
      </c>
      <c r="B1472" s="7">
        <f t="shared" si="22"/>
        <v>3</v>
      </c>
      <c r="C1472" s="7" t="str">
        <f>_xlfn.XLOOKUP(B1472,catalogos!$A$2:$A$13,catalogos!$B$2:$B$13)</f>
        <v>March</v>
      </c>
      <c r="D1472" t="s">
        <v>6</v>
      </c>
      <c r="E1472" t="s">
        <v>11</v>
      </c>
      <c r="F1472">
        <v>98</v>
      </c>
      <c r="G1472">
        <v>20</v>
      </c>
      <c r="H1472">
        <v>1960</v>
      </c>
    </row>
    <row r="1473" spans="1:8" x14ac:dyDescent="0.35">
      <c r="A1473" s="2">
        <v>45353</v>
      </c>
      <c r="B1473" s="7">
        <f t="shared" si="22"/>
        <v>3</v>
      </c>
      <c r="C1473" s="7" t="str">
        <f>_xlfn.XLOOKUP(B1473,catalogos!$A$2:$A$13,catalogos!$B$2:$B$13)</f>
        <v>March</v>
      </c>
      <c r="D1473" t="s">
        <v>9</v>
      </c>
      <c r="E1473" t="s">
        <v>13</v>
      </c>
      <c r="F1473">
        <v>55</v>
      </c>
      <c r="G1473">
        <v>139</v>
      </c>
      <c r="H1473">
        <v>7645</v>
      </c>
    </row>
    <row r="1474" spans="1:8" x14ac:dyDescent="0.35">
      <c r="A1474" s="2">
        <v>45353</v>
      </c>
      <c r="B1474" s="7">
        <f t="shared" si="22"/>
        <v>3</v>
      </c>
      <c r="C1474" s="7" t="str">
        <f>_xlfn.XLOOKUP(B1474,catalogos!$A$2:$A$13,catalogos!$B$2:$B$13)</f>
        <v>March</v>
      </c>
      <c r="D1474" t="s">
        <v>6</v>
      </c>
      <c r="E1474" t="s">
        <v>14</v>
      </c>
      <c r="F1474">
        <v>18</v>
      </c>
      <c r="G1474">
        <v>125</v>
      </c>
      <c r="H1474">
        <v>2250</v>
      </c>
    </row>
    <row r="1475" spans="1:8" x14ac:dyDescent="0.35">
      <c r="A1475" s="2">
        <v>45353</v>
      </c>
      <c r="B1475" s="7">
        <f t="shared" ref="B1475:B1501" si="23">MONTH(A1475)</f>
        <v>3</v>
      </c>
      <c r="C1475" s="7" t="str">
        <f>_xlfn.XLOOKUP(B1475,catalogos!$A$2:$A$13,catalogos!$B$2:$B$13)</f>
        <v>March</v>
      </c>
      <c r="D1475" t="s">
        <v>9</v>
      </c>
      <c r="E1475" t="s">
        <v>14</v>
      </c>
      <c r="F1475">
        <v>50</v>
      </c>
      <c r="G1475">
        <v>448</v>
      </c>
      <c r="H1475">
        <v>22400</v>
      </c>
    </row>
    <row r="1476" spans="1:8" x14ac:dyDescent="0.35">
      <c r="A1476" s="2">
        <v>45353</v>
      </c>
      <c r="B1476" s="7">
        <f t="shared" si="23"/>
        <v>3</v>
      </c>
      <c r="C1476" s="7" t="str">
        <f>_xlfn.XLOOKUP(B1476,catalogos!$A$2:$A$13,catalogos!$B$2:$B$13)</f>
        <v>March</v>
      </c>
      <c r="D1476" t="s">
        <v>10</v>
      </c>
      <c r="E1476" t="s">
        <v>13</v>
      </c>
      <c r="F1476">
        <v>69</v>
      </c>
      <c r="G1476">
        <v>187</v>
      </c>
      <c r="H1476">
        <v>12903</v>
      </c>
    </row>
    <row r="1477" spans="1:8" x14ac:dyDescent="0.35">
      <c r="A1477" s="2">
        <v>45353</v>
      </c>
      <c r="B1477" s="7">
        <f t="shared" si="23"/>
        <v>3</v>
      </c>
      <c r="C1477" s="7" t="str">
        <f>_xlfn.XLOOKUP(B1477,catalogos!$A$2:$A$13,catalogos!$B$2:$B$13)</f>
        <v>March</v>
      </c>
      <c r="D1477" t="s">
        <v>7</v>
      </c>
      <c r="E1477" t="s">
        <v>13</v>
      </c>
      <c r="F1477">
        <v>42</v>
      </c>
      <c r="G1477">
        <v>235</v>
      </c>
      <c r="H1477">
        <v>9870</v>
      </c>
    </row>
    <row r="1478" spans="1:8" x14ac:dyDescent="0.35">
      <c r="A1478" s="2">
        <v>45353</v>
      </c>
      <c r="B1478" s="7">
        <f t="shared" si="23"/>
        <v>3</v>
      </c>
      <c r="C1478" s="7" t="str">
        <f>_xlfn.XLOOKUP(B1478,catalogos!$A$2:$A$13,catalogos!$B$2:$B$13)</f>
        <v>March</v>
      </c>
      <c r="D1478" t="s">
        <v>6</v>
      </c>
      <c r="E1478" t="s">
        <v>15</v>
      </c>
      <c r="F1478">
        <v>43</v>
      </c>
      <c r="G1478">
        <v>210</v>
      </c>
      <c r="H1478">
        <v>9030</v>
      </c>
    </row>
    <row r="1479" spans="1:8" x14ac:dyDescent="0.35">
      <c r="A1479" s="2">
        <v>45353</v>
      </c>
      <c r="B1479" s="7">
        <f t="shared" si="23"/>
        <v>3</v>
      </c>
      <c r="C1479" s="7" t="str">
        <f>_xlfn.XLOOKUP(B1479,catalogos!$A$2:$A$13,catalogos!$B$2:$B$13)</f>
        <v>March</v>
      </c>
      <c r="D1479" t="s">
        <v>10</v>
      </c>
      <c r="E1479" t="s">
        <v>12</v>
      </c>
      <c r="F1479">
        <v>42</v>
      </c>
      <c r="G1479">
        <v>21</v>
      </c>
      <c r="H1479">
        <v>882</v>
      </c>
    </row>
    <row r="1480" spans="1:8" x14ac:dyDescent="0.35">
      <c r="A1480" s="2">
        <v>45353</v>
      </c>
      <c r="B1480" s="7">
        <f t="shared" si="23"/>
        <v>3</v>
      </c>
      <c r="C1480" s="7" t="str">
        <f>_xlfn.XLOOKUP(B1480,catalogos!$A$2:$A$13,catalogos!$B$2:$B$13)</f>
        <v>March</v>
      </c>
      <c r="D1480" t="s">
        <v>10</v>
      </c>
      <c r="E1480" t="s">
        <v>13</v>
      </c>
      <c r="F1480">
        <v>17</v>
      </c>
      <c r="G1480">
        <v>48</v>
      </c>
      <c r="H1480">
        <v>816</v>
      </c>
    </row>
    <row r="1481" spans="1:8" x14ac:dyDescent="0.35">
      <c r="A1481" s="2">
        <v>45353</v>
      </c>
      <c r="B1481" s="7">
        <f t="shared" si="23"/>
        <v>3</v>
      </c>
      <c r="C1481" s="7" t="str">
        <f>_xlfn.XLOOKUP(B1481,catalogos!$A$2:$A$13,catalogos!$B$2:$B$13)</f>
        <v>March</v>
      </c>
      <c r="D1481" t="s">
        <v>6</v>
      </c>
      <c r="E1481" t="s">
        <v>12</v>
      </c>
      <c r="F1481">
        <v>76</v>
      </c>
      <c r="G1481">
        <v>493</v>
      </c>
      <c r="H1481">
        <v>37468</v>
      </c>
    </row>
    <row r="1482" spans="1:8" x14ac:dyDescent="0.35">
      <c r="A1482" s="2">
        <v>45353</v>
      </c>
      <c r="B1482" s="7">
        <f t="shared" si="23"/>
        <v>3</v>
      </c>
      <c r="C1482" s="7" t="str">
        <f>_xlfn.XLOOKUP(B1482,catalogos!$A$2:$A$13,catalogos!$B$2:$B$13)</f>
        <v>March</v>
      </c>
      <c r="D1482" t="s">
        <v>10</v>
      </c>
      <c r="E1482" t="s">
        <v>13</v>
      </c>
      <c r="F1482">
        <v>66</v>
      </c>
      <c r="G1482">
        <v>345</v>
      </c>
      <c r="H1482">
        <v>22770</v>
      </c>
    </row>
    <row r="1483" spans="1:8" x14ac:dyDescent="0.35">
      <c r="A1483" s="2">
        <v>45353</v>
      </c>
      <c r="B1483" s="7">
        <f t="shared" si="23"/>
        <v>3</v>
      </c>
      <c r="C1483" s="7" t="str">
        <f>_xlfn.XLOOKUP(B1483,catalogos!$A$2:$A$13,catalogos!$B$2:$B$13)</f>
        <v>March</v>
      </c>
      <c r="D1483" t="s">
        <v>9</v>
      </c>
      <c r="E1483" t="s">
        <v>11</v>
      </c>
      <c r="F1483">
        <v>25</v>
      </c>
      <c r="G1483">
        <v>427</v>
      </c>
      <c r="H1483">
        <v>10675</v>
      </c>
    </row>
    <row r="1484" spans="1:8" x14ac:dyDescent="0.35">
      <c r="A1484" s="2">
        <v>45353</v>
      </c>
      <c r="B1484" s="7">
        <f t="shared" si="23"/>
        <v>3</v>
      </c>
      <c r="C1484" s="7" t="str">
        <f>_xlfn.XLOOKUP(B1484,catalogos!$A$2:$A$13,catalogos!$B$2:$B$13)</f>
        <v>March</v>
      </c>
      <c r="D1484" t="s">
        <v>8</v>
      </c>
      <c r="E1484" t="s">
        <v>15</v>
      </c>
      <c r="F1484">
        <v>52</v>
      </c>
      <c r="G1484">
        <v>83</v>
      </c>
      <c r="H1484">
        <v>4316</v>
      </c>
    </row>
    <row r="1485" spans="1:8" x14ac:dyDescent="0.35">
      <c r="A1485" s="2">
        <v>45353</v>
      </c>
      <c r="B1485" s="7">
        <f t="shared" si="23"/>
        <v>3</v>
      </c>
      <c r="C1485" s="7" t="str">
        <f>_xlfn.XLOOKUP(B1485,catalogos!$A$2:$A$13,catalogos!$B$2:$B$13)</f>
        <v>March</v>
      </c>
      <c r="D1485" t="s">
        <v>6</v>
      </c>
      <c r="E1485" t="s">
        <v>13</v>
      </c>
      <c r="F1485">
        <v>11</v>
      </c>
      <c r="G1485">
        <v>175</v>
      </c>
      <c r="H1485">
        <v>1925</v>
      </c>
    </row>
    <row r="1486" spans="1:8" x14ac:dyDescent="0.35">
      <c r="A1486" s="2">
        <v>45353</v>
      </c>
      <c r="B1486" s="7">
        <f t="shared" si="23"/>
        <v>3</v>
      </c>
      <c r="C1486" s="7" t="str">
        <f>_xlfn.XLOOKUP(B1486,catalogos!$A$2:$A$13,catalogos!$B$2:$B$13)</f>
        <v>March</v>
      </c>
      <c r="D1486" t="s">
        <v>8</v>
      </c>
      <c r="E1486" t="s">
        <v>11</v>
      </c>
      <c r="F1486">
        <v>95</v>
      </c>
      <c r="G1486">
        <v>66</v>
      </c>
      <c r="H1486">
        <v>6270</v>
      </c>
    </row>
    <row r="1487" spans="1:8" x14ac:dyDescent="0.35">
      <c r="A1487" s="2">
        <v>45353</v>
      </c>
      <c r="B1487" s="7">
        <f t="shared" si="23"/>
        <v>3</v>
      </c>
      <c r="C1487" s="7" t="str">
        <f>_xlfn.XLOOKUP(B1487,catalogos!$A$2:$A$13,catalogos!$B$2:$B$13)</f>
        <v>March</v>
      </c>
      <c r="D1487" t="s">
        <v>10</v>
      </c>
      <c r="E1487" t="s">
        <v>14</v>
      </c>
      <c r="F1487">
        <v>11</v>
      </c>
      <c r="G1487">
        <v>458</v>
      </c>
      <c r="H1487">
        <v>5038</v>
      </c>
    </row>
    <row r="1488" spans="1:8" x14ac:dyDescent="0.35">
      <c r="A1488" s="2">
        <v>45353</v>
      </c>
      <c r="B1488" s="7">
        <f t="shared" si="23"/>
        <v>3</v>
      </c>
      <c r="C1488" s="7" t="str">
        <f>_xlfn.XLOOKUP(B1488,catalogos!$A$2:$A$13,catalogos!$B$2:$B$13)</f>
        <v>March</v>
      </c>
      <c r="D1488" t="s">
        <v>10</v>
      </c>
      <c r="E1488" t="s">
        <v>15</v>
      </c>
      <c r="F1488">
        <v>93</v>
      </c>
      <c r="G1488">
        <v>188</v>
      </c>
      <c r="H1488">
        <v>17484</v>
      </c>
    </row>
    <row r="1489" spans="1:8" x14ac:dyDescent="0.35">
      <c r="A1489" s="2">
        <v>45353</v>
      </c>
      <c r="B1489" s="7">
        <f t="shared" si="23"/>
        <v>3</v>
      </c>
      <c r="C1489" s="7" t="str">
        <f>_xlfn.XLOOKUP(B1489,catalogos!$A$2:$A$13,catalogos!$B$2:$B$13)</f>
        <v>March</v>
      </c>
      <c r="D1489" t="s">
        <v>10</v>
      </c>
      <c r="E1489" t="s">
        <v>15</v>
      </c>
      <c r="F1489">
        <v>16</v>
      </c>
      <c r="G1489">
        <v>420</v>
      </c>
      <c r="H1489">
        <v>6720</v>
      </c>
    </row>
    <row r="1490" spans="1:8" x14ac:dyDescent="0.35">
      <c r="A1490" s="2">
        <v>45354</v>
      </c>
      <c r="B1490" s="7">
        <f t="shared" si="23"/>
        <v>3</v>
      </c>
      <c r="C1490" s="7" t="str">
        <f>_xlfn.XLOOKUP(B1490,catalogos!$A$2:$A$13,catalogos!$B$2:$B$13)</f>
        <v>March</v>
      </c>
      <c r="D1490" t="s">
        <v>7</v>
      </c>
      <c r="E1490" t="s">
        <v>15</v>
      </c>
      <c r="F1490">
        <v>92</v>
      </c>
      <c r="G1490">
        <v>32</v>
      </c>
      <c r="H1490">
        <v>2944</v>
      </c>
    </row>
    <row r="1491" spans="1:8" x14ac:dyDescent="0.35">
      <c r="A1491" s="2">
        <v>45354</v>
      </c>
      <c r="B1491" s="7">
        <f t="shared" si="23"/>
        <v>3</v>
      </c>
      <c r="C1491" s="7" t="str">
        <f>_xlfn.XLOOKUP(B1491,catalogos!$A$2:$A$13,catalogos!$B$2:$B$13)</f>
        <v>March</v>
      </c>
      <c r="D1491" t="s">
        <v>7</v>
      </c>
      <c r="E1491" t="s">
        <v>12</v>
      </c>
      <c r="F1491">
        <v>64</v>
      </c>
      <c r="G1491">
        <v>207</v>
      </c>
      <c r="H1491">
        <v>13248</v>
      </c>
    </row>
    <row r="1492" spans="1:8" x14ac:dyDescent="0.35">
      <c r="A1492" s="2">
        <v>45354</v>
      </c>
      <c r="B1492" s="7">
        <f t="shared" si="23"/>
        <v>3</v>
      </c>
      <c r="C1492" s="7" t="str">
        <f>_xlfn.XLOOKUP(B1492,catalogos!$A$2:$A$13,catalogos!$B$2:$B$13)</f>
        <v>March</v>
      </c>
      <c r="D1492" t="s">
        <v>7</v>
      </c>
      <c r="E1492" t="s">
        <v>15</v>
      </c>
      <c r="F1492">
        <v>48</v>
      </c>
      <c r="G1492">
        <v>398</v>
      </c>
      <c r="H1492">
        <v>19104</v>
      </c>
    </row>
    <row r="1493" spans="1:8" x14ac:dyDescent="0.35">
      <c r="A1493" s="2">
        <v>45354</v>
      </c>
      <c r="B1493" s="7">
        <f t="shared" si="23"/>
        <v>3</v>
      </c>
      <c r="C1493" s="7" t="str">
        <f>_xlfn.XLOOKUP(B1493,catalogos!$A$2:$A$13,catalogos!$B$2:$B$13)</f>
        <v>March</v>
      </c>
      <c r="D1493" t="s">
        <v>6</v>
      </c>
      <c r="E1493" t="s">
        <v>12</v>
      </c>
      <c r="F1493">
        <v>40</v>
      </c>
      <c r="G1493">
        <v>264</v>
      </c>
      <c r="H1493">
        <v>10560</v>
      </c>
    </row>
    <row r="1494" spans="1:8" x14ac:dyDescent="0.35">
      <c r="A1494" s="2">
        <v>45354</v>
      </c>
      <c r="B1494" s="7">
        <f t="shared" si="23"/>
        <v>3</v>
      </c>
      <c r="C1494" s="7" t="str">
        <f>_xlfn.XLOOKUP(B1494,catalogos!$A$2:$A$13,catalogos!$B$2:$B$13)</f>
        <v>March</v>
      </c>
      <c r="D1494" t="s">
        <v>8</v>
      </c>
      <c r="E1494" t="s">
        <v>14</v>
      </c>
      <c r="F1494">
        <v>82</v>
      </c>
      <c r="G1494">
        <v>31</v>
      </c>
      <c r="H1494">
        <v>2542</v>
      </c>
    </row>
    <row r="1495" spans="1:8" x14ac:dyDescent="0.35">
      <c r="A1495" s="2">
        <v>45354</v>
      </c>
      <c r="B1495" s="7">
        <f t="shared" si="23"/>
        <v>3</v>
      </c>
      <c r="C1495" s="7" t="str">
        <f>_xlfn.XLOOKUP(B1495,catalogos!$A$2:$A$13,catalogos!$B$2:$B$13)</f>
        <v>March</v>
      </c>
      <c r="D1495" t="s">
        <v>6</v>
      </c>
      <c r="E1495" t="s">
        <v>11</v>
      </c>
      <c r="F1495">
        <v>87</v>
      </c>
      <c r="G1495">
        <v>475</v>
      </c>
      <c r="H1495">
        <v>41325</v>
      </c>
    </row>
    <row r="1496" spans="1:8" x14ac:dyDescent="0.35">
      <c r="A1496" s="2">
        <v>45354</v>
      </c>
      <c r="B1496" s="7">
        <f t="shared" si="23"/>
        <v>3</v>
      </c>
      <c r="C1496" s="7" t="str">
        <f>_xlfn.XLOOKUP(B1496,catalogos!$A$2:$A$13,catalogos!$B$2:$B$13)</f>
        <v>March</v>
      </c>
      <c r="D1496" t="s">
        <v>6</v>
      </c>
      <c r="E1496" t="s">
        <v>14</v>
      </c>
      <c r="F1496">
        <v>44</v>
      </c>
      <c r="G1496">
        <v>498</v>
      </c>
      <c r="H1496">
        <v>21912</v>
      </c>
    </row>
    <row r="1497" spans="1:8" x14ac:dyDescent="0.35">
      <c r="A1497" s="2">
        <v>45354</v>
      </c>
      <c r="B1497" s="7">
        <f t="shared" si="23"/>
        <v>3</v>
      </c>
      <c r="C1497" s="7" t="str">
        <f>_xlfn.XLOOKUP(B1497,catalogos!$A$2:$A$13,catalogos!$B$2:$B$13)</f>
        <v>March</v>
      </c>
      <c r="D1497" t="s">
        <v>9</v>
      </c>
      <c r="E1497" t="s">
        <v>13</v>
      </c>
      <c r="F1497">
        <v>32</v>
      </c>
      <c r="G1497">
        <v>320</v>
      </c>
      <c r="H1497">
        <v>10240</v>
      </c>
    </row>
    <row r="1498" spans="1:8" x14ac:dyDescent="0.35">
      <c r="A1498" s="2">
        <v>45354</v>
      </c>
      <c r="B1498" s="7">
        <f t="shared" si="23"/>
        <v>3</v>
      </c>
      <c r="C1498" s="7" t="str">
        <f>_xlfn.XLOOKUP(B1498,catalogos!$A$2:$A$13,catalogos!$B$2:$B$13)</f>
        <v>March</v>
      </c>
      <c r="D1498" t="s">
        <v>7</v>
      </c>
      <c r="E1498" t="s">
        <v>12</v>
      </c>
      <c r="F1498">
        <v>50</v>
      </c>
      <c r="G1498">
        <v>382</v>
      </c>
      <c r="H1498">
        <v>19100</v>
      </c>
    </row>
    <row r="1499" spans="1:8" x14ac:dyDescent="0.35">
      <c r="A1499" s="2">
        <v>45354</v>
      </c>
      <c r="B1499" s="7">
        <f t="shared" si="23"/>
        <v>3</v>
      </c>
      <c r="C1499" s="7" t="str">
        <f>_xlfn.XLOOKUP(B1499,catalogos!$A$2:$A$13,catalogos!$B$2:$B$13)</f>
        <v>March</v>
      </c>
      <c r="D1499" t="s">
        <v>6</v>
      </c>
      <c r="E1499" t="s">
        <v>11</v>
      </c>
      <c r="F1499">
        <v>53</v>
      </c>
      <c r="G1499">
        <v>472</v>
      </c>
      <c r="H1499">
        <v>25016</v>
      </c>
    </row>
    <row r="1500" spans="1:8" x14ac:dyDescent="0.35">
      <c r="A1500" s="2">
        <v>45354</v>
      </c>
      <c r="B1500" s="7">
        <f t="shared" si="23"/>
        <v>3</v>
      </c>
      <c r="C1500" s="7" t="str">
        <f>_xlfn.XLOOKUP(B1500,catalogos!$A$2:$A$13,catalogos!$B$2:$B$13)</f>
        <v>March</v>
      </c>
      <c r="D1500" t="s">
        <v>8</v>
      </c>
      <c r="E1500" t="s">
        <v>13</v>
      </c>
      <c r="F1500">
        <v>50</v>
      </c>
      <c r="G1500">
        <v>290</v>
      </c>
      <c r="H1500">
        <v>14500</v>
      </c>
    </row>
    <row r="1501" spans="1:8" x14ac:dyDescent="0.35">
      <c r="A1501" s="2">
        <v>45354</v>
      </c>
      <c r="B1501" s="7">
        <f t="shared" si="23"/>
        <v>3</v>
      </c>
      <c r="C1501" s="7" t="str">
        <f>_xlfn.XLOOKUP(B1501,catalogos!$A$2:$A$13,catalogos!$B$2:$B$13)</f>
        <v>March</v>
      </c>
      <c r="D1501" t="s">
        <v>10</v>
      </c>
      <c r="E1501" t="s">
        <v>12</v>
      </c>
      <c r="F1501">
        <v>98</v>
      </c>
      <c r="G1501">
        <v>294</v>
      </c>
      <c r="H1501">
        <v>28812</v>
      </c>
    </row>
    <row r="1502" spans="1:8" x14ac:dyDescent="0.35">
      <c r="H1502" s="4"/>
    </row>
  </sheetData>
  <autoFilter ref="K1:N26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FB8A15-613B-4469-9B21-E2727C455118}">
          <x14:formula1>
            <xm:f>catalogos!$B$2:$B$13</xm:f>
          </x14:formula1>
          <xm:sqref>Q1:R1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7C52-E901-403A-9BE1-0B689AF86EE2}">
  <dimension ref="A1:B13"/>
  <sheetViews>
    <sheetView workbookViewId="0">
      <selection activeCell="F20" sqref="F20"/>
    </sheetView>
  </sheetViews>
  <sheetFormatPr defaultRowHeight="14.5" x14ac:dyDescent="0.35"/>
  <sheetData>
    <row r="1" spans="1:2" x14ac:dyDescent="0.35">
      <c r="A1" t="s">
        <v>32</v>
      </c>
      <c r="B1" t="s">
        <v>33</v>
      </c>
    </row>
    <row r="2" spans="1:2" x14ac:dyDescent="0.35">
      <c r="A2">
        <v>1</v>
      </c>
      <c r="B2" t="s">
        <v>34</v>
      </c>
    </row>
    <row r="3" spans="1:2" x14ac:dyDescent="0.35">
      <c r="A3">
        <v>2</v>
      </c>
      <c r="B3" t="s">
        <v>35</v>
      </c>
    </row>
    <row r="4" spans="1:2" x14ac:dyDescent="0.35">
      <c r="A4">
        <v>3</v>
      </c>
      <c r="B4" t="s">
        <v>36</v>
      </c>
    </row>
    <row r="5" spans="1:2" x14ac:dyDescent="0.35">
      <c r="A5">
        <v>4</v>
      </c>
      <c r="B5" t="s">
        <v>37</v>
      </c>
    </row>
    <row r="6" spans="1:2" x14ac:dyDescent="0.35">
      <c r="A6">
        <v>5</v>
      </c>
      <c r="B6" t="s">
        <v>38</v>
      </c>
    </row>
    <row r="7" spans="1:2" x14ac:dyDescent="0.35">
      <c r="A7">
        <v>6</v>
      </c>
      <c r="B7" t="s">
        <v>39</v>
      </c>
    </row>
    <row r="8" spans="1:2" x14ac:dyDescent="0.35">
      <c r="A8">
        <v>7</v>
      </c>
      <c r="B8" t="s">
        <v>40</v>
      </c>
    </row>
    <row r="9" spans="1:2" x14ac:dyDescent="0.35">
      <c r="A9">
        <v>8</v>
      </c>
      <c r="B9" t="s">
        <v>41</v>
      </c>
    </row>
    <row r="10" spans="1:2" x14ac:dyDescent="0.35">
      <c r="A10">
        <v>9</v>
      </c>
      <c r="B10" t="s">
        <v>42</v>
      </c>
    </row>
    <row r="11" spans="1:2" x14ac:dyDescent="0.35">
      <c r="A11">
        <v>10</v>
      </c>
      <c r="B11" t="s">
        <v>43</v>
      </c>
    </row>
    <row r="12" spans="1:2" x14ac:dyDescent="0.35">
      <c r="A12">
        <v>11</v>
      </c>
      <c r="B12" t="s">
        <v>44</v>
      </c>
    </row>
    <row r="13" spans="1:2" x14ac:dyDescent="0.35">
      <c r="A13">
        <v>12</v>
      </c>
      <c r="B13" t="s">
        <v>45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1"/>
  <sheetViews>
    <sheetView workbookViewId="0">
      <selection activeCell="N8" sqref="N8"/>
    </sheetView>
  </sheetViews>
  <sheetFormatPr defaultColWidth="8.90625" defaultRowHeight="14.5" x14ac:dyDescent="0.35"/>
  <cols>
    <col min="1" max="1" width="9.26953125" bestFit="1" customWidth="1"/>
    <col min="2" max="2" width="18.90625" style="13" bestFit="1" customWidth="1"/>
    <col min="3" max="3" width="24.6328125" style="15" bestFit="1" customWidth="1"/>
    <col min="4" max="4" width="10.36328125" bestFit="1" customWidth="1"/>
    <col min="7" max="7" width="8.90625" style="13"/>
    <col min="8" max="8" width="16.90625" bestFit="1" customWidth="1"/>
    <col min="10" max="10" width="10.36328125" bestFit="1" customWidth="1"/>
    <col min="11" max="11" width="16.90625" bestFit="1" customWidth="1"/>
  </cols>
  <sheetData>
    <row r="1" spans="1:11" x14ac:dyDescent="0.35">
      <c r="A1" s="1" t="s">
        <v>16</v>
      </c>
      <c r="B1" s="1" t="s">
        <v>17</v>
      </c>
      <c r="C1" s="14" t="s">
        <v>18</v>
      </c>
      <c r="D1" s="1" t="s">
        <v>19</v>
      </c>
    </row>
    <row r="2" spans="1:11" x14ac:dyDescent="0.35">
      <c r="A2">
        <v>95514</v>
      </c>
      <c r="B2" s="16">
        <v>45292</v>
      </c>
      <c r="C2" s="15">
        <v>2932</v>
      </c>
      <c r="D2" t="s">
        <v>20</v>
      </c>
    </row>
    <row r="3" spans="1:11" x14ac:dyDescent="0.35">
      <c r="A3">
        <v>46134</v>
      </c>
      <c r="B3" s="16">
        <v>45292</v>
      </c>
      <c r="C3" s="15">
        <v>3765</v>
      </c>
      <c r="D3" t="s">
        <v>21</v>
      </c>
    </row>
    <row r="4" spans="1:11" x14ac:dyDescent="0.35">
      <c r="A4">
        <v>64661</v>
      </c>
      <c r="B4" s="16">
        <v>45292</v>
      </c>
      <c r="C4" s="15">
        <v>2587</v>
      </c>
      <c r="D4" t="s">
        <v>21</v>
      </c>
      <c r="G4" s="1" t="s">
        <v>16</v>
      </c>
      <c r="H4" t="s">
        <v>48</v>
      </c>
      <c r="J4" s="1" t="s">
        <v>19</v>
      </c>
      <c r="K4" t="s">
        <v>49</v>
      </c>
    </row>
    <row r="5" spans="1:11" x14ac:dyDescent="0.35">
      <c r="A5">
        <v>45322</v>
      </c>
      <c r="B5" s="16">
        <v>45292</v>
      </c>
      <c r="C5" s="15">
        <v>4867</v>
      </c>
      <c r="D5" t="s">
        <v>20</v>
      </c>
      <c r="G5" s="13">
        <v>95514</v>
      </c>
      <c r="H5" s="4">
        <f>AVERAGEIF($A$2:$A$1501,"="&amp;G5,$C$2:$C$1501)</f>
        <v>2932</v>
      </c>
      <c r="J5" t="s">
        <v>20</v>
      </c>
      <c r="K5" s="4">
        <f>AVERAGEIF($D$2:$D$1501,"="&amp;J5,$C$2:$C$1501)</f>
        <v>2491.364185110664</v>
      </c>
    </row>
    <row r="6" spans="1:11" x14ac:dyDescent="0.35">
      <c r="A6">
        <v>22644</v>
      </c>
      <c r="B6" s="16">
        <v>45292</v>
      </c>
      <c r="C6" s="15">
        <v>4347</v>
      </c>
      <c r="D6" t="s">
        <v>22</v>
      </c>
      <c r="G6" s="13">
        <v>46134</v>
      </c>
      <c r="H6" s="4">
        <f t="shared" ref="H6:H69" si="0">AVERAGEIF($A$2:$A$1501,"="&amp;G6,$C$2:$C$1501)</f>
        <v>3765</v>
      </c>
      <c r="J6" t="s">
        <v>21</v>
      </c>
      <c r="K6" s="4">
        <f t="shared" ref="K6:K7" si="1">AVERAGEIF($D$2:$D$1501,"="&amp;J6,$C$2:$C$1501)</f>
        <v>2507.5647969052225</v>
      </c>
    </row>
    <row r="7" spans="1:11" x14ac:dyDescent="0.35">
      <c r="A7">
        <v>25013</v>
      </c>
      <c r="B7" s="16">
        <v>45292</v>
      </c>
      <c r="C7" s="15">
        <v>4343</v>
      </c>
      <c r="D7" t="s">
        <v>22</v>
      </c>
      <c r="G7" s="13">
        <v>64661</v>
      </c>
      <c r="H7" s="4">
        <f t="shared" si="0"/>
        <v>2587</v>
      </c>
      <c r="J7" t="s">
        <v>22</v>
      </c>
      <c r="K7" s="4">
        <f t="shared" si="1"/>
        <v>2473.0534979423869</v>
      </c>
    </row>
    <row r="8" spans="1:11" x14ac:dyDescent="0.35">
      <c r="A8">
        <v>19981</v>
      </c>
      <c r="B8" s="16">
        <v>45292</v>
      </c>
      <c r="C8" s="15">
        <v>4726</v>
      </c>
      <c r="D8" t="s">
        <v>21</v>
      </c>
      <c r="G8" s="13">
        <v>45322</v>
      </c>
      <c r="H8" s="4">
        <f t="shared" si="0"/>
        <v>4867</v>
      </c>
    </row>
    <row r="9" spans="1:11" x14ac:dyDescent="0.35">
      <c r="A9">
        <v>51408</v>
      </c>
      <c r="B9" s="16">
        <v>45292</v>
      </c>
      <c r="C9" s="15">
        <v>4572</v>
      </c>
      <c r="D9" t="s">
        <v>21</v>
      </c>
      <c r="G9" s="13">
        <v>22644</v>
      </c>
      <c r="H9" s="4">
        <f t="shared" si="0"/>
        <v>4347</v>
      </c>
    </row>
    <row r="10" spans="1:11" x14ac:dyDescent="0.35">
      <c r="A10">
        <v>80466</v>
      </c>
      <c r="B10" s="16">
        <v>45292</v>
      </c>
      <c r="C10" s="15">
        <v>4718</v>
      </c>
      <c r="D10" t="s">
        <v>21</v>
      </c>
      <c r="G10" s="13">
        <v>25013</v>
      </c>
      <c r="H10" s="4">
        <f t="shared" si="0"/>
        <v>4343</v>
      </c>
    </row>
    <row r="11" spans="1:11" x14ac:dyDescent="0.35">
      <c r="A11">
        <v>58701</v>
      </c>
      <c r="B11" s="16">
        <v>45292</v>
      </c>
      <c r="C11" s="15">
        <v>2424</v>
      </c>
      <c r="D11" t="s">
        <v>22</v>
      </c>
      <c r="G11" s="13">
        <v>19981</v>
      </c>
      <c r="H11" s="4">
        <f t="shared" si="0"/>
        <v>4726</v>
      </c>
    </row>
    <row r="12" spans="1:11" x14ac:dyDescent="0.35">
      <c r="A12">
        <v>19588</v>
      </c>
      <c r="B12" s="16">
        <v>45292</v>
      </c>
      <c r="C12" s="15">
        <v>1938</v>
      </c>
      <c r="D12" t="s">
        <v>21</v>
      </c>
      <c r="G12" s="13">
        <v>51408</v>
      </c>
      <c r="H12" s="4">
        <f t="shared" si="0"/>
        <v>4572</v>
      </c>
    </row>
    <row r="13" spans="1:11" x14ac:dyDescent="0.35">
      <c r="A13">
        <v>46448</v>
      </c>
      <c r="B13" s="16">
        <v>45292</v>
      </c>
      <c r="C13" s="15">
        <v>1911</v>
      </c>
      <c r="D13" t="s">
        <v>20</v>
      </c>
      <c r="G13" s="13">
        <v>80466</v>
      </c>
      <c r="H13" s="4">
        <f t="shared" si="0"/>
        <v>4718</v>
      </c>
    </row>
    <row r="14" spans="1:11" x14ac:dyDescent="0.35">
      <c r="A14">
        <v>29567</v>
      </c>
      <c r="B14" s="16">
        <v>45292</v>
      </c>
      <c r="C14" s="15">
        <v>1533</v>
      </c>
      <c r="D14" t="s">
        <v>22</v>
      </c>
      <c r="G14" s="13">
        <v>58701</v>
      </c>
      <c r="H14" s="4">
        <f t="shared" si="0"/>
        <v>2424</v>
      </c>
    </row>
    <row r="15" spans="1:11" x14ac:dyDescent="0.35">
      <c r="A15">
        <v>21906</v>
      </c>
      <c r="B15" s="16">
        <v>45292</v>
      </c>
      <c r="C15" s="15">
        <v>4962</v>
      </c>
      <c r="D15" t="s">
        <v>22</v>
      </c>
      <c r="G15" s="13">
        <v>19588</v>
      </c>
      <c r="H15" s="4">
        <f t="shared" si="0"/>
        <v>1938</v>
      </c>
    </row>
    <row r="16" spans="1:11" x14ac:dyDescent="0.35">
      <c r="A16">
        <v>82641</v>
      </c>
      <c r="B16" s="16">
        <v>45292</v>
      </c>
      <c r="C16" s="15">
        <v>4036</v>
      </c>
      <c r="D16" t="s">
        <v>22</v>
      </c>
      <c r="G16" s="13">
        <v>46448</v>
      </c>
      <c r="H16" s="4">
        <f t="shared" si="0"/>
        <v>1911</v>
      </c>
    </row>
    <row r="17" spans="1:8" x14ac:dyDescent="0.35">
      <c r="A17">
        <v>30600</v>
      </c>
      <c r="B17" s="16">
        <v>45292</v>
      </c>
      <c r="C17" s="15">
        <v>976</v>
      </c>
      <c r="D17" t="s">
        <v>21</v>
      </c>
      <c r="G17" s="13">
        <v>29567</v>
      </c>
      <c r="H17" s="4">
        <f t="shared" si="0"/>
        <v>1533</v>
      </c>
    </row>
    <row r="18" spans="1:8" x14ac:dyDescent="0.35">
      <c r="A18">
        <v>84885</v>
      </c>
      <c r="B18" s="16">
        <v>45292</v>
      </c>
      <c r="C18" s="15">
        <v>212</v>
      </c>
      <c r="D18" t="s">
        <v>21</v>
      </c>
      <c r="G18" s="13">
        <v>21906</v>
      </c>
      <c r="H18" s="4">
        <f t="shared" si="0"/>
        <v>4962</v>
      </c>
    </row>
    <row r="19" spans="1:8" x14ac:dyDescent="0.35">
      <c r="A19">
        <v>68040</v>
      </c>
      <c r="B19" s="16">
        <v>45292</v>
      </c>
      <c r="C19" s="15">
        <v>712</v>
      </c>
      <c r="D19" t="s">
        <v>20</v>
      </c>
      <c r="G19" s="13">
        <v>82641</v>
      </c>
      <c r="H19" s="4">
        <f t="shared" si="0"/>
        <v>4036</v>
      </c>
    </row>
    <row r="20" spans="1:8" x14ac:dyDescent="0.35">
      <c r="A20">
        <v>33947</v>
      </c>
      <c r="B20" s="16">
        <v>45292</v>
      </c>
      <c r="C20" s="15">
        <v>211</v>
      </c>
      <c r="D20" t="s">
        <v>21</v>
      </c>
      <c r="G20" s="13">
        <v>30600</v>
      </c>
      <c r="H20" s="4">
        <f t="shared" si="0"/>
        <v>976</v>
      </c>
    </row>
    <row r="21" spans="1:8" x14ac:dyDescent="0.35">
      <c r="A21">
        <v>34614</v>
      </c>
      <c r="B21" s="16">
        <v>45292</v>
      </c>
      <c r="C21" s="15">
        <v>1671</v>
      </c>
      <c r="D21" t="s">
        <v>20</v>
      </c>
      <c r="G21" s="13">
        <v>84885</v>
      </c>
      <c r="H21" s="4">
        <f t="shared" si="0"/>
        <v>212</v>
      </c>
    </row>
    <row r="22" spans="1:8" x14ac:dyDescent="0.35">
      <c r="A22">
        <v>81957</v>
      </c>
      <c r="B22" s="16">
        <v>45292</v>
      </c>
      <c r="C22" s="15">
        <v>2783</v>
      </c>
      <c r="D22" t="s">
        <v>20</v>
      </c>
      <c r="G22" s="13">
        <v>68040</v>
      </c>
      <c r="H22" s="4">
        <f t="shared" si="0"/>
        <v>712</v>
      </c>
    </row>
    <row r="23" spans="1:8" x14ac:dyDescent="0.35">
      <c r="A23">
        <v>87687</v>
      </c>
      <c r="B23" s="16">
        <v>45292</v>
      </c>
      <c r="C23" s="15">
        <v>3248</v>
      </c>
      <c r="D23" t="s">
        <v>22</v>
      </c>
      <c r="G23" s="13">
        <v>33947</v>
      </c>
      <c r="H23" s="4">
        <f t="shared" si="0"/>
        <v>211</v>
      </c>
    </row>
    <row r="24" spans="1:8" x14ac:dyDescent="0.35">
      <c r="A24">
        <v>90869</v>
      </c>
      <c r="B24" s="16">
        <v>45292</v>
      </c>
      <c r="C24" s="15">
        <v>1031</v>
      </c>
      <c r="D24" t="s">
        <v>21</v>
      </c>
      <c r="G24" s="13">
        <v>34614</v>
      </c>
      <c r="H24" s="4">
        <f t="shared" si="0"/>
        <v>1671</v>
      </c>
    </row>
    <row r="25" spans="1:8" x14ac:dyDescent="0.35">
      <c r="A25">
        <v>44056</v>
      </c>
      <c r="B25" s="16">
        <v>45292</v>
      </c>
      <c r="C25" s="15">
        <v>4410</v>
      </c>
      <c r="D25" t="s">
        <v>22</v>
      </c>
      <c r="G25" s="13">
        <v>81957</v>
      </c>
      <c r="H25" s="4">
        <f t="shared" si="0"/>
        <v>3133.5</v>
      </c>
    </row>
    <row r="26" spans="1:8" x14ac:dyDescent="0.35">
      <c r="A26">
        <v>95463</v>
      </c>
      <c r="B26" s="16">
        <v>45293</v>
      </c>
      <c r="C26" s="15">
        <v>1213</v>
      </c>
      <c r="D26" t="s">
        <v>22</v>
      </c>
      <c r="G26" s="13">
        <v>87687</v>
      </c>
      <c r="H26" s="4">
        <f t="shared" si="0"/>
        <v>3248</v>
      </c>
    </row>
    <row r="27" spans="1:8" x14ac:dyDescent="0.35">
      <c r="A27">
        <v>70069</v>
      </c>
      <c r="B27" s="16">
        <v>45293</v>
      </c>
      <c r="C27" s="15">
        <v>3129</v>
      </c>
      <c r="D27" t="s">
        <v>20</v>
      </c>
      <c r="G27" s="13">
        <v>90869</v>
      </c>
      <c r="H27" s="4">
        <f t="shared" si="0"/>
        <v>1031</v>
      </c>
    </row>
    <row r="28" spans="1:8" x14ac:dyDescent="0.35">
      <c r="A28">
        <v>70061</v>
      </c>
      <c r="B28" s="16">
        <v>45293</v>
      </c>
      <c r="C28" s="15">
        <v>3206</v>
      </c>
      <c r="D28" t="s">
        <v>20</v>
      </c>
      <c r="G28" s="13">
        <v>44056</v>
      </c>
      <c r="H28" s="4">
        <f t="shared" si="0"/>
        <v>4410</v>
      </c>
    </row>
    <row r="29" spans="1:8" x14ac:dyDescent="0.35">
      <c r="A29">
        <v>12184</v>
      </c>
      <c r="B29" s="16">
        <v>45293</v>
      </c>
      <c r="C29" s="15">
        <v>2806</v>
      </c>
      <c r="D29" t="s">
        <v>20</v>
      </c>
      <c r="G29" s="13">
        <v>95463</v>
      </c>
      <c r="H29" s="4">
        <f t="shared" si="0"/>
        <v>1213</v>
      </c>
    </row>
    <row r="30" spans="1:8" x14ac:dyDescent="0.35">
      <c r="A30">
        <v>21429</v>
      </c>
      <c r="B30" s="16">
        <v>45293</v>
      </c>
      <c r="C30" s="15">
        <v>2600</v>
      </c>
      <c r="D30" t="s">
        <v>21</v>
      </c>
      <c r="G30" s="13">
        <v>70069</v>
      </c>
      <c r="H30" s="4">
        <f t="shared" si="0"/>
        <v>3129</v>
      </c>
    </row>
    <row r="31" spans="1:8" x14ac:dyDescent="0.35">
      <c r="A31">
        <v>55962</v>
      </c>
      <c r="B31" s="16">
        <v>45293</v>
      </c>
      <c r="C31" s="15">
        <v>1717</v>
      </c>
      <c r="D31" t="s">
        <v>20</v>
      </c>
      <c r="G31" s="13">
        <v>70061</v>
      </c>
      <c r="H31" s="4">
        <f t="shared" si="0"/>
        <v>3206</v>
      </c>
    </row>
    <row r="32" spans="1:8" x14ac:dyDescent="0.35">
      <c r="A32">
        <v>12511</v>
      </c>
      <c r="B32" s="16">
        <v>45293</v>
      </c>
      <c r="C32" s="15">
        <v>2607</v>
      </c>
      <c r="D32" t="s">
        <v>21</v>
      </c>
      <c r="G32" s="13">
        <v>12184</v>
      </c>
      <c r="H32" s="4">
        <f t="shared" si="0"/>
        <v>2806</v>
      </c>
    </row>
    <row r="33" spans="1:8" x14ac:dyDescent="0.35">
      <c r="A33">
        <v>64989</v>
      </c>
      <c r="B33" s="16">
        <v>45293</v>
      </c>
      <c r="C33" s="15">
        <v>2154</v>
      </c>
      <c r="D33" t="s">
        <v>20</v>
      </c>
      <c r="G33" s="13">
        <v>21429</v>
      </c>
      <c r="H33" s="4">
        <f t="shared" si="0"/>
        <v>2600</v>
      </c>
    </row>
    <row r="34" spans="1:8" x14ac:dyDescent="0.35">
      <c r="A34">
        <v>49104</v>
      </c>
      <c r="B34" s="16">
        <v>45293</v>
      </c>
      <c r="C34" s="15">
        <v>3645</v>
      </c>
      <c r="D34" t="s">
        <v>21</v>
      </c>
      <c r="G34" s="13">
        <v>55962</v>
      </c>
      <c r="H34" s="4">
        <f t="shared" si="0"/>
        <v>1717</v>
      </c>
    </row>
    <row r="35" spans="1:8" x14ac:dyDescent="0.35">
      <c r="A35">
        <v>63373</v>
      </c>
      <c r="B35" s="16">
        <v>45293</v>
      </c>
      <c r="C35" s="15">
        <v>2176</v>
      </c>
      <c r="D35" t="s">
        <v>22</v>
      </c>
      <c r="G35" s="13">
        <v>12511</v>
      </c>
      <c r="H35" s="4">
        <f t="shared" si="0"/>
        <v>2607</v>
      </c>
    </row>
    <row r="36" spans="1:8" x14ac:dyDescent="0.35">
      <c r="A36">
        <v>77098</v>
      </c>
      <c r="B36" s="16">
        <v>45293</v>
      </c>
      <c r="C36" s="15">
        <v>3739</v>
      </c>
      <c r="D36" t="s">
        <v>21</v>
      </c>
      <c r="G36" s="13">
        <v>64989</v>
      </c>
      <c r="H36" s="4">
        <f t="shared" si="0"/>
        <v>2154</v>
      </c>
    </row>
    <row r="37" spans="1:8" x14ac:dyDescent="0.35">
      <c r="A37">
        <v>11850</v>
      </c>
      <c r="B37" s="16">
        <v>45293</v>
      </c>
      <c r="C37" s="15">
        <v>3025</v>
      </c>
      <c r="D37" t="s">
        <v>21</v>
      </c>
      <c r="G37" s="13">
        <v>49104</v>
      </c>
      <c r="H37" s="4">
        <f t="shared" si="0"/>
        <v>3645</v>
      </c>
    </row>
    <row r="38" spans="1:8" x14ac:dyDescent="0.35">
      <c r="A38">
        <v>71162</v>
      </c>
      <c r="B38" s="16">
        <v>45293</v>
      </c>
      <c r="C38" s="15">
        <v>1578</v>
      </c>
      <c r="D38" t="s">
        <v>20</v>
      </c>
      <c r="G38" s="13">
        <v>63373</v>
      </c>
      <c r="H38" s="4">
        <f t="shared" si="0"/>
        <v>2176</v>
      </c>
    </row>
    <row r="39" spans="1:8" x14ac:dyDescent="0.35">
      <c r="A39">
        <v>77876</v>
      </c>
      <c r="B39" s="16">
        <v>45293</v>
      </c>
      <c r="C39" s="15">
        <v>3401</v>
      </c>
      <c r="D39" t="s">
        <v>22</v>
      </c>
      <c r="G39" s="13">
        <v>77098</v>
      </c>
      <c r="H39" s="4">
        <f t="shared" si="0"/>
        <v>3739</v>
      </c>
    </row>
    <row r="40" spans="1:8" x14ac:dyDescent="0.35">
      <c r="A40">
        <v>89012</v>
      </c>
      <c r="B40" s="16">
        <v>45293</v>
      </c>
      <c r="C40" s="15">
        <v>2504</v>
      </c>
      <c r="D40" t="s">
        <v>20</v>
      </c>
      <c r="G40" s="13">
        <v>11850</v>
      </c>
      <c r="H40" s="4">
        <f t="shared" si="0"/>
        <v>3025</v>
      </c>
    </row>
    <row r="41" spans="1:8" x14ac:dyDescent="0.35">
      <c r="A41">
        <v>83889</v>
      </c>
      <c r="B41" s="16">
        <v>45293</v>
      </c>
      <c r="C41" s="15">
        <v>3985</v>
      </c>
      <c r="D41" t="s">
        <v>22</v>
      </c>
      <c r="G41" s="13">
        <v>71162</v>
      </c>
      <c r="H41" s="4">
        <f t="shared" si="0"/>
        <v>1578</v>
      </c>
    </row>
    <row r="42" spans="1:8" x14ac:dyDescent="0.35">
      <c r="A42">
        <v>52121</v>
      </c>
      <c r="B42" s="16">
        <v>45293</v>
      </c>
      <c r="C42" s="15">
        <v>2211</v>
      </c>
      <c r="D42" t="s">
        <v>20</v>
      </c>
      <c r="G42" s="13">
        <v>77876</v>
      </c>
      <c r="H42" s="4">
        <f t="shared" si="0"/>
        <v>3401</v>
      </c>
    </row>
    <row r="43" spans="1:8" x14ac:dyDescent="0.35">
      <c r="A43">
        <v>42550</v>
      </c>
      <c r="B43" s="16">
        <v>45293</v>
      </c>
      <c r="C43" s="15">
        <v>400</v>
      </c>
      <c r="D43" t="s">
        <v>22</v>
      </c>
      <c r="G43" s="13">
        <v>89012</v>
      </c>
      <c r="H43" s="4">
        <f t="shared" si="0"/>
        <v>2504</v>
      </c>
    </row>
    <row r="44" spans="1:8" x14ac:dyDescent="0.35">
      <c r="A44">
        <v>95604</v>
      </c>
      <c r="B44" s="16">
        <v>45293</v>
      </c>
      <c r="C44" s="15">
        <v>1887</v>
      </c>
      <c r="D44" t="s">
        <v>20</v>
      </c>
      <c r="G44" s="13">
        <v>83889</v>
      </c>
      <c r="H44" s="4">
        <f t="shared" si="0"/>
        <v>3985</v>
      </c>
    </row>
    <row r="45" spans="1:8" x14ac:dyDescent="0.35">
      <c r="A45">
        <v>61087</v>
      </c>
      <c r="B45" s="16">
        <v>45293</v>
      </c>
      <c r="C45" s="15">
        <v>2014</v>
      </c>
      <c r="D45" t="s">
        <v>22</v>
      </c>
      <c r="G45" s="13">
        <v>52121</v>
      </c>
      <c r="H45" s="4">
        <f t="shared" si="0"/>
        <v>2211</v>
      </c>
    </row>
    <row r="46" spans="1:8" x14ac:dyDescent="0.35">
      <c r="A46">
        <v>16385</v>
      </c>
      <c r="B46" s="16">
        <v>45293</v>
      </c>
      <c r="C46" s="15">
        <v>426</v>
      </c>
      <c r="D46" t="s">
        <v>20</v>
      </c>
      <c r="G46" s="13">
        <v>42550</v>
      </c>
      <c r="H46" s="4">
        <f t="shared" si="0"/>
        <v>400</v>
      </c>
    </row>
    <row r="47" spans="1:8" x14ac:dyDescent="0.35">
      <c r="A47">
        <v>89387</v>
      </c>
      <c r="B47" s="16">
        <v>45293</v>
      </c>
      <c r="C47" s="15">
        <v>1130</v>
      </c>
      <c r="D47" t="s">
        <v>22</v>
      </c>
      <c r="G47" s="13">
        <v>95604</v>
      </c>
      <c r="H47" s="4">
        <f t="shared" si="0"/>
        <v>1887</v>
      </c>
    </row>
    <row r="48" spans="1:8" x14ac:dyDescent="0.35">
      <c r="A48">
        <v>56970</v>
      </c>
      <c r="B48" s="16">
        <v>45293</v>
      </c>
      <c r="C48" s="15">
        <v>2247</v>
      </c>
      <c r="D48" t="s">
        <v>21</v>
      </c>
      <c r="G48" s="13">
        <v>61087</v>
      </c>
      <c r="H48" s="4">
        <f t="shared" si="0"/>
        <v>2014</v>
      </c>
    </row>
    <row r="49" spans="1:8" x14ac:dyDescent="0.35">
      <c r="A49">
        <v>82025</v>
      </c>
      <c r="B49" s="16">
        <v>45293</v>
      </c>
      <c r="C49" s="15">
        <v>2160</v>
      </c>
      <c r="D49" t="s">
        <v>21</v>
      </c>
      <c r="G49" s="13">
        <v>16385</v>
      </c>
      <c r="H49" s="4">
        <f t="shared" si="0"/>
        <v>426</v>
      </c>
    </row>
    <row r="50" spans="1:8" x14ac:dyDescent="0.35">
      <c r="A50">
        <v>39036</v>
      </c>
      <c r="B50" s="16">
        <v>45294</v>
      </c>
      <c r="C50" s="15">
        <v>3805</v>
      </c>
      <c r="D50" t="s">
        <v>20</v>
      </c>
      <c r="G50" s="13">
        <v>89387</v>
      </c>
      <c r="H50" s="4">
        <f t="shared" si="0"/>
        <v>1130</v>
      </c>
    </row>
    <row r="51" spans="1:8" x14ac:dyDescent="0.35">
      <c r="A51">
        <v>73268</v>
      </c>
      <c r="B51" s="16">
        <v>45294</v>
      </c>
      <c r="C51" s="15">
        <v>2153</v>
      </c>
      <c r="D51" t="s">
        <v>20</v>
      </c>
      <c r="G51" s="13">
        <v>56970</v>
      </c>
      <c r="H51" s="4">
        <f t="shared" si="0"/>
        <v>2247</v>
      </c>
    </row>
    <row r="52" spans="1:8" x14ac:dyDescent="0.35">
      <c r="A52">
        <v>71901</v>
      </c>
      <c r="B52" s="16">
        <v>45294</v>
      </c>
      <c r="C52" s="15">
        <v>2396</v>
      </c>
      <c r="D52" t="s">
        <v>22</v>
      </c>
      <c r="G52" s="13">
        <v>82025</v>
      </c>
      <c r="H52" s="4">
        <f t="shared" si="0"/>
        <v>2160</v>
      </c>
    </row>
    <row r="53" spans="1:8" x14ac:dyDescent="0.35">
      <c r="A53">
        <v>81346</v>
      </c>
      <c r="B53" s="16">
        <v>45294</v>
      </c>
      <c r="C53" s="15">
        <v>3781</v>
      </c>
      <c r="D53" t="s">
        <v>22</v>
      </c>
      <c r="G53" s="13">
        <v>39036</v>
      </c>
      <c r="H53" s="4">
        <f t="shared" si="0"/>
        <v>3805</v>
      </c>
    </row>
    <row r="54" spans="1:8" x14ac:dyDescent="0.35">
      <c r="A54">
        <v>88503</v>
      </c>
      <c r="B54" s="16">
        <v>45294</v>
      </c>
      <c r="C54" s="15">
        <v>4846</v>
      </c>
      <c r="D54" t="s">
        <v>21</v>
      </c>
      <c r="G54" s="13">
        <v>73268</v>
      </c>
      <c r="H54" s="4">
        <f t="shared" si="0"/>
        <v>2153</v>
      </c>
    </row>
    <row r="55" spans="1:8" x14ac:dyDescent="0.35">
      <c r="A55">
        <v>26917</v>
      </c>
      <c r="B55" s="16">
        <v>45294</v>
      </c>
      <c r="C55" s="15">
        <v>367</v>
      </c>
      <c r="D55" t="s">
        <v>22</v>
      </c>
      <c r="G55" s="13">
        <v>71901</v>
      </c>
      <c r="H55" s="4">
        <f t="shared" si="0"/>
        <v>2396</v>
      </c>
    </row>
    <row r="56" spans="1:8" x14ac:dyDescent="0.35">
      <c r="A56">
        <v>26751</v>
      </c>
      <c r="B56" s="16">
        <v>45294</v>
      </c>
      <c r="C56" s="15">
        <v>1416</v>
      </c>
      <c r="D56" t="s">
        <v>22</v>
      </c>
      <c r="G56" s="13">
        <v>81346</v>
      </c>
      <c r="H56" s="4">
        <f t="shared" si="0"/>
        <v>3781</v>
      </c>
    </row>
    <row r="57" spans="1:8" x14ac:dyDescent="0.35">
      <c r="A57">
        <v>22011</v>
      </c>
      <c r="B57" s="16">
        <v>45294</v>
      </c>
      <c r="C57" s="15">
        <v>4476</v>
      </c>
      <c r="D57" t="s">
        <v>21</v>
      </c>
      <c r="G57" s="13">
        <v>88503</v>
      </c>
      <c r="H57" s="4">
        <f t="shared" si="0"/>
        <v>4846</v>
      </c>
    </row>
    <row r="58" spans="1:8" x14ac:dyDescent="0.35">
      <c r="A58">
        <v>73149</v>
      </c>
      <c r="B58" s="16">
        <v>45294</v>
      </c>
      <c r="C58" s="15">
        <v>184</v>
      </c>
      <c r="D58" t="s">
        <v>21</v>
      </c>
      <c r="G58" s="13">
        <v>26917</v>
      </c>
      <c r="H58" s="4">
        <f t="shared" si="0"/>
        <v>367</v>
      </c>
    </row>
    <row r="59" spans="1:8" x14ac:dyDescent="0.35">
      <c r="A59">
        <v>27210</v>
      </c>
      <c r="B59" s="16">
        <v>45294</v>
      </c>
      <c r="C59" s="15">
        <v>1808</v>
      </c>
      <c r="D59" t="s">
        <v>20</v>
      </c>
      <c r="G59" s="13">
        <v>26751</v>
      </c>
      <c r="H59" s="4">
        <f t="shared" si="0"/>
        <v>1416</v>
      </c>
    </row>
    <row r="60" spans="1:8" x14ac:dyDescent="0.35">
      <c r="A60">
        <v>63793</v>
      </c>
      <c r="B60" s="16">
        <v>45294</v>
      </c>
      <c r="C60" s="15">
        <v>3888</v>
      </c>
      <c r="D60" t="s">
        <v>21</v>
      </c>
      <c r="G60" s="13">
        <v>22011</v>
      </c>
      <c r="H60" s="4">
        <f t="shared" si="0"/>
        <v>4476</v>
      </c>
    </row>
    <row r="61" spans="1:8" x14ac:dyDescent="0.35">
      <c r="A61">
        <v>79065</v>
      </c>
      <c r="B61" s="16">
        <v>45294</v>
      </c>
      <c r="C61" s="15">
        <v>2267</v>
      </c>
      <c r="D61" t="s">
        <v>20</v>
      </c>
      <c r="G61" s="13">
        <v>73149</v>
      </c>
      <c r="H61" s="4">
        <f t="shared" si="0"/>
        <v>184</v>
      </c>
    </row>
    <row r="62" spans="1:8" x14ac:dyDescent="0.35">
      <c r="A62">
        <v>31687</v>
      </c>
      <c r="B62" s="16">
        <v>45294</v>
      </c>
      <c r="C62" s="15">
        <v>2717</v>
      </c>
      <c r="D62" t="s">
        <v>22</v>
      </c>
      <c r="G62" s="13">
        <v>27210</v>
      </c>
      <c r="H62" s="4">
        <f t="shared" si="0"/>
        <v>1808</v>
      </c>
    </row>
    <row r="63" spans="1:8" x14ac:dyDescent="0.35">
      <c r="A63">
        <v>97266</v>
      </c>
      <c r="B63" s="16">
        <v>45294</v>
      </c>
      <c r="C63" s="15">
        <v>2413</v>
      </c>
      <c r="D63" t="s">
        <v>22</v>
      </c>
      <c r="G63" s="13">
        <v>63793</v>
      </c>
      <c r="H63" s="4">
        <f t="shared" si="0"/>
        <v>3888</v>
      </c>
    </row>
    <row r="64" spans="1:8" x14ac:dyDescent="0.35">
      <c r="A64">
        <v>94905</v>
      </c>
      <c r="B64" s="16">
        <v>45294</v>
      </c>
      <c r="C64" s="15">
        <v>126</v>
      </c>
      <c r="D64" t="s">
        <v>21</v>
      </c>
      <c r="G64" s="13">
        <v>79065</v>
      </c>
      <c r="H64" s="4">
        <f t="shared" si="0"/>
        <v>2267</v>
      </c>
    </row>
    <row r="65" spans="1:8" x14ac:dyDescent="0.35">
      <c r="A65">
        <v>31584</v>
      </c>
      <c r="B65" s="16">
        <v>45294</v>
      </c>
      <c r="C65" s="15">
        <v>632</v>
      </c>
      <c r="D65" t="s">
        <v>21</v>
      </c>
      <c r="G65" s="13">
        <v>31687</v>
      </c>
      <c r="H65" s="4">
        <f t="shared" si="0"/>
        <v>2717</v>
      </c>
    </row>
    <row r="66" spans="1:8" x14ac:dyDescent="0.35">
      <c r="A66">
        <v>98166</v>
      </c>
      <c r="B66" s="16">
        <v>45294</v>
      </c>
      <c r="C66" s="15">
        <v>1919</v>
      </c>
      <c r="D66" t="s">
        <v>21</v>
      </c>
      <c r="G66" s="13">
        <v>97266</v>
      </c>
      <c r="H66" s="4">
        <f t="shared" si="0"/>
        <v>2413</v>
      </c>
    </row>
    <row r="67" spans="1:8" x14ac:dyDescent="0.35">
      <c r="A67">
        <v>46563</v>
      </c>
      <c r="B67" s="16">
        <v>45294</v>
      </c>
      <c r="C67" s="15">
        <v>3043</v>
      </c>
      <c r="D67" t="s">
        <v>20</v>
      </c>
      <c r="G67" s="13">
        <v>94905</v>
      </c>
      <c r="H67" s="4">
        <f t="shared" si="0"/>
        <v>126</v>
      </c>
    </row>
    <row r="68" spans="1:8" x14ac:dyDescent="0.35">
      <c r="A68">
        <v>74281</v>
      </c>
      <c r="B68" s="16">
        <v>45294</v>
      </c>
      <c r="C68" s="15">
        <v>4212</v>
      </c>
      <c r="D68" t="s">
        <v>21</v>
      </c>
      <c r="G68" s="13">
        <v>31584</v>
      </c>
      <c r="H68" s="4">
        <f t="shared" si="0"/>
        <v>632</v>
      </c>
    </row>
    <row r="69" spans="1:8" x14ac:dyDescent="0.35">
      <c r="A69">
        <v>37709</v>
      </c>
      <c r="B69" s="16">
        <v>45294</v>
      </c>
      <c r="C69" s="15">
        <v>1536</v>
      </c>
      <c r="D69" t="s">
        <v>20</v>
      </c>
      <c r="G69" s="13">
        <v>98166</v>
      </c>
      <c r="H69" s="4">
        <f t="shared" si="0"/>
        <v>1919</v>
      </c>
    </row>
    <row r="70" spans="1:8" x14ac:dyDescent="0.35">
      <c r="A70">
        <v>61733</v>
      </c>
      <c r="B70" s="16">
        <v>45294</v>
      </c>
      <c r="C70" s="15">
        <v>408</v>
      </c>
      <c r="D70" t="s">
        <v>21</v>
      </c>
      <c r="G70" s="13">
        <v>46563</v>
      </c>
      <c r="H70" s="4">
        <f t="shared" ref="H70:H133" si="2">AVERAGEIF($A$2:$A$1501,"="&amp;G70,$C$2:$C$1501)</f>
        <v>3043</v>
      </c>
    </row>
    <row r="71" spans="1:8" x14ac:dyDescent="0.35">
      <c r="A71">
        <v>87947</v>
      </c>
      <c r="B71" s="16">
        <v>45294</v>
      </c>
      <c r="C71" s="15">
        <v>4262</v>
      </c>
      <c r="D71" t="s">
        <v>20</v>
      </c>
      <c r="G71" s="13">
        <v>74281</v>
      </c>
      <c r="H71" s="4">
        <f t="shared" si="2"/>
        <v>4212</v>
      </c>
    </row>
    <row r="72" spans="1:8" x14ac:dyDescent="0.35">
      <c r="A72">
        <v>60318</v>
      </c>
      <c r="B72" s="16">
        <v>45294</v>
      </c>
      <c r="C72" s="15">
        <v>3010</v>
      </c>
      <c r="D72" t="s">
        <v>22</v>
      </c>
      <c r="G72" s="13">
        <v>37709</v>
      </c>
      <c r="H72" s="4">
        <f t="shared" si="2"/>
        <v>1536</v>
      </c>
    </row>
    <row r="73" spans="1:8" x14ac:dyDescent="0.35">
      <c r="A73">
        <v>50946</v>
      </c>
      <c r="B73" s="16">
        <v>45294</v>
      </c>
      <c r="C73" s="15">
        <v>483</v>
      </c>
      <c r="D73" t="s">
        <v>22</v>
      </c>
      <c r="G73" s="13">
        <v>61733</v>
      </c>
      <c r="H73" s="4">
        <f t="shared" si="2"/>
        <v>408</v>
      </c>
    </row>
    <row r="74" spans="1:8" x14ac:dyDescent="0.35">
      <c r="A74">
        <v>67970</v>
      </c>
      <c r="B74" s="16">
        <v>45295</v>
      </c>
      <c r="C74" s="15">
        <v>4261</v>
      </c>
      <c r="D74" t="s">
        <v>20</v>
      </c>
      <c r="G74" s="13">
        <v>87947</v>
      </c>
      <c r="H74" s="4">
        <f t="shared" si="2"/>
        <v>4262</v>
      </c>
    </row>
    <row r="75" spans="1:8" x14ac:dyDescent="0.35">
      <c r="A75">
        <v>48731</v>
      </c>
      <c r="B75" s="16">
        <v>45295</v>
      </c>
      <c r="C75" s="15">
        <v>4377</v>
      </c>
      <c r="D75" t="s">
        <v>22</v>
      </c>
      <c r="G75" s="13">
        <v>60318</v>
      </c>
      <c r="H75" s="4">
        <f t="shared" si="2"/>
        <v>3010</v>
      </c>
    </row>
    <row r="76" spans="1:8" x14ac:dyDescent="0.35">
      <c r="A76">
        <v>67269</v>
      </c>
      <c r="B76" s="16">
        <v>45295</v>
      </c>
      <c r="C76" s="15">
        <v>2787</v>
      </c>
      <c r="D76" t="s">
        <v>20</v>
      </c>
      <c r="G76" s="13">
        <v>50946</v>
      </c>
      <c r="H76" s="4">
        <f t="shared" si="2"/>
        <v>483</v>
      </c>
    </row>
    <row r="77" spans="1:8" x14ac:dyDescent="0.35">
      <c r="A77">
        <v>80849</v>
      </c>
      <c r="B77" s="16">
        <v>45295</v>
      </c>
      <c r="C77" s="15">
        <v>3021</v>
      </c>
      <c r="D77" t="s">
        <v>22</v>
      </c>
      <c r="G77" s="13">
        <v>67970</v>
      </c>
      <c r="H77" s="4">
        <f t="shared" si="2"/>
        <v>4261</v>
      </c>
    </row>
    <row r="78" spans="1:8" x14ac:dyDescent="0.35">
      <c r="A78">
        <v>54848</v>
      </c>
      <c r="B78" s="16">
        <v>45295</v>
      </c>
      <c r="C78" s="15">
        <v>1899</v>
      </c>
      <c r="D78" t="s">
        <v>21</v>
      </c>
      <c r="G78" s="13">
        <v>48731</v>
      </c>
      <c r="H78" s="4">
        <f t="shared" si="2"/>
        <v>4377</v>
      </c>
    </row>
    <row r="79" spans="1:8" x14ac:dyDescent="0.35">
      <c r="A79">
        <v>38268</v>
      </c>
      <c r="B79" s="16">
        <v>45295</v>
      </c>
      <c r="C79" s="15">
        <v>1064</v>
      </c>
      <c r="D79" t="s">
        <v>22</v>
      </c>
      <c r="G79" s="13">
        <v>67269</v>
      </c>
      <c r="H79" s="4">
        <f t="shared" si="2"/>
        <v>2787</v>
      </c>
    </row>
    <row r="80" spans="1:8" x14ac:dyDescent="0.35">
      <c r="A80">
        <v>63227</v>
      </c>
      <c r="B80" s="16">
        <v>45295</v>
      </c>
      <c r="C80" s="15">
        <v>1935</v>
      </c>
      <c r="D80" t="s">
        <v>20</v>
      </c>
      <c r="G80" s="13">
        <v>80849</v>
      </c>
      <c r="H80" s="4">
        <f t="shared" si="2"/>
        <v>3021</v>
      </c>
    </row>
    <row r="81" spans="1:8" x14ac:dyDescent="0.35">
      <c r="A81">
        <v>35225</v>
      </c>
      <c r="B81" s="16">
        <v>45295</v>
      </c>
      <c r="C81" s="15">
        <v>1072</v>
      </c>
      <c r="D81" t="s">
        <v>22</v>
      </c>
      <c r="G81" s="13">
        <v>54848</v>
      </c>
      <c r="H81" s="4">
        <f t="shared" si="2"/>
        <v>1899</v>
      </c>
    </row>
    <row r="82" spans="1:8" x14ac:dyDescent="0.35">
      <c r="A82">
        <v>40680</v>
      </c>
      <c r="B82" s="16">
        <v>45295</v>
      </c>
      <c r="C82" s="15">
        <v>1358</v>
      </c>
      <c r="D82" t="s">
        <v>22</v>
      </c>
      <c r="G82" s="13">
        <v>38268</v>
      </c>
      <c r="H82" s="4">
        <f t="shared" si="2"/>
        <v>1064</v>
      </c>
    </row>
    <row r="83" spans="1:8" x14ac:dyDescent="0.35">
      <c r="A83">
        <v>31698</v>
      </c>
      <c r="B83" s="16">
        <v>45295</v>
      </c>
      <c r="C83" s="15">
        <v>2188</v>
      </c>
      <c r="D83" t="s">
        <v>22</v>
      </c>
      <c r="G83" s="13">
        <v>63227</v>
      </c>
      <c r="H83" s="4">
        <f t="shared" si="2"/>
        <v>1935</v>
      </c>
    </row>
    <row r="84" spans="1:8" x14ac:dyDescent="0.35">
      <c r="A84">
        <v>66763</v>
      </c>
      <c r="B84" s="16">
        <v>45295</v>
      </c>
      <c r="C84" s="15">
        <v>2198</v>
      </c>
      <c r="D84" t="s">
        <v>20</v>
      </c>
      <c r="G84" s="13">
        <v>35225</v>
      </c>
      <c r="H84" s="4">
        <f t="shared" si="2"/>
        <v>1072</v>
      </c>
    </row>
    <row r="85" spans="1:8" x14ac:dyDescent="0.35">
      <c r="A85">
        <v>33795</v>
      </c>
      <c r="B85" s="16">
        <v>45295</v>
      </c>
      <c r="C85" s="15">
        <v>747</v>
      </c>
      <c r="D85" t="s">
        <v>20</v>
      </c>
      <c r="G85" s="13">
        <v>40680</v>
      </c>
      <c r="H85" s="4">
        <f t="shared" si="2"/>
        <v>1358</v>
      </c>
    </row>
    <row r="86" spans="1:8" x14ac:dyDescent="0.35">
      <c r="A86">
        <v>71991</v>
      </c>
      <c r="B86" s="16">
        <v>45295</v>
      </c>
      <c r="C86" s="15">
        <v>3837</v>
      </c>
      <c r="D86" t="s">
        <v>21</v>
      </c>
      <c r="G86" s="13">
        <v>31698</v>
      </c>
      <c r="H86" s="4">
        <f t="shared" si="2"/>
        <v>2188</v>
      </c>
    </row>
    <row r="87" spans="1:8" x14ac:dyDescent="0.35">
      <c r="A87">
        <v>14322</v>
      </c>
      <c r="B87" s="16">
        <v>45295</v>
      </c>
      <c r="C87" s="15">
        <v>1690</v>
      </c>
      <c r="D87" t="s">
        <v>20</v>
      </c>
      <c r="G87" s="13">
        <v>66763</v>
      </c>
      <c r="H87" s="4">
        <f t="shared" si="2"/>
        <v>2198</v>
      </c>
    </row>
    <row r="88" spans="1:8" x14ac:dyDescent="0.35">
      <c r="A88">
        <v>36871</v>
      </c>
      <c r="B88" s="16">
        <v>45295</v>
      </c>
      <c r="C88" s="15">
        <v>3782</v>
      </c>
      <c r="D88" t="s">
        <v>20</v>
      </c>
      <c r="G88" s="13">
        <v>33795</v>
      </c>
      <c r="H88" s="4">
        <f t="shared" si="2"/>
        <v>747</v>
      </c>
    </row>
    <row r="89" spans="1:8" x14ac:dyDescent="0.35">
      <c r="A89">
        <v>85790</v>
      </c>
      <c r="B89" s="16">
        <v>45295</v>
      </c>
      <c r="C89" s="15">
        <v>1675</v>
      </c>
      <c r="D89" t="s">
        <v>20</v>
      </c>
      <c r="G89" s="13">
        <v>71991</v>
      </c>
      <c r="H89" s="4">
        <f t="shared" si="2"/>
        <v>3837</v>
      </c>
    </row>
    <row r="90" spans="1:8" x14ac:dyDescent="0.35">
      <c r="A90">
        <v>71856</v>
      </c>
      <c r="B90" s="16">
        <v>45295</v>
      </c>
      <c r="C90" s="15">
        <v>1083</v>
      </c>
      <c r="D90" t="s">
        <v>20</v>
      </c>
      <c r="G90" s="13">
        <v>14322</v>
      </c>
      <c r="H90" s="4">
        <f t="shared" si="2"/>
        <v>1690</v>
      </c>
    </row>
    <row r="91" spans="1:8" x14ac:dyDescent="0.35">
      <c r="A91">
        <v>35166</v>
      </c>
      <c r="B91" s="16">
        <v>45295</v>
      </c>
      <c r="C91" s="15">
        <v>1839</v>
      </c>
      <c r="D91" t="s">
        <v>21</v>
      </c>
      <c r="G91" s="13">
        <v>36871</v>
      </c>
      <c r="H91" s="4">
        <f t="shared" si="2"/>
        <v>3782</v>
      </c>
    </row>
    <row r="92" spans="1:8" x14ac:dyDescent="0.35">
      <c r="A92">
        <v>47827</v>
      </c>
      <c r="B92" s="16">
        <v>45295</v>
      </c>
      <c r="C92" s="15">
        <v>3077</v>
      </c>
      <c r="D92" t="s">
        <v>22</v>
      </c>
      <c r="G92" s="13">
        <v>85790</v>
      </c>
      <c r="H92" s="4">
        <f t="shared" si="2"/>
        <v>1675</v>
      </c>
    </row>
    <row r="93" spans="1:8" x14ac:dyDescent="0.35">
      <c r="A93">
        <v>84606</v>
      </c>
      <c r="B93" s="16">
        <v>45295</v>
      </c>
      <c r="C93" s="15">
        <v>144</v>
      </c>
      <c r="D93" t="s">
        <v>20</v>
      </c>
      <c r="G93" s="13">
        <v>71856</v>
      </c>
      <c r="H93" s="4">
        <f t="shared" si="2"/>
        <v>1083</v>
      </c>
    </row>
    <row r="94" spans="1:8" x14ac:dyDescent="0.35">
      <c r="A94">
        <v>24995</v>
      </c>
      <c r="B94" s="16">
        <v>45295</v>
      </c>
      <c r="C94" s="15">
        <v>1383</v>
      </c>
      <c r="D94" t="s">
        <v>21</v>
      </c>
      <c r="G94" s="13">
        <v>35166</v>
      </c>
      <c r="H94" s="4">
        <f t="shared" si="2"/>
        <v>1839</v>
      </c>
    </row>
    <row r="95" spans="1:8" x14ac:dyDescent="0.35">
      <c r="A95">
        <v>82378</v>
      </c>
      <c r="B95" s="16">
        <v>45295</v>
      </c>
      <c r="C95" s="15">
        <v>2209</v>
      </c>
      <c r="D95" t="s">
        <v>21</v>
      </c>
      <c r="G95" s="13">
        <v>47827</v>
      </c>
      <c r="H95" s="4">
        <f t="shared" si="2"/>
        <v>3077</v>
      </c>
    </row>
    <row r="96" spans="1:8" x14ac:dyDescent="0.35">
      <c r="A96">
        <v>64017</v>
      </c>
      <c r="B96" s="16">
        <v>45295</v>
      </c>
      <c r="C96" s="15">
        <v>879</v>
      </c>
      <c r="D96" t="s">
        <v>20</v>
      </c>
      <c r="G96" s="13">
        <v>84606</v>
      </c>
      <c r="H96" s="4">
        <f t="shared" si="2"/>
        <v>144</v>
      </c>
    </row>
    <row r="97" spans="1:8" x14ac:dyDescent="0.35">
      <c r="A97">
        <v>24822</v>
      </c>
      <c r="B97" s="16">
        <v>45295</v>
      </c>
      <c r="C97" s="15">
        <v>3749</v>
      </c>
      <c r="D97" t="s">
        <v>20</v>
      </c>
      <c r="G97" s="13">
        <v>24995</v>
      </c>
      <c r="H97" s="4">
        <f t="shared" si="2"/>
        <v>1383</v>
      </c>
    </row>
    <row r="98" spans="1:8" x14ac:dyDescent="0.35">
      <c r="A98">
        <v>66432</v>
      </c>
      <c r="B98" s="16">
        <v>45296</v>
      </c>
      <c r="C98" s="15">
        <v>4047</v>
      </c>
      <c r="D98" t="s">
        <v>22</v>
      </c>
      <c r="G98" s="13">
        <v>82378</v>
      </c>
      <c r="H98" s="4">
        <f t="shared" si="2"/>
        <v>2209</v>
      </c>
    </row>
    <row r="99" spans="1:8" x14ac:dyDescent="0.35">
      <c r="A99">
        <v>63119</v>
      </c>
      <c r="B99" s="16">
        <v>45296</v>
      </c>
      <c r="C99" s="15">
        <v>2601</v>
      </c>
      <c r="D99" t="s">
        <v>21</v>
      </c>
      <c r="G99" s="13">
        <v>64017</v>
      </c>
      <c r="H99" s="4">
        <f t="shared" si="2"/>
        <v>879</v>
      </c>
    </row>
    <row r="100" spans="1:8" x14ac:dyDescent="0.35">
      <c r="A100">
        <v>68095</v>
      </c>
      <c r="B100" s="16">
        <v>45296</v>
      </c>
      <c r="C100" s="15">
        <v>2371</v>
      </c>
      <c r="D100" t="s">
        <v>22</v>
      </c>
      <c r="G100" s="13">
        <v>24822</v>
      </c>
      <c r="H100" s="4">
        <f t="shared" si="2"/>
        <v>3749</v>
      </c>
    </row>
    <row r="101" spans="1:8" x14ac:dyDescent="0.35">
      <c r="A101">
        <v>66644</v>
      </c>
      <c r="B101" s="16">
        <v>45296</v>
      </c>
      <c r="C101" s="15">
        <v>3605</v>
      </c>
      <c r="D101" t="s">
        <v>22</v>
      </c>
      <c r="G101" s="13">
        <v>66432</v>
      </c>
      <c r="H101" s="4">
        <f t="shared" si="2"/>
        <v>4047</v>
      </c>
    </row>
    <row r="102" spans="1:8" x14ac:dyDescent="0.35">
      <c r="A102">
        <v>93839</v>
      </c>
      <c r="B102" s="16">
        <v>45296</v>
      </c>
      <c r="C102" s="15">
        <v>4233</v>
      </c>
      <c r="D102" t="s">
        <v>22</v>
      </c>
      <c r="G102" s="13">
        <v>63119</v>
      </c>
      <c r="H102" s="4">
        <f t="shared" si="2"/>
        <v>2601</v>
      </c>
    </row>
    <row r="103" spans="1:8" x14ac:dyDescent="0.35">
      <c r="A103">
        <v>94904</v>
      </c>
      <c r="B103" s="16">
        <v>45296</v>
      </c>
      <c r="C103" s="15">
        <v>4733</v>
      </c>
      <c r="D103" t="s">
        <v>22</v>
      </c>
      <c r="G103" s="13">
        <v>68095</v>
      </c>
      <c r="H103" s="4">
        <f t="shared" si="2"/>
        <v>2371</v>
      </c>
    </row>
    <row r="104" spans="1:8" x14ac:dyDescent="0.35">
      <c r="A104">
        <v>29962</v>
      </c>
      <c r="B104" s="16">
        <v>45296</v>
      </c>
      <c r="C104" s="15">
        <v>2328</v>
      </c>
      <c r="D104" t="s">
        <v>22</v>
      </c>
      <c r="G104" s="13">
        <v>66644</v>
      </c>
      <c r="H104" s="4">
        <f t="shared" si="2"/>
        <v>3605</v>
      </c>
    </row>
    <row r="105" spans="1:8" x14ac:dyDescent="0.35">
      <c r="A105">
        <v>14462</v>
      </c>
      <c r="B105" s="16">
        <v>45296</v>
      </c>
      <c r="C105" s="15">
        <v>758</v>
      </c>
      <c r="D105" t="s">
        <v>20</v>
      </c>
      <c r="G105" s="13">
        <v>93839</v>
      </c>
      <c r="H105" s="4">
        <f t="shared" si="2"/>
        <v>4233</v>
      </c>
    </row>
    <row r="106" spans="1:8" x14ac:dyDescent="0.35">
      <c r="A106">
        <v>98036</v>
      </c>
      <c r="B106" s="16">
        <v>45296</v>
      </c>
      <c r="C106" s="15">
        <v>4863</v>
      </c>
      <c r="D106" t="s">
        <v>22</v>
      </c>
      <c r="G106" s="13">
        <v>94904</v>
      </c>
      <c r="H106" s="4">
        <f t="shared" si="2"/>
        <v>4733</v>
      </c>
    </row>
    <row r="107" spans="1:8" x14ac:dyDescent="0.35">
      <c r="A107">
        <v>91379</v>
      </c>
      <c r="B107" s="16">
        <v>45296</v>
      </c>
      <c r="C107" s="15">
        <v>2731</v>
      </c>
      <c r="D107" t="s">
        <v>22</v>
      </c>
      <c r="G107" s="13">
        <v>29962</v>
      </c>
      <c r="H107" s="4">
        <f t="shared" si="2"/>
        <v>2328</v>
      </c>
    </row>
    <row r="108" spans="1:8" x14ac:dyDescent="0.35">
      <c r="A108">
        <v>41027</v>
      </c>
      <c r="B108" s="16">
        <v>45296</v>
      </c>
      <c r="C108" s="15">
        <v>3589</v>
      </c>
      <c r="D108" t="s">
        <v>21</v>
      </c>
      <c r="G108" s="13">
        <v>14462</v>
      </c>
      <c r="H108" s="4">
        <f t="shared" si="2"/>
        <v>758</v>
      </c>
    </row>
    <row r="109" spans="1:8" x14ac:dyDescent="0.35">
      <c r="A109">
        <v>33777</v>
      </c>
      <c r="B109" s="16">
        <v>45296</v>
      </c>
      <c r="C109" s="15">
        <v>3590</v>
      </c>
      <c r="D109" t="s">
        <v>21</v>
      </c>
      <c r="G109" s="13">
        <v>98036</v>
      </c>
      <c r="H109" s="4">
        <f t="shared" si="2"/>
        <v>4863</v>
      </c>
    </row>
    <row r="110" spans="1:8" x14ac:dyDescent="0.35">
      <c r="A110">
        <v>36249</v>
      </c>
      <c r="B110" s="16">
        <v>45296</v>
      </c>
      <c r="C110" s="15">
        <v>923</v>
      </c>
      <c r="D110" t="s">
        <v>21</v>
      </c>
      <c r="G110" s="13">
        <v>91379</v>
      </c>
      <c r="H110" s="4">
        <f t="shared" si="2"/>
        <v>2731</v>
      </c>
    </row>
    <row r="111" spans="1:8" x14ac:dyDescent="0.35">
      <c r="A111">
        <v>88135</v>
      </c>
      <c r="B111" s="16">
        <v>45296</v>
      </c>
      <c r="C111" s="15">
        <v>2562</v>
      </c>
      <c r="D111" t="s">
        <v>22</v>
      </c>
      <c r="G111" s="13">
        <v>41027</v>
      </c>
      <c r="H111" s="4">
        <f t="shared" si="2"/>
        <v>3589</v>
      </c>
    </row>
    <row r="112" spans="1:8" x14ac:dyDescent="0.35">
      <c r="A112">
        <v>53705</v>
      </c>
      <c r="B112" s="16">
        <v>45296</v>
      </c>
      <c r="C112" s="15">
        <v>1215</v>
      </c>
      <c r="D112" t="s">
        <v>22</v>
      </c>
      <c r="G112" s="13">
        <v>33777</v>
      </c>
      <c r="H112" s="4">
        <f t="shared" si="2"/>
        <v>3590</v>
      </c>
    </row>
    <row r="113" spans="1:8" x14ac:dyDescent="0.35">
      <c r="A113">
        <v>41716</v>
      </c>
      <c r="B113" s="16">
        <v>45296</v>
      </c>
      <c r="C113" s="15">
        <v>3260</v>
      </c>
      <c r="D113" t="s">
        <v>21</v>
      </c>
      <c r="G113" s="13">
        <v>36249</v>
      </c>
      <c r="H113" s="4">
        <f t="shared" si="2"/>
        <v>923</v>
      </c>
    </row>
    <row r="114" spans="1:8" x14ac:dyDescent="0.35">
      <c r="A114">
        <v>36371</v>
      </c>
      <c r="B114" s="16">
        <v>45296</v>
      </c>
      <c r="C114" s="15">
        <v>1501</v>
      </c>
      <c r="D114" t="s">
        <v>21</v>
      </c>
      <c r="G114" s="13">
        <v>88135</v>
      </c>
      <c r="H114" s="4">
        <f t="shared" si="2"/>
        <v>2562</v>
      </c>
    </row>
    <row r="115" spans="1:8" x14ac:dyDescent="0.35">
      <c r="A115">
        <v>41128</v>
      </c>
      <c r="B115" s="16">
        <v>45296</v>
      </c>
      <c r="C115" s="15">
        <v>2594</v>
      </c>
      <c r="D115" t="s">
        <v>20</v>
      </c>
      <c r="G115" s="13">
        <v>53705</v>
      </c>
      <c r="H115" s="4">
        <f t="shared" si="2"/>
        <v>1215</v>
      </c>
    </row>
    <row r="116" spans="1:8" x14ac:dyDescent="0.35">
      <c r="A116">
        <v>69363</v>
      </c>
      <c r="B116" s="16">
        <v>45296</v>
      </c>
      <c r="C116" s="15">
        <v>4595</v>
      </c>
      <c r="D116" t="s">
        <v>22</v>
      </c>
      <c r="G116" s="13">
        <v>41716</v>
      </c>
      <c r="H116" s="4">
        <f t="shared" si="2"/>
        <v>1946.5</v>
      </c>
    </row>
    <row r="117" spans="1:8" x14ac:dyDescent="0.35">
      <c r="A117">
        <v>28935</v>
      </c>
      <c r="B117" s="16">
        <v>45296</v>
      </c>
      <c r="C117" s="15">
        <v>2423</v>
      </c>
      <c r="D117" t="s">
        <v>20</v>
      </c>
      <c r="G117" s="13">
        <v>36371</v>
      </c>
      <c r="H117" s="4">
        <f t="shared" si="2"/>
        <v>1501</v>
      </c>
    </row>
    <row r="118" spans="1:8" x14ac:dyDescent="0.35">
      <c r="A118">
        <v>93133</v>
      </c>
      <c r="B118" s="16">
        <v>45296</v>
      </c>
      <c r="C118" s="15">
        <v>175</v>
      </c>
      <c r="D118" t="s">
        <v>21</v>
      </c>
      <c r="G118" s="13">
        <v>41128</v>
      </c>
      <c r="H118" s="4">
        <f t="shared" si="2"/>
        <v>2594</v>
      </c>
    </row>
    <row r="119" spans="1:8" x14ac:dyDescent="0.35">
      <c r="A119">
        <v>55279</v>
      </c>
      <c r="B119" s="16">
        <v>45296</v>
      </c>
      <c r="C119" s="15">
        <v>3082</v>
      </c>
      <c r="D119" t="s">
        <v>20</v>
      </c>
      <c r="G119" s="13">
        <v>69363</v>
      </c>
      <c r="H119" s="4">
        <f t="shared" si="2"/>
        <v>4595</v>
      </c>
    </row>
    <row r="120" spans="1:8" x14ac:dyDescent="0.35">
      <c r="A120">
        <v>98076</v>
      </c>
      <c r="B120" s="16">
        <v>45296</v>
      </c>
      <c r="C120" s="15">
        <v>4027</v>
      </c>
      <c r="D120" t="s">
        <v>22</v>
      </c>
      <c r="G120" s="13">
        <v>28935</v>
      </c>
      <c r="H120" s="4">
        <f t="shared" si="2"/>
        <v>2423</v>
      </c>
    </row>
    <row r="121" spans="1:8" x14ac:dyDescent="0.35">
      <c r="A121">
        <v>62627</v>
      </c>
      <c r="B121" s="16">
        <v>45296</v>
      </c>
      <c r="C121" s="15">
        <v>1918</v>
      </c>
      <c r="D121" t="s">
        <v>21</v>
      </c>
      <c r="G121" s="13">
        <v>93133</v>
      </c>
      <c r="H121" s="4">
        <f t="shared" si="2"/>
        <v>175</v>
      </c>
    </row>
    <row r="122" spans="1:8" x14ac:dyDescent="0.35">
      <c r="A122">
        <v>32118</v>
      </c>
      <c r="B122" s="16">
        <v>45297</v>
      </c>
      <c r="C122" s="15">
        <v>4938</v>
      </c>
      <c r="D122" t="s">
        <v>21</v>
      </c>
      <c r="G122" s="13">
        <v>55279</v>
      </c>
      <c r="H122" s="4">
        <f t="shared" si="2"/>
        <v>3082</v>
      </c>
    </row>
    <row r="123" spans="1:8" x14ac:dyDescent="0.35">
      <c r="A123">
        <v>84104</v>
      </c>
      <c r="B123" s="16">
        <v>45297</v>
      </c>
      <c r="C123" s="15">
        <v>1572</v>
      </c>
      <c r="D123" t="s">
        <v>20</v>
      </c>
      <c r="G123" s="13">
        <v>98076</v>
      </c>
      <c r="H123" s="4">
        <f t="shared" si="2"/>
        <v>4027</v>
      </c>
    </row>
    <row r="124" spans="1:8" x14ac:dyDescent="0.35">
      <c r="A124">
        <v>32443</v>
      </c>
      <c r="B124" s="16">
        <v>45297</v>
      </c>
      <c r="C124" s="15">
        <v>2090</v>
      </c>
      <c r="D124" t="s">
        <v>21</v>
      </c>
      <c r="G124" s="13">
        <v>62627</v>
      </c>
      <c r="H124" s="4">
        <f t="shared" si="2"/>
        <v>1918</v>
      </c>
    </row>
    <row r="125" spans="1:8" x14ac:dyDescent="0.35">
      <c r="A125">
        <v>37198</v>
      </c>
      <c r="B125" s="16">
        <v>45297</v>
      </c>
      <c r="C125" s="15">
        <v>545</v>
      </c>
      <c r="D125" t="s">
        <v>21</v>
      </c>
      <c r="G125" s="13">
        <v>32118</v>
      </c>
      <c r="H125" s="4">
        <f t="shared" si="2"/>
        <v>4938</v>
      </c>
    </row>
    <row r="126" spans="1:8" x14ac:dyDescent="0.35">
      <c r="A126">
        <v>44186</v>
      </c>
      <c r="B126" s="16">
        <v>45297</v>
      </c>
      <c r="C126" s="15">
        <v>2577</v>
      </c>
      <c r="D126" t="s">
        <v>20</v>
      </c>
      <c r="G126" s="13">
        <v>84104</v>
      </c>
      <c r="H126" s="4">
        <f t="shared" si="2"/>
        <v>1572</v>
      </c>
    </row>
    <row r="127" spans="1:8" x14ac:dyDescent="0.35">
      <c r="A127">
        <v>41249</v>
      </c>
      <c r="B127" s="16">
        <v>45297</v>
      </c>
      <c r="C127" s="15">
        <v>3726</v>
      </c>
      <c r="D127" t="s">
        <v>22</v>
      </c>
      <c r="G127" s="13">
        <v>32443</v>
      </c>
      <c r="H127" s="4">
        <f t="shared" si="2"/>
        <v>2090</v>
      </c>
    </row>
    <row r="128" spans="1:8" x14ac:dyDescent="0.35">
      <c r="A128">
        <v>86676</v>
      </c>
      <c r="B128" s="16">
        <v>45297</v>
      </c>
      <c r="C128" s="15">
        <v>643</v>
      </c>
      <c r="D128" t="s">
        <v>22</v>
      </c>
      <c r="G128" s="13">
        <v>37198</v>
      </c>
      <c r="H128" s="4">
        <f t="shared" si="2"/>
        <v>545</v>
      </c>
    </row>
    <row r="129" spans="1:8" x14ac:dyDescent="0.35">
      <c r="A129">
        <v>40293</v>
      </c>
      <c r="B129" s="16">
        <v>45297</v>
      </c>
      <c r="C129" s="15">
        <v>332</v>
      </c>
      <c r="D129" t="s">
        <v>21</v>
      </c>
      <c r="G129" s="13">
        <v>44186</v>
      </c>
      <c r="H129" s="4">
        <f t="shared" si="2"/>
        <v>2577</v>
      </c>
    </row>
    <row r="130" spans="1:8" x14ac:dyDescent="0.35">
      <c r="A130">
        <v>49693</v>
      </c>
      <c r="B130" s="16">
        <v>45297</v>
      </c>
      <c r="C130" s="15">
        <v>1616</v>
      </c>
      <c r="D130" t="s">
        <v>22</v>
      </c>
      <c r="G130" s="13">
        <v>41249</v>
      </c>
      <c r="H130" s="4">
        <f t="shared" si="2"/>
        <v>3726</v>
      </c>
    </row>
    <row r="131" spans="1:8" x14ac:dyDescent="0.35">
      <c r="A131">
        <v>50659</v>
      </c>
      <c r="B131" s="16">
        <v>45297</v>
      </c>
      <c r="C131" s="15">
        <v>829</v>
      </c>
      <c r="D131" t="s">
        <v>22</v>
      </c>
      <c r="G131" s="13">
        <v>86676</v>
      </c>
      <c r="H131" s="4">
        <f t="shared" si="2"/>
        <v>643</v>
      </c>
    </row>
    <row r="132" spans="1:8" x14ac:dyDescent="0.35">
      <c r="A132">
        <v>68877</v>
      </c>
      <c r="B132" s="16">
        <v>45297</v>
      </c>
      <c r="C132" s="15">
        <v>2240</v>
      </c>
      <c r="D132" t="s">
        <v>20</v>
      </c>
      <c r="G132" s="13">
        <v>40293</v>
      </c>
      <c r="H132" s="4">
        <f t="shared" si="2"/>
        <v>332</v>
      </c>
    </row>
    <row r="133" spans="1:8" x14ac:dyDescent="0.35">
      <c r="A133">
        <v>30322</v>
      </c>
      <c r="B133" s="16">
        <v>45297</v>
      </c>
      <c r="C133" s="15">
        <v>2715</v>
      </c>
      <c r="D133" t="s">
        <v>21</v>
      </c>
      <c r="G133" s="13">
        <v>49693</v>
      </c>
      <c r="H133" s="4">
        <f t="shared" si="2"/>
        <v>1616</v>
      </c>
    </row>
    <row r="134" spans="1:8" x14ac:dyDescent="0.35">
      <c r="A134">
        <v>98180</v>
      </c>
      <c r="B134" s="16">
        <v>45297</v>
      </c>
      <c r="C134" s="15">
        <v>135</v>
      </c>
      <c r="D134" t="s">
        <v>22</v>
      </c>
      <c r="G134" s="13">
        <v>50659</v>
      </c>
      <c r="H134" s="4">
        <f t="shared" ref="H134:H197" si="3">AVERAGEIF($A$2:$A$1501,"="&amp;G134,$C$2:$C$1501)</f>
        <v>829</v>
      </c>
    </row>
    <row r="135" spans="1:8" x14ac:dyDescent="0.35">
      <c r="A135">
        <v>61115</v>
      </c>
      <c r="B135" s="16">
        <v>45297</v>
      </c>
      <c r="C135" s="15">
        <v>752</v>
      </c>
      <c r="D135" t="s">
        <v>21</v>
      </c>
      <c r="G135" s="13">
        <v>68877</v>
      </c>
      <c r="H135" s="4">
        <f t="shared" si="3"/>
        <v>2240</v>
      </c>
    </row>
    <row r="136" spans="1:8" x14ac:dyDescent="0.35">
      <c r="A136">
        <v>91610</v>
      </c>
      <c r="B136" s="16">
        <v>45297</v>
      </c>
      <c r="C136" s="15">
        <v>3156</v>
      </c>
      <c r="D136" t="s">
        <v>20</v>
      </c>
      <c r="G136" s="13">
        <v>30322</v>
      </c>
      <c r="H136" s="4">
        <f t="shared" si="3"/>
        <v>2715</v>
      </c>
    </row>
    <row r="137" spans="1:8" x14ac:dyDescent="0.35">
      <c r="A137">
        <v>63878</v>
      </c>
      <c r="B137" s="16">
        <v>45297</v>
      </c>
      <c r="C137" s="15">
        <v>1006</v>
      </c>
      <c r="D137" t="s">
        <v>20</v>
      </c>
      <c r="G137" s="13">
        <v>98180</v>
      </c>
      <c r="H137" s="4">
        <f t="shared" si="3"/>
        <v>135</v>
      </c>
    </row>
    <row r="138" spans="1:8" x14ac:dyDescent="0.35">
      <c r="A138">
        <v>32546</v>
      </c>
      <c r="B138" s="16">
        <v>45297</v>
      </c>
      <c r="C138" s="15">
        <v>1743</v>
      </c>
      <c r="D138" t="s">
        <v>21</v>
      </c>
      <c r="G138" s="13">
        <v>61115</v>
      </c>
      <c r="H138" s="4">
        <f t="shared" si="3"/>
        <v>752</v>
      </c>
    </row>
    <row r="139" spans="1:8" x14ac:dyDescent="0.35">
      <c r="A139">
        <v>13268</v>
      </c>
      <c r="B139" s="16">
        <v>45297</v>
      </c>
      <c r="C139" s="15">
        <v>2950</v>
      </c>
      <c r="D139" t="s">
        <v>21</v>
      </c>
      <c r="G139" s="13">
        <v>91610</v>
      </c>
      <c r="H139" s="4">
        <f t="shared" si="3"/>
        <v>3156</v>
      </c>
    </row>
    <row r="140" spans="1:8" x14ac:dyDescent="0.35">
      <c r="A140">
        <v>72237</v>
      </c>
      <c r="B140" s="16">
        <v>45297</v>
      </c>
      <c r="C140" s="15">
        <v>3538</v>
      </c>
      <c r="D140" t="s">
        <v>20</v>
      </c>
      <c r="G140" s="13">
        <v>63878</v>
      </c>
      <c r="H140" s="4">
        <f t="shared" si="3"/>
        <v>1006</v>
      </c>
    </row>
    <row r="141" spans="1:8" x14ac:dyDescent="0.35">
      <c r="A141">
        <v>96635</v>
      </c>
      <c r="B141" s="16">
        <v>45297</v>
      </c>
      <c r="C141" s="15">
        <v>320</v>
      </c>
      <c r="D141" t="s">
        <v>21</v>
      </c>
      <c r="G141" s="13">
        <v>32546</v>
      </c>
      <c r="H141" s="4">
        <f t="shared" si="3"/>
        <v>1743</v>
      </c>
    </row>
    <row r="142" spans="1:8" x14ac:dyDescent="0.35">
      <c r="A142">
        <v>35795</v>
      </c>
      <c r="B142" s="16">
        <v>45297</v>
      </c>
      <c r="C142" s="15">
        <v>2574</v>
      </c>
      <c r="D142" t="s">
        <v>22</v>
      </c>
      <c r="G142" s="13">
        <v>13268</v>
      </c>
      <c r="H142" s="4">
        <f t="shared" si="3"/>
        <v>2950</v>
      </c>
    </row>
    <row r="143" spans="1:8" x14ac:dyDescent="0.35">
      <c r="A143">
        <v>17861</v>
      </c>
      <c r="B143" s="16">
        <v>45297</v>
      </c>
      <c r="C143" s="15">
        <v>3733</v>
      </c>
      <c r="D143" t="s">
        <v>22</v>
      </c>
      <c r="G143" s="13">
        <v>72237</v>
      </c>
      <c r="H143" s="4">
        <f t="shared" si="3"/>
        <v>3538</v>
      </c>
    </row>
    <row r="144" spans="1:8" x14ac:dyDescent="0.35">
      <c r="A144">
        <v>45665</v>
      </c>
      <c r="B144" s="16">
        <v>45297</v>
      </c>
      <c r="C144" s="15">
        <v>3697</v>
      </c>
      <c r="D144" t="s">
        <v>22</v>
      </c>
      <c r="G144" s="13">
        <v>96635</v>
      </c>
      <c r="H144" s="4">
        <f t="shared" si="3"/>
        <v>320</v>
      </c>
    </row>
    <row r="145" spans="1:8" x14ac:dyDescent="0.35">
      <c r="A145">
        <v>80983</v>
      </c>
      <c r="B145" s="16">
        <v>45297</v>
      </c>
      <c r="C145" s="15">
        <v>3850</v>
      </c>
      <c r="D145" t="s">
        <v>21</v>
      </c>
      <c r="G145" s="13">
        <v>35795</v>
      </c>
      <c r="H145" s="4">
        <f t="shared" si="3"/>
        <v>2574</v>
      </c>
    </row>
    <row r="146" spans="1:8" x14ac:dyDescent="0.35">
      <c r="A146">
        <v>53536</v>
      </c>
      <c r="B146" s="16">
        <v>45298</v>
      </c>
      <c r="C146" s="15">
        <v>2315</v>
      </c>
      <c r="D146" t="s">
        <v>21</v>
      </c>
      <c r="G146" s="13">
        <v>17861</v>
      </c>
      <c r="H146" s="4">
        <f t="shared" si="3"/>
        <v>3733</v>
      </c>
    </row>
    <row r="147" spans="1:8" x14ac:dyDescent="0.35">
      <c r="A147">
        <v>38609</v>
      </c>
      <c r="B147" s="16">
        <v>45298</v>
      </c>
      <c r="C147" s="15">
        <v>721</v>
      </c>
      <c r="D147" t="s">
        <v>21</v>
      </c>
      <c r="G147" s="13">
        <v>45665</v>
      </c>
      <c r="H147" s="4">
        <f t="shared" si="3"/>
        <v>3697</v>
      </c>
    </row>
    <row r="148" spans="1:8" x14ac:dyDescent="0.35">
      <c r="A148">
        <v>93444</v>
      </c>
      <c r="B148" s="16">
        <v>45298</v>
      </c>
      <c r="C148" s="15">
        <v>1723</v>
      </c>
      <c r="D148" t="s">
        <v>20</v>
      </c>
      <c r="G148" s="13">
        <v>80983</v>
      </c>
      <c r="H148" s="4">
        <f t="shared" si="3"/>
        <v>3850</v>
      </c>
    </row>
    <row r="149" spans="1:8" x14ac:dyDescent="0.35">
      <c r="A149">
        <v>27293</v>
      </c>
      <c r="B149" s="16">
        <v>45298</v>
      </c>
      <c r="C149" s="15">
        <v>3667</v>
      </c>
      <c r="D149" t="s">
        <v>20</v>
      </c>
      <c r="G149" s="13">
        <v>53536</v>
      </c>
      <c r="H149" s="4">
        <f t="shared" si="3"/>
        <v>2315</v>
      </c>
    </row>
    <row r="150" spans="1:8" x14ac:dyDescent="0.35">
      <c r="A150">
        <v>79426</v>
      </c>
      <c r="B150" s="16">
        <v>45298</v>
      </c>
      <c r="C150" s="15">
        <v>3679</v>
      </c>
      <c r="D150" t="s">
        <v>22</v>
      </c>
      <c r="G150" s="13">
        <v>38609</v>
      </c>
      <c r="H150" s="4">
        <f t="shared" si="3"/>
        <v>721</v>
      </c>
    </row>
    <row r="151" spans="1:8" x14ac:dyDescent="0.35">
      <c r="A151">
        <v>63529</v>
      </c>
      <c r="B151" s="16">
        <v>45298</v>
      </c>
      <c r="C151" s="15">
        <v>165</v>
      </c>
      <c r="D151" t="s">
        <v>21</v>
      </c>
      <c r="G151" s="13">
        <v>93444</v>
      </c>
      <c r="H151" s="4">
        <f t="shared" si="3"/>
        <v>1723</v>
      </c>
    </row>
    <row r="152" spans="1:8" x14ac:dyDescent="0.35">
      <c r="A152">
        <v>27158</v>
      </c>
      <c r="B152" s="16">
        <v>45298</v>
      </c>
      <c r="C152" s="15">
        <v>1061</v>
      </c>
      <c r="D152" t="s">
        <v>20</v>
      </c>
      <c r="G152" s="13">
        <v>27293</v>
      </c>
      <c r="H152" s="4">
        <f t="shared" si="3"/>
        <v>3667</v>
      </c>
    </row>
    <row r="153" spans="1:8" x14ac:dyDescent="0.35">
      <c r="A153">
        <v>65208</v>
      </c>
      <c r="B153" s="16">
        <v>45298</v>
      </c>
      <c r="C153" s="15">
        <v>3144</v>
      </c>
      <c r="D153" t="s">
        <v>21</v>
      </c>
      <c r="G153" s="13">
        <v>79426</v>
      </c>
      <c r="H153" s="4">
        <f t="shared" si="3"/>
        <v>3679</v>
      </c>
    </row>
    <row r="154" spans="1:8" x14ac:dyDescent="0.35">
      <c r="A154">
        <v>25741</v>
      </c>
      <c r="B154" s="16">
        <v>45298</v>
      </c>
      <c r="C154" s="15">
        <v>537</v>
      </c>
      <c r="D154" t="s">
        <v>22</v>
      </c>
      <c r="G154" s="13">
        <v>63529</v>
      </c>
      <c r="H154" s="4">
        <f t="shared" si="3"/>
        <v>165</v>
      </c>
    </row>
    <row r="155" spans="1:8" x14ac:dyDescent="0.35">
      <c r="A155">
        <v>50684</v>
      </c>
      <c r="B155" s="16">
        <v>45298</v>
      </c>
      <c r="C155" s="15">
        <v>3851</v>
      </c>
      <c r="D155" t="s">
        <v>21</v>
      </c>
      <c r="G155" s="13">
        <v>27158</v>
      </c>
      <c r="H155" s="4">
        <f t="shared" si="3"/>
        <v>1061</v>
      </c>
    </row>
    <row r="156" spans="1:8" x14ac:dyDescent="0.35">
      <c r="A156">
        <v>97445</v>
      </c>
      <c r="B156" s="16">
        <v>45298</v>
      </c>
      <c r="C156" s="15">
        <v>422</v>
      </c>
      <c r="D156" t="s">
        <v>20</v>
      </c>
      <c r="G156" s="13">
        <v>65208</v>
      </c>
      <c r="H156" s="4">
        <f t="shared" si="3"/>
        <v>3144</v>
      </c>
    </row>
    <row r="157" spans="1:8" x14ac:dyDescent="0.35">
      <c r="A157">
        <v>66080</v>
      </c>
      <c r="B157" s="16">
        <v>45298</v>
      </c>
      <c r="C157" s="15">
        <v>4430</v>
      </c>
      <c r="D157" t="s">
        <v>22</v>
      </c>
      <c r="G157" s="13">
        <v>25741</v>
      </c>
      <c r="H157" s="4">
        <f t="shared" si="3"/>
        <v>537</v>
      </c>
    </row>
    <row r="158" spans="1:8" x14ac:dyDescent="0.35">
      <c r="A158">
        <v>19259</v>
      </c>
      <c r="B158" s="16">
        <v>45298</v>
      </c>
      <c r="C158" s="15">
        <v>1672</v>
      </c>
      <c r="D158" t="s">
        <v>20</v>
      </c>
      <c r="G158" s="13">
        <v>50684</v>
      </c>
      <c r="H158" s="4">
        <f t="shared" si="3"/>
        <v>3851</v>
      </c>
    </row>
    <row r="159" spans="1:8" x14ac:dyDescent="0.35">
      <c r="A159">
        <v>80181</v>
      </c>
      <c r="B159" s="16">
        <v>45298</v>
      </c>
      <c r="C159" s="15">
        <v>4543</v>
      </c>
      <c r="D159" t="s">
        <v>21</v>
      </c>
      <c r="G159" s="13">
        <v>97445</v>
      </c>
      <c r="H159" s="4">
        <f t="shared" si="3"/>
        <v>422</v>
      </c>
    </row>
    <row r="160" spans="1:8" x14ac:dyDescent="0.35">
      <c r="A160">
        <v>74561</v>
      </c>
      <c r="B160" s="16">
        <v>45298</v>
      </c>
      <c r="C160" s="15">
        <v>2972</v>
      </c>
      <c r="D160" t="s">
        <v>22</v>
      </c>
      <c r="G160" s="13">
        <v>66080</v>
      </c>
      <c r="H160" s="4">
        <f t="shared" si="3"/>
        <v>4430</v>
      </c>
    </row>
    <row r="161" spans="1:8" x14ac:dyDescent="0.35">
      <c r="A161">
        <v>76601</v>
      </c>
      <c r="B161" s="16">
        <v>45298</v>
      </c>
      <c r="C161" s="15">
        <v>1010</v>
      </c>
      <c r="D161" t="s">
        <v>21</v>
      </c>
      <c r="G161" s="13">
        <v>19259</v>
      </c>
      <c r="H161" s="4">
        <f t="shared" si="3"/>
        <v>1672</v>
      </c>
    </row>
    <row r="162" spans="1:8" x14ac:dyDescent="0.35">
      <c r="A162">
        <v>28529</v>
      </c>
      <c r="B162" s="16">
        <v>45298</v>
      </c>
      <c r="C162" s="15">
        <v>1145</v>
      </c>
      <c r="D162" t="s">
        <v>21</v>
      </c>
      <c r="G162" s="13">
        <v>80181</v>
      </c>
      <c r="H162" s="4">
        <f t="shared" si="3"/>
        <v>4543</v>
      </c>
    </row>
    <row r="163" spans="1:8" x14ac:dyDescent="0.35">
      <c r="A163">
        <v>77189</v>
      </c>
      <c r="B163" s="16">
        <v>45298</v>
      </c>
      <c r="C163" s="15">
        <v>3392</v>
      </c>
      <c r="D163" t="s">
        <v>22</v>
      </c>
      <c r="G163" s="13">
        <v>74561</v>
      </c>
      <c r="H163" s="4">
        <f t="shared" si="3"/>
        <v>2972</v>
      </c>
    </row>
    <row r="164" spans="1:8" x14ac:dyDescent="0.35">
      <c r="A164">
        <v>52326</v>
      </c>
      <c r="B164" s="16">
        <v>45298</v>
      </c>
      <c r="C164" s="15">
        <v>2552</v>
      </c>
      <c r="D164" t="s">
        <v>20</v>
      </c>
      <c r="G164" s="13">
        <v>76601</v>
      </c>
      <c r="H164" s="4">
        <f t="shared" si="3"/>
        <v>1010</v>
      </c>
    </row>
    <row r="165" spans="1:8" x14ac:dyDescent="0.35">
      <c r="A165">
        <v>35096</v>
      </c>
      <c r="B165" s="16">
        <v>45298</v>
      </c>
      <c r="C165" s="15">
        <v>94</v>
      </c>
      <c r="D165" t="s">
        <v>21</v>
      </c>
      <c r="G165" s="13">
        <v>28529</v>
      </c>
      <c r="H165" s="4">
        <f t="shared" si="3"/>
        <v>1145</v>
      </c>
    </row>
    <row r="166" spans="1:8" x14ac:dyDescent="0.35">
      <c r="A166">
        <v>81728</v>
      </c>
      <c r="B166" s="16">
        <v>45298</v>
      </c>
      <c r="C166" s="15">
        <v>4351</v>
      </c>
      <c r="D166" t="s">
        <v>20</v>
      </c>
      <c r="G166" s="13">
        <v>77189</v>
      </c>
      <c r="H166" s="4">
        <f t="shared" si="3"/>
        <v>3392</v>
      </c>
    </row>
    <row r="167" spans="1:8" x14ac:dyDescent="0.35">
      <c r="A167">
        <v>40263</v>
      </c>
      <c r="B167" s="16">
        <v>45298</v>
      </c>
      <c r="C167" s="15">
        <v>2504</v>
      </c>
      <c r="D167" t="s">
        <v>20</v>
      </c>
      <c r="G167" s="13">
        <v>52326</v>
      </c>
      <c r="H167" s="4">
        <f t="shared" si="3"/>
        <v>2552</v>
      </c>
    </row>
    <row r="168" spans="1:8" x14ac:dyDescent="0.35">
      <c r="A168">
        <v>45491</v>
      </c>
      <c r="B168" s="16">
        <v>45298</v>
      </c>
      <c r="C168" s="15">
        <v>4740</v>
      </c>
      <c r="D168" t="s">
        <v>22</v>
      </c>
      <c r="G168" s="13">
        <v>35096</v>
      </c>
      <c r="H168" s="4">
        <f t="shared" si="3"/>
        <v>94</v>
      </c>
    </row>
    <row r="169" spans="1:8" x14ac:dyDescent="0.35">
      <c r="A169">
        <v>33348</v>
      </c>
      <c r="B169" s="16">
        <v>45298</v>
      </c>
      <c r="C169" s="15">
        <v>4453</v>
      </c>
      <c r="D169" t="s">
        <v>21</v>
      </c>
      <c r="G169" s="13">
        <v>81728</v>
      </c>
      <c r="H169" s="4">
        <f t="shared" si="3"/>
        <v>4351</v>
      </c>
    </row>
    <row r="170" spans="1:8" x14ac:dyDescent="0.35">
      <c r="A170">
        <v>81882</v>
      </c>
      <c r="B170" s="16">
        <v>45299</v>
      </c>
      <c r="C170" s="15">
        <v>4453</v>
      </c>
      <c r="D170" t="s">
        <v>22</v>
      </c>
      <c r="G170" s="13">
        <v>40263</v>
      </c>
      <c r="H170" s="4">
        <f t="shared" si="3"/>
        <v>2504</v>
      </c>
    </row>
    <row r="171" spans="1:8" x14ac:dyDescent="0.35">
      <c r="A171">
        <v>48211</v>
      </c>
      <c r="B171" s="16">
        <v>45299</v>
      </c>
      <c r="C171" s="15">
        <v>2577</v>
      </c>
      <c r="D171" t="s">
        <v>22</v>
      </c>
      <c r="G171" s="13">
        <v>45491</v>
      </c>
      <c r="H171" s="4">
        <f t="shared" si="3"/>
        <v>4740</v>
      </c>
    </row>
    <row r="172" spans="1:8" x14ac:dyDescent="0.35">
      <c r="A172">
        <v>67130</v>
      </c>
      <c r="B172" s="16">
        <v>45299</v>
      </c>
      <c r="C172" s="15">
        <v>4031</v>
      </c>
      <c r="D172" t="s">
        <v>21</v>
      </c>
      <c r="G172" s="13">
        <v>33348</v>
      </c>
      <c r="H172" s="4">
        <f t="shared" si="3"/>
        <v>4453</v>
      </c>
    </row>
    <row r="173" spans="1:8" x14ac:dyDescent="0.35">
      <c r="A173">
        <v>60701</v>
      </c>
      <c r="B173" s="16">
        <v>45299</v>
      </c>
      <c r="C173" s="15">
        <v>1550</v>
      </c>
      <c r="D173" t="s">
        <v>21</v>
      </c>
      <c r="G173" s="13">
        <v>81882</v>
      </c>
      <c r="H173" s="4">
        <f t="shared" si="3"/>
        <v>4453</v>
      </c>
    </row>
    <row r="174" spans="1:8" x14ac:dyDescent="0.35">
      <c r="A174">
        <v>66328</v>
      </c>
      <c r="B174" s="16">
        <v>45299</v>
      </c>
      <c r="C174" s="15">
        <v>2491</v>
      </c>
      <c r="D174" t="s">
        <v>20</v>
      </c>
      <c r="G174" s="13">
        <v>48211</v>
      </c>
      <c r="H174" s="4">
        <f t="shared" si="3"/>
        <v>2577</v>
      </c>
    </row>
    <row r="175" spans="1:8" x14ac:dyDescent="0.35">
      <c r="A175">
        <v>29766</v>
      </c>
      <c r="B175" s="16">
        <v>45299</v>
      </c>
      <c r="C175" s="15">
        <v>1350</v>
      </c>
      <c r="D175" t="s">
        <v>21</v>
      </c>
      <c r="G175" s="13">
        <v>67130</v>
      </c>
      <c r="H175" s="4">
        <f t="shared" si="3"/>
        <v>4031</v>
      </c>
    </row>
    <row r="176" spans="1:8" x14ac:dyDescent="0.35">
      <c r="A176">
        <v>82134</v>
      </c>
      <c r="B176" s="16">
        <v>45299</v>
      </c>
      <c r="C176" s="15">
        <v>3896</v>
      </c>
      <c r="D176" t="s">
        <v>22</v>
      </c>
      <c r="G176" s="13">
        <v>60701</v>
      </c>
      <c r="H176" s="4">
        <f t="shared" si="3"/>
        <v>1550</v>
      </c>
    </row>
    <row r="177" spans="1:8" x14ac:dyDescent="0.35">
      <c r="A177">
        <v>23750</v>
      </c>
      <c r="B177" s="16">
        <v>45299</v>
      </c>
      <c r="C177" s="15">
        <v>748</v>
      </c>
      <c r="D177" t="s">
        <v>22</v>
      </c>
      <c r="G177" s="13">
        <v>66328</v>
      </c>
      <c r="H177" s="4">
        <f t="shared" si="3"/>
        <v>2491</v>
      </c>
    </row>
    <row r="178" spans="1:8" x14ac:dyDescent="0.35">
      <c r="A178">
        <v>48526</v>
      </c>
      <c r="B178" s="16">
        <v>45299</v>
      </c>
      <c r="C178" s="15">
        <v>4254</v>
      </c>
      <c r="D178" t="s">
        <v>21</v>
      </c>
      <c r="G178" s="13">
        <v>29766</v>
      </c>
      <c r="H178" s="4">
        <f t="shared" si="3"/>
        <v>1350</v>
      </c>
    </row>
    <row r="179" spans="1:8" x14ac:dyDescent="0.35">
      <c r="A179">
        <v>88404</v>
      </c>
      <c r="B179" s="16">
        <v>45299</v>
      </c>
      <c r="C179" s="15">
        <v>2870</v>
      </c>
      <c r="D179" t="s">
        <v>21</v>
      </c>
      <c r="G179" s="13">
        <v>82134</v>
      </c>
      <c r="H179" s="4">
        <f t="shared" si="3"/>
        <v>3896</v>
      </c>
    </row>
    <row r="180" spans="1:8" x14ac:dyDescent="0.35">
      <c r="A180">
        <v>38318</v>
      </c>
      <c r="B180" s="16">
        <v>45299</v>
      </c>
      <c r="C180" s="15">
        <v>3809</v>
      </c>
      <c r="D180" t="s">
        <v>20</v>
      </c>
      <c r="G180" s="13">
        <v>23750</v>
      </c>
      <c r="H180" s="4">
        <f t="shared" si="3"/>
        <v>748</v>
      </c>
    </row>
    <row r="181" spans="1:8" x14ac:dyDescent="0.35">
      <c r="A181">
        <v>56524</v>
      </c>
      <c r="B181" s="16">
        <v>45299</v>
      </c>
      <c r="C181" s="15">
        <v>4192</v>
      </c>
      <c r="D181" t="s">
        <v>22</v>
      </c>
      <c r="G181" s="13">
        <v>48526</v>
      </c>
      <c r="H181" s="4">
        <f t="shared" si="3"/>
        <v>4254</v>
      </c>
    </row>
    <row r="182" spans="1:8" x14ac:dyDescent="0.35">
      <c r="A182">
        <v>28044</v>
      </c>
      <c r="B182" s="16">
        <v>45299</v>
      </c>
      <c r="C182" s="15">
        <v>3262</v>
      </c>
      <c r="D182" t="s">
        <v>22</v>
      </c>
      <c r="G182" s="13">
        <v>88404</v>
      </c>
      <c r="H182" s="4">
        <f t="shared" si="3"/>
        <v>2870</v>
      </c>
    </row>
    <row r="183" spans="1:8" x14ac:dyDescent="0.35">
      <c r="A183">
        <v>21032</v>
      </c>
      <c r="B183" s="16">
        <v>45299</v>
      </c>
      <c r="C183" s="15">
        <v>1336</v>
      </c>
      <c r="D183" t="s">
        <v>21</v>
      </c>
      <c r="G183" s="13">
        <v>38318</v>
      </c>
      <c r="H183" s="4">
        <f t="shared" si="3"/>
        <v>3809</v>
      </c>
    </row>
    <row r="184" spans="1:8" x14ac:dyDescent="0.35">
      <c r="A184">
        <v>29086</v>
      </c>
      <c r="B184" s="16">
        <v>45299</v>
      </c>
      <c r="C184" s="15">
        <v>4565</v>
      </c>
      <c r="D184" t="s">
        <v>21</v>
      </c>
      <c r="G184" s="13">
        <v>56524</v>
      </c>
      <c r="H184" s="4">
        <f t="shared" si="3"/>
        <v>4192</v>
      </c>
    </row>
    <row r="185" spans="1:8" x14ac:dyDescent="0.35">
      <c r="A185">
        <v>99989</v>
      </c>
      <c r="B185" s="16">
        <v>45299</v>
      </c>
      <c r="C185" s="15">
        <v>4435</v>
      </c>
      <c r="D185" t="s">
        <v>21</v>
      </c>
      <c r="G185" s="13">
        <v>28044</v>
      </c>
      <c r="H185" s="4">
        <f t="shared" si="3"/>
        <v>3262</v>
      </c>
    </row>
    <row r="186" spans="1:8" x14ac:dyDescent="0.35">
      <c r="A186">
        <v>34231</v>
      </c>
      <c r="B186" s="16">
        <v>45299</v>
      </c>
      <c r="C186" s="15">
        <v>559</v>
      </c>
      <c r="D186" t="s">
        <v>22</v>
      </c>
      <c r="G186" s="13">
        <v>21032</v>
      </c>
      <c r="H186" s="4">
        <f t="shared" si="3"/>
        <v>1336</v>
      </c>
    </row>
    <row r="187" spans="1:8" x14ac:dyDescent="0.35">
      <c r="A187">
        <v>79004</v>
      </c>
      <c r="B187" s="16">
        <v>45299</v>
      </c>
      <c r="C187" s="15">
        <v>3984</v>
      </c>
      <c r="D187" t="s">
        <v>22</v>
      </c>
      <c r="G187" s="13">
        <v>29086</v>
      </c>
      <c r="H187" s="4">
        <f t="shared" si="3"/>
        <v>4565</v>
      </c>
    </row>
    <row r="188" spans="1:8" x14ac:dyDescent="0.35">
      <c r="A188">
        <v>44275</v>
      </c>
      <c r="B188" s="16">
        <v>45299</v>
      </c>
      <c r="C188" s="15">
        <v>2537</v>
      </c>
      <c r="D188" t="s">
        <v>21</v>
      </c>
      <c r="G188" s="13">
        <v>99989</v>
      </c>
      <c r="H188" s="4">
        <f t="shared" si="3"/>
        <v>4435</v>
      </c>
    </row>
    <row r="189" spans="1:8" x14ac:dyDescent="0.35">
      <c r="A189">
        <v>63007</v>
      </c>
      <c r="B189" s="16">
        <v>45299</v>
      </c>
      <c r="C189" s="15">
        <v>525</v>
      </c>
      <c r="D189" t="s">
        <v>22</v>
      </c>
      <c r="G189" s="13">
        <v>34231</v>
      </c>
      <c r="H189" s="4">
        <f t="shared" si="3"/>
        <v>559</v>
      </c>
    </row>
    <row r="190" spans="1:8" x14ac:dyDescent="0.35">
      <c r="A190">
        <v>32274</v>
      </c>
      <c r="B190" s="16">
        <v>45299</v>
      </c>
      <c r="C190" s="15">
        <v>4471</v>
      </c>
      <c r="D190" t="s">
        <v>22</v>
      </c>
      <c r="G190" s="13">
        <v>79004</v>
      </c>
      <c r="H190" s="4">
        <f t="shared" si="3"/>
        <v>3984</v>
      </c>
    </row>
    <row r="191" spans="1:8" x14ac:dyDescent="0.35">
      <c r="A191">
        <v>34288</v>
      </c>
      <c r="B191" s="16">
        <v>45299</v>
      </c>
      <c r="C191" s="15">
        <v>2165</v>
      </c>
      <c r="D191" t="s">
        <v>20</v>
      </c>
      <c r="G191" s="13">
        <v>44275</v>
      </c>
      <c r="H191" s="4">
        <f t="shared" si="3"/>
        <v>2537</v>
      </c>
    </row>
    <row r="192" spans="1:8" x14ac:dyDescent="0.35">
      <c r="A192">
        <v>82519</v>
      </c>
      <c r="B192" s="16">
        <v>45299</v>
      </c>
      <c r="C192" s="15">
        <v>3323</v>
      </c>
      <c r="D192" t="s">
        <v>22</v>
      </c>
      <c r="G192" s="13">
        <v>63007</v>
      </c>
      <c r="H192" s="4">
        <f t="shared" si="3"/>
        <v>525</v>
      </c>
    </row>
    <row r="193" spans="1:8" x14ac:dyDescent="0.35">
      <c r="A193">
        <v>92674</v>
      </c>
      <c r="B193" s="16">
        <v>45299</v>
      </c>
      <c r="C193" s="15">
        <v>4851</v>
      </c>
      <c r="D193" t="s">
        <v>21</v>
      </c>
      <c r="G193" s="13">
        <v>32274</v>
      </c>
      <c r="H193" s="4">
        <f t="shared" si="3"/>
        <v>4471</v>
      </c>
    </row>
    <row r="194" spans="1:8" x14ac:dyDescent="0.35">
      <c r="A194">
        <v>19311</v>
      </c>
      <c r="B194" s="16">
        <v>45300</v>
      </c>
      <c r="C194" s="15">
        <v>1033</v>
      </c>
      <c r="D194" t="s">
        <v>20</v>
      </c>
      <c r="G194" s="13">
        <v>34288</v>
      </c>
      <c r="H194" s="4">
        <f t="shared" si="3"/>
        <v>2165</v>
      </c>
    </row>
    <row r="195" spans="1:8" x14ac:dyDescent="0.35">
      <c r="A195">
        <v>60998</v>
      </c>
      <c r="B195" s="16">
        <v>45300</v>
      </c>
      <c r="C195" s="15">
        <v>2803</v>
      </c>
      <c r="D195" t="s">
        <v>22</v>
      </c>
      <c r="G195" s="13">
        <v>82519</v>
      </c>
      <c r="H195" s="4">
        <f t="shared" si="3"/>
        <v>3323</v>
      </c>
    </row>
    <row r="196" spans="1:8" x14ac:dyDescent="0.35">
      <c r="A196">
        <v>67036</v>
      </c>
      <c r="B196" s="16">
        <v>45300</v>
      </c>
      <c r="C196" s="15">
        <v>2122</v>
      </c>
      <c r="D196" t="s">
        <v>20</v>
      </c>
      <c r="G196" s="13">
        <v>92674</v>
      </c>
      <c r="H196" s="4">
        <f t="shared" si="3"/>
        <v>4851</v>
      </c>
    </row>
    <row r="197" spans="1:8" x14ac:dyDescent="0.35">
      <c r="A197">
        <v>26640</v>
      </c>
      <c r="B197" s="16">
        <v>45300</v>
      </c>
      <c r="C197" s="15">
        <v>4881</v>
      </c>
      <c r="D197" t="s">
        <v>20</v>
      </c>
      <c r="G197" s="13">
        <v>19311</v>
      </c>
      <c r="H197" s="4">
        <f t="shared" si="3"/>
        <v>1033</v>
      </c>
    </row>
    <row r="198" spans="1:8" x14ac:dyDescent="0.35">
      <c r="A198">
        <v>86063</v>
      </c>
      <c r="B198" s="16">
        <v>45300</v>
      </c>
      <c r="C198" s="15">
        <v>1030</v>
      </c>
      <c r="D198" t="s">
        <v>20</v>
      </c>
      <c r="G198" s="13">
        <v>60998</v>
      </c>
      <c r="H198" s="4">
        <f t="shared" ref="H198:H261" si="4">AVERAGEIF($A$2:$A$1501,"="&amp;G198,$C$2:$C$1501)</f>
        <v>2803</v>
      </c>
    </row>
    <row r="199" spans="1:8" x14ac:dyDescent="0.35">
      <c r="A199">
        <v>41752</v>
      </c>
      <c r="B199" s="16">
        <v>45300</v>
      </c>
      <c r="C199" s="15">
        <v>4707</v>
      </c>
      <c r="D199" t="s">
        <v>21</v>
      </c>
      <c r="G199" s="13">
        <v>67036</v>
      </c>
      <c r="H199" s="4">
        <f t="shared" si="4"/>
        <v>2122</v>
      </c>
    </row>
    <row r="200" spans="1:8" x14ac:dyDescent="0.35">
      <c r="A200">
        <v>35411</v>
      </c>
      <c r="B200" s="16">
        <v>45300</v>
      </c>
      <c r="C200" s="15">
        <v>217</v>
      </c>
      <c r="D200" t="s">
        <v>20</v>
      </c>
      <c r="G200" s="13">
        <v>26640</v>
      </c>
      <c r="H200" s="4">
        <f t="shared" si="4"/>
        <v>4881</v>
      </c>
    </row>
    <row r="201" spans="1:8" x14ac:dyDescent="0.35">
      <c r="A201">
        <v>61842</v>
      </c>
      <c r="B201" s="16">
        <v>45300</v>
      </c>
      <c r="C201" s="15">
        <v>95</v>
      </c>
      <c r="D201" t="s">
        <v>21</v>
      </c>
      <c r="G201" s="13">
        <v>86063</v>
      </c>
      <c r="H201" s="4">
        <f t="shared" si="4"/>
        <v>1030</v>
      </c>
    </row>
    <row r="202" spans="1:8" x14ac:dyDescent="0.35">
      <c r="A202">
        <v>22845</v>
      </c>
      <c r="B202" s="16">
        <v>45300</v>
      </c>
      <c r="C202" s="15">
        <v>2162</v>
      </c>
      <c r="D202" t="s">
        <v>20</v>
      </c>
      <c r="G202" s="13">
        <v>41752</v>
      </c>
      <c r="H202" s="4">
        <f t="shared" si="4"/>
        <v>4707</v>
      </c>
    </row>
    <row r="203" spans="1:8" x14ac:dyDescent="0.35">
      <c r="A203">
        <v>35364</v>
      </c>
      <c r="B203" s="16">
        <v>45300</v>
      </c>
      <c r="C203" s="15">
        <v>4229</v>
      </c>
      <c r="D203" t="s">
        <v>20</v>
      </c>
      <c r="G203" s="13">
        <v>35411</v>
      </c>
      <c r="H203" s="4">
        <f t="shared" si="4"/>
        <v>217</v>
      </c>
    </row>
    <row r="204" spans="1:8" x14ac:dyDescent="0.35">
      <c r="A204">
        <v>75463</v>
      </c>
      <c r="B204" s="16">
        <v>45300</v>
      </c>
      <c r="C204" s="15">
        <v>944</v>
      </c>
      <c r="D204" t="s">
        <v>22</v>
      </c>
      <c r="G204" s="13">
        <v>61842</v>
      </c>
      <c r="H204" s="4">
        <f t="shared" si="4"/>
        <v>95</v>
      </c>
    </row>
    <row r="205" spans="1:8" x14ac:dyDescent="0.35">
      <c r="A205">
        <v>76883</v>
      </c>
      <c r="B205" s="16">
        <v>45300</v>
      </c>
      <c r="C205" s="15">
        <v>1454</v>
      </c>
      <c r="D205" t="s">
        <v>20</v>
      </c>
      <c r="G205" s="13">
        <v>22845</v>
      </c>
      <c r="H205" s="4">
        <f t="shared" si="4"/>
        <v>2162</v>
      </c>
    </row>
    <row r="206" spans="1:8" x14ac:dyDescent="0.35">
      <c r="A206">
        <v>33372</v>
      </c>
      <c r="B206" s="16">
        <v>45300</v>
      </c>
      <c r="C206" s="15">
        <v>4640</v>
      </c>
      <c r="D206" t="s">
        <v>20</v>
      </c>
      <c r="G206" s="13">
        <v>35364</v>
      </c>
      <c r="H206" s="4">
        <f t="shared" si="4"/>
        <v>4229</v>
      </c>
    </row>
    <row r="207" spans="1:8" x14ac:dyDescent="0.35">
      <c r="A207">
        <v>21890</v>
      </c>
      <c r="B207" s="16">
        <v>45300</v>
      </c>
      <c r="C207" s="15">
        <v>115</v>
      </c>
      <c r="D207" t="s">
        <v>20</v>
      </c>
      <c r="G207" s="13">
        <v>75463</v>
      </c>
      <c r="H207" s="4">
        <f t="shared" si="4"/>
        <v>944</v>
      </c>
    </row>
    <row r="208" spans="1:8" x14ac:dyDescent="0.35">
      <c r="A208">
        <v>70694</v>
      </c>
      <c r="B208" s="16">
        <v>45300</v>
      </c>
      <c r="C208" s="15">
        <v>941</v>
      </c>
      <c r="D208" t="s">
        <v>20</v>
      </c>
      <c r="G208" s="13">
        <v>76883</v>
      </c>
      <c r="H208" s="4">
        <f t="shared" si="4"/>
        <v>1454</v>
      </c>
    </row>
    <row r="209" spans="1:8" x14ac:dyDescent="0.35">
      <c r="A209">
        <v>81350</v>
      </c>
      <c r="B209" s="16">
        <v>45300</v>
      </c>
      <c r="C209" s="15">
        <v>673</v>
      </c>
      <c r="D209" t="s">
        <v>21</v>
      </c>
      <c r="G209" s="13">
        <v>33372</v>
      </c>
      <c r="H209" s="4">
        <f t="shared" si="4"/>
        <v>4640</v>
      </c>
    </row>
    <row r="210" spans="1:8" x14ac:dyDescent="0.35">
      <c r="A210">
        <v>84650</v>
      </c>
      <c r="B210" s="16">
        <v>45300</v>
      </c>
      <c r="C210" s="15">
        <v>3272</v>
      </c>
      <c r="D210" t="s">
        <v>21</v>
      </c>
      <c r="G210" s="13">
        <v>21890</v>
      </c>
      <c r="H210" s="4">
        <f t="shared" si="4"/>
        <v>115</v>
      </c>
    </row>
    <row r="211" spans="1:8" x14ac:dyDescent="0.35">
      <c r="A211">
        <v>71028</v>
      </c>
      <c r="B211" s="16">
        <v>45300</v>
      </c>
      <c r="C211" s="15">
        <v>1449</v>
      </c>
      <c r="D211" t="s">
        <v>20</v>
      </c>
      <c r="G211" s="13">
        <v>70694</v>
      </c>
      <c r="H211" s="4">
        <f t="shared" si="4"/>
        <v>941</v>
      </c>
    </row>
    <row r="212" spans="1:8" x14ac:dyDescent="0.35">
      <c r="A212">
        <v>94590</v>
      </c>
      <c r="B212" s="16">
        <v>45300</v>
      </c>
      <c r="C212" s="15">
        <v>2916</v>
      </c>
      <c r="D212" t="s">
        <v>21</v>
      </c>
      <c r="G212" s="13">
        <v>81350</v>
      </c>
      <c r="H212" s="4">
        <f t="shared" si="4"/>
        <v>673</v>
      </c>
    </row>
    <row r="213" spans="1:8" x14ac:dyDescent="0.35">
      <c r="A213">
        <v>18353</v>
      </c>
      <c r="B213" s="16">
        <v>45300</v>
      </c>
      <c r="C213" s="15">
        <v>3423</v>
      </c>
      <c r="D213" t="s">
        <v>21</v>
      </c>
      <c r="G213" s="13">
        <v>84650</v>
      </c>
      <c r="H213" s="4">
        <f t="shared" si="4"/>
        <v>3272</v>
      </c>
    </row>
    <row r="214" spans="1:8" x14ac:dyDescent="0.35">
      <c r="A214">
        <v>44166</v>
      </c>
      <c r="B214" s="16">
        <v>45300</v>
      </c>
      <c r="C214" s="15">
        <v>1430</v>
      </c>
      <c r="D214" t="s">
        <v>22</v>
      </c>
      <c r="G214" s="13">
        <v>71028</v>
      </c>
      <c r="H214" s="4">
        <f t="shared" si="4"/>
        <v>1449</v>
      </c>
    </row>
    <row r="215" spans="1:8" x14ac:dyDescent="0.35">
      <c r="A215">
        <v>60237</v>
      </c>
      <c r="B215" s="16">
        <v>45300</v>
      </c>
      <c r="C215" s="15">
        <v>4677</v>
      </c>
      <c r="D215" t="s">
        <v>20</v>
      </c>
      <c r="G215" s="13">
        <v>94590</v>
      </c>
      <c r="H215" s="4">
        <f t="shared" si="4"/>
        <v>2916</v>
      </c>
    </row>
    <row r="216" spans="1:8" x14ac:dyDescent="0.35">
      <c r="A216">
        <v>68549</v>
      </c>
      <c r="B216" s="16">
        <v>45300</v>
      </c>
      <c r="C216" s="15">
        <v>681</v>
      </c>
      <c r="D216" t="s">
        <v>21</v>
      </c>
      <c r="G216" s="13">
        <v>18353</v>
      </c>
      <c r="H216" s="4">
        <f t="shared" si="4"/>
        <v>3423</v>
      </c>
    </row>
    <row r="217" spans="1:8" x14ac:dyDescent="0.35">
      <c r="A217">
        <v>59106</v>
      </c>
      <c r="B217" s="16">
        <v>45300</v>
      </c>
      <c r="C217" s="15">
        <v>1984</v>
      </c>
      <c r="D217" t="s">
        <v>20</v>
      </c>
      <c r="G217" s="13">
        <v>44166</v>
      </c>
      <c r="H217" s="4">
        <f t="shared" si="4"/>
        <v>1430</v>
      </c>
    </row>
    <row r="218" spans="1:8" x14ac:dyDescent="0.35">
      <c r="A218">
        <v>50214</v>
      </c>
      <c r="B218" s="16">
        <v>45301</v>
      </c>
      <c r="C218" s="15">
        <v>4324</v>
      </c>
      <c r="D218" t="s">
        <v>22</v>
      </c>
      <c r="G218" s="13">
        <v>60237</v>
      </c>
      <c r="H218" s="4">
        <f t="shared" si="4"/>
        <v>4677</v>
      </c>
    </row>
    <row r="219" spans="1:8" x14ac:dyDescent="0.35">
      <c r="A219">
        <v>67979</v>
      </c>
      <c r="B219" s="16">
        <v>45301</v>
      </c>
      <c r="C219" s="15">
        <v>4717</v>
      </c>
      <c r="D219" t="s">
        <v>21</v>
      </c>
      <c r="G219" s="13">
        <v>68549</v>
      </c>
      <c r="H219" s="4">
        <f t="shared" si="4"/>
        <v>681</v>
      </c>
    </row>
    <row r="220" spans="1:8" x14ac:dyDescent="0.35">
      <c r="A220">
        <v>69635</v>
      </c>
      <c r="B220" s="16">
        <v>45301</v>
      </c>
      <c r="C220" s="15">
        <v>3245</v>
      </c>
      <c r="D220" t="s">
        <v>20</v>
      </c>
      <c r="G220" s="13">
        <v>59106</v>
      </c>
      <c r="H220" s="4">
        <f t="shared" si="4"/>
        <v>1984</v>
      </c>
    </row>
    <row r="221" spans="1:8" x14ac:dyDescent="0.35">
      <c r="A221">
        <v>47376</v>
      </c>
      <c r="B221" s="16">
        <v>45301</v>
      </c>
      <c r="C221" s="15">
        <v>4816</v>
      </c>
      <c r="D221" t="s">
        <v>20</v>
      </c>
      <c r="G221" s="13">
        <v>50214</v>
      </c>
      <c r="H221" s="4">
        <f t="shared" si="4"/>
        <v>4324</v>
      </c>
    </row>
    <row r="222" spans="1:8" x14ac:dyDescent="0.35">
      <c r="A222">
        <v>99296</v>
      </c>
      <c r="B222" s="16">
        <v>45301</v>
      </c>
      <c r="C222" s="15">
        <v>655</v>
      </c>
      <c r="D222" t="s">
        <v>22</v>
      </c>
      <c r="G222" s="13">
        <v>67979</v>
      </c>
      <c r="H222" s="4">
        <f t="shared" si="4"/>
        <v>4717</v>
      </c>
    </row>
    <row r="223" spans="1:8" x14ac:dyDescent="0.35">
      <c r="A223">
        <v>17765</v>
      </c>
      <c r="B223" s="16">
        <v>45301</v>
      </c>
      <c r="C223" s="15">
        <v>1002</v>
      </c>
      <c r="D223" t="s">
        <v>21</v>
      </c>
      <c r="G223" s="13">
        <v>69635</v>
      </c>
      <c r="H223" s="4">
        <f t="shared" si="4"/>
        <v>3245</v>
      </c>
    </row>
    <row r="224" spans="1:8" x14ac:dyDescent="0.35">
      <c r="A224">
        <v>91972</v>
      </c>
      <c r="B224" s="16">
        <v>45301</v>
      </c>
      <c r="C224" s="15">
        <v>706</v>
      </c>
      <c r="D224" t="s">
        <v>22</v>
      </c>
      <c r="G224" s="13">
        <v>47376</v>
      </c>
      <c r="H224" s="4">
        <f t="shared" si="4"/>
        <v>4816</v>
      </c>
    </row>
    <row r="225" spans="1:8" x14ac:dyDescent="0.35">
      <c r="A225">
        <v>95222</v>
      </c>
      <c r="B225" s="16">
        <v>45301</v>
      </c>
      <c r="C225" s="15">
        <v>4163</v>
      </c>
      <c r="D225" t="s">
        <v>22</v>
      </c>
      <c r="G225" s="13">
        <v>99296</v>
      </c>
      <c r="H225" s="4">
        <f t="shared" si="4"/>
        <v>655</v>
      </c>
    </row>
    <row r="226" spans="1:8" x14ac:dyDescent="0.35">
      <c r="A226">
        <v>73830</v>
      </c>
      <c r="B226" s="16">
        <v>45301</v>
      </c>
      <c r="C226" s="15">
        <v>994</v>
      </c>
      <c r="D226" t="s">
        <v>20</v>
      </c>
      <c r="G226" s="13">
        <v>17765</v>
      </c>
      <c r="H226" s="4">
        <f t="shared" si="4"/>
        <v>1002</v>
      </c>
    </row>
    <row r="227" spans="1:8" x14ac:dyDescent="0.35">
      <c r="A227">
        <v>97338</v>
      </c>
      <c r="B227" s="16">
        <v>45301</v>
      </c>
      <c r="C227" s="15">
        <v>573</v>
      </c>
      <c r="D227" t="s">
        <v>22</v>
      </c>
      <c r="G227" s="13">
        <v>91972</v>
      </c>
      <c r="H227" s="4">
        <f t="shared" si="4"/>
        <v>706</v>
      </c>
    </row>
    <row r="228" spans="1:8" x14ac:dyDescent="0.35">
      <c r="A228">
        <v>76999</v>
      </c>
      <c r="B228" s="16">
        <v>45301</v>
      </c>
      <c r="C228" s="15">
        <v>4081</v>
      </c>
      <c r="D228" t="s">
        <v>20</v>
      </c>
      <c r="G228" s="13">
        <v>95222</v>
      </c>
      <c r="H228" s="4">
        <f t="shared" si="4"/>
        <v>4163</v>
      </c>
    </row>
    <row r="229" spans="1:8" x14ac:dyDescent="0.35">
      <c r="A229">
        <v>83115</v>
      </c>
      <c r="B229" s="16">
        <v>45301</v>
      </c>
      <c r="C229" s="15">
        <v>2379</v>
      </c>
      <c r="D229" t="s">
        <v>22</v>
      </c>
      <c r="G229" s="13">
        <v>73830</v>
      </c>
      <c r="H229" s="4">
        <f t="shared" si="4"/>
        <v>994</v>
      </c>
    </row>
    <row r="230" spans="1:8" x14ac:dyDescent="0.35">
      <c r="A230">
        <v>26742</v>
      </c>
      <c r="B230" s="16">
        <v>45301</v>
      </c>
      <c r="C230" s="15">
        <v>3093</v>
      </c>
      <c r="D230" t="s">
        <v>20</v>
      </c>
      <c r="G230" s="13">
        <v>97338</v>
      </c>
      <c r="H230" s="4">
        <f t="shared" si="4"/>
        <v>573</v>
      </c>
    </row>
    <row r="231" spans="1:8" x14ac:dyDescent="0.35">
      <c r="A231">
        <v>92608</v>
      </c>
      <c r="B231" s="16">
        <v>45301</v>
      </c>
      <c r="C231" s="15">
        <v>3679</v>
      </c>
      <c r="D231" t="s">
        <v>22</v>
      </c>
      <c r="G231" s="13">
        <v>76999</v>
      </c>
      <c r="H231" s="4">
        <f t="shared" si="4"/>
        <v>4081</v>
      </c>
    </row>
    <row r="232" spans="1:8" x14ac:dyDescent="0.35">
      <c r="A232">
        <v>58634</v>
      </c>
      <c r="B232" s="16">
        <v>45301</v>
      </c>
      <c r="C232" s="15">
        <v>257</v>
      </c>
      <c r="D232" t="s">
        <v>21</v>
      </c>
      <c r="G232" s="13">
        <v>83115</v>
      </c>
      <c r="H232" s="4">
        <f t="shared" si="4"/>
        <v>2379</v>
      </c>
    </row>
    <row r="233" spans="1:8" x14ac:dyDescent="0.35">
      <c r="A233">
        <v>91427</v>
      </c>
      <c r="B233" s="16">
        <v>45301</v>
      </c>
      <c r="C233" s="15">
        <v>1503</v>
      </c>
      <c r="D233" t="s">
        <v>20</v>
      </c>
      <c r="G233" s="13">
        <v>26742</v>
      </c>
      <c r="H233" s="4">
        <f t="shared" si="4"/>
        <v>3093</v>
      </c>
    </row>
    <row r="234" spans="1:8" x14ac:dyDescent="0.35">
      <c r="A234">
        <v>82828</v>
      </c>
      <c r="B234" s="16">
        <v>45301</v>
      </c>
      <c r="C234" s="15">
        <v>3692</v>
      </c>
      <c r="D234" t="s">
        <v>20</v>
      </c>
      <c r="G234" s="13">
        <v>92608</v>
      </c>
      <c r="H234" s="4">
        <f t="shared" si="4"/>
        <v>3679</v>
      </c>
    </row>
    <row r="235" spans="1:8" x14ac:dyDescent="0.35">
      <c r="A235">
        <v>87945</v>
      </c>
      <c r="B235" s="16">
        <v>45301</v>
      </c>
      <c r="C235" s="15">
        <v>1542</v>
      </c>
      <c r="D235" t="s">
        <v>22</v>
      </c>
      <c r="G235" s="13">
        <v>58634</v>
      </c>
      <c r="H235" s="4">
        <f t="shared" si="4"/>
        <v>257</v>
      </c>
    </row>
    <row r="236" spans="1:8" x14ac:dyDescent="0.35">
      <c r="A236">
        <v>36462</v>
      </c>
      <c r="B236" s="16">
        <v>45301</v>
      </c>
      <c r="C236" s="15">
        <v>1739</v>
      </c>
      <c r="D236" t="s">
        <v>21</v>
      </c>
      <c r="G236" s="13">
        <v>91427</v>
      </c>
      <c r="H236" s="4">
        <f t="shared" si="4"/>
        <v>1503</v>
      </c>
    </row>
    <row r="237" spans="1:8" x14ac:dyDescent="0.35">
      <c r="A237">
        <v>21131</v>
      </c>
      <c r="B237" s="16">
        <v>45301</v>
      </c>
      <c r="C237" s="15">
        <v>3377</v>
      </c>
      <c r="D237" t="s">
        <v>22</v>
      </c>
      <c r="G237" s="13">
        <v>82828</v>
      </c>
      <c r="H237" s="4">
        <f t="shared" si="4"/>
        <v>3692</v>
      </c>
    </row>
    <row r="238" spans="1:8" x14ac:dyDescent="0.35">
      <c r="A238">
        <v>64308</v>
      </c>
      <c r="B238" s="16">
        <v>45301</v>
      </c>
      <c r="C238" s="15">
        <v>2655</v>
      </c>
      <c r="D238" t="s">
        <v>20</v>
      </c>
      <c r="G238" s="13">
        <v>87945</v>
      </c>
      <c r="H238" s="4">
        <f t="shared" si="4"/>
        <v>1542</v>
      </c>
    </row>
    <row r="239" spans="1:8" x14ac:dyDescent="0.35">
      <c r="A239">
        <v>88019</v>
      </c>
      <c r="B239" s="16">
        <v>45301</v>
      </c>
      <c r="C239" s="15">
        <v>484</v>
      </c>
      <c r="D239" t="s">
        <v>21</v>
      </c>
      <c r="G239" s="13">
        <v>36462</v>
      </c>
      <c r="H239" s="4">
        <f t="shared" si="4"/>
        <v>1739</v>
      </c>
    </row>
    <row r="240" spans="1:8" x14ac:dyDescent="0.35">
      <c r="A240">
        <v>61011</v>
      </c>
      <c r="B240" s="16">
        <v>45301</v>
      </c>
      <c r="C240" s="15">
        <v>4926</v>
      </c>
      <c r="D240" t="s">
        <v>22</v>
      </c>
      <c r="G240" s="13">
        <v>21131</v>
      </c>
      <c r="H240" s="4">
        <f t="shared" si="4"/>
        <v>3377</v>
      </c>
    </row>
    <row r="241" spans="1:8" x14ac:dyDescent="0.35">
      <c r="A241">
        <v>10821</v>
      </c>
      <c r="B241" s="16">
        <v>45301</v>
      </c>
      <c r="C241" s="15">
        <v>2205</v>
      </c>
      <c r="D241" t="s">
        <v>22</v>
      </c>
      <c r="G241" s="13">
        <v>64308</v>
      </c>
      <c r="H241" s="4">
        <f t="shared" si="4"/>
        <v>2655</v>
      </c>
    </row>
    <row r="242" spans="1:8" x14ac:dyDescent="0.35">
      <c r="A242">
        <v>90443</v>
      </c>
      <c r="B242" s="16">
        <v>45302</v>
      </c>
      <c r="C242" s="15">
        <v>2719</v>
      </c>
      <c r="D242" t="s">
        <v>20</v>
      </c>
      <c r="G242" s="13">
        <v>88019</v>
      </c>
      <c r="H242" s="4">
        <f t="shared" si="4"/>
        <v>484</v>
      </c>
    </row>
    <row r="243" spans="1:8" x14ac:dyDescent="0.35">
      <c r="A243">
        <v>60732</v>
      </c>
      <c r="B243" s="16">
        <v>45302</v>
      </c>
      <c r="C243" s="15">
        <v>3436</v>
      </c>
      <c r="D243" t="s">
        <v>20</v>
      </c>
      <c r="G243" s="13">
        <v>61011</v>
      </c>
      <c r="H243" s="4">
        <f t="shared" si="4"/>
        <v>4926</v>
      </c>
    </row>
    <row r="244" spans="1:8" x14ac:dyDescent="0.35">
      <c r="A244">
        <v>93750</v>
      </c>
      <c r="B244" s="16">
        <v>45302</v>
      </c>
      <c r="C244" s="15">
        <v>3621</v>
      </c>
      <c r="D244" t="s">
        <v>21</v>
      </c>
      <c r="G244" s="13">
        <v>10821</v>
      </c>
      <c r="H244" s="4">
        <f t="shared" si="4"/>
        <v>2205</v>
      </c>
    </row>
    <row r="245" spans="1:8" x14ac:dyDescent="0.35">
      <c r="A245">
        <v>37878</v>
      </c>
      <c r="B245" s="16">
        <v>45302</v>
      </c>
      <c r="C245" s="15">
        <v>2220</v>
      </c>
      <c r="D245" t="s">
        <v>21</v>
      </c>
      <c r="G245" s="13">
        <v>90443</v>
      </c>
      <c r="H245" s="4">
        <f t="shared" si="4"/>
        <v>2719</v>
      </c>
    </row>
    <row r="246" spans="1:8" x14ac:dyDescent="0.35">
      <c r="A246">
        <v>98055</v>
      </c>
      <c r="B246" s="16">
        <v>45302</v>
      </c>
      <c r="C246" s="15">
        <v>4048</v>
      </c>
      <c r="D246" t="s">
        <v>21</v>
      </c>
      <c r="G246" s="13">
        <v>60732</v>
      </c>
      <c r="H246" s="4">
        <f t="shared" si="4"/>
        <v>3436</v>
      </c>
    </row>
    <row r="247" spans="1:8" x14ac:dyDescent="0.35">
      <c r="A247">
        <v>11782</v>
      </c>
      <c r="B247" s="16">
        <v>45302</v>
      </c>
      <c r="C247" s="15">
        <v>4186</v>
      </c>
      <c r="D247" t="s">
        <v>20</v>
      </c>
      <c r="G247" s="13">
        <v>93750</v>
      </c>
      <c r="H247" s="4">
        <f t="shared" si="4"/>
        <v>3621</v>
      </c>
    </row>
    <row r="248" spans="1:8" x14ac:dyDescent="0.35">
      <c r="A248">
        <v>98212</v>
      </c>
      <c r="B248" s="16">
        <v>45302</v>
      </c>
      <c r="C248" s="15">
        <v>1307</v>
      </c>
      <c r="D248" t="s">
        <v>21</v>
      </c>
      <c r="G248" s="13">
        <v>37878</v>
      </c>
      <c r="H248" s="4">
        <f t="shared" si="4"/>
        <v>2220</v>
      </c>
    </row>
    <row r="249" spans="1:8" x14ac:dyDescent="0.35">
      <c r="A249">
        <v>35792</v>
      </c>
      <c r="B249" s="16">
        <v>45302</v>
      </c>
      <c r="C249" s="15">
        <v>3561</v>
      </c>
      <c r="D249" t="s">
        <v>22</v>
      </c>
      <c r="G249" s="13">
        <v>98055</v>
      </c>
      <c r="H249" s="4">
        <f t="shared" si="4"/>
        <v>2605.5</v>
      </c>
    </row>
    <row r="250" spans="1:8" x14ac:dyDescent="0.35">
      <c r="A250">
        <v>96930</v>
      </c>
      <c r="B250" s="16">
        <v>45302</v>
      </c>
      <c r="C250" s="15">
        <v>2450</v>
      </c>
      <c r="D250" t="s">
        <v>22</v>
      </c>
      <c r="G250" s="13">
        <v>11782</v>
      </c>
      <c r="H250" s="4">
        <f t="shared" si="4"/>
        <v>4186</v>
      </c>
    </row>
    <row r="251" spans="1:8" x14ac:dyDescent="0.35">
      <c r="A251">
        <v>37654</v>
      </c>
      <c r="B251" s="16">
        <v>45302</v>
      </c>
      <c r="C251" s="15">
        <v>2608</v>
      </c>
      <c r="D251" t="s">
        <v>22</v>
      </c>
      <c r="G251" s="13">
        <v>98212</v>
      </c>
      <c r="H251" s="4">
        <f t="shared" si="4"/>
        <v>1307</v>
      </c>
    </row>
    <row r="252" spans="1:8" x14ac:dyDescent="0.35">
      <c r="A252">
        <v>29323</v>
      </c>
      <c r="B252" s="16">
        <v>45302</v>
      </c>
      <c r="C252" s="15">
        <v>480</v>
      </c>
      <c r="D252" t="s">
        <v>20</v>
      </c>
      <c r="G252" s="13">
        <v>35792</v>
      </c>
      <c r="H252" s="4">
        <f t="shared" si="4"/>
        <v>3561</v>
      </c>
    </row>
    <row r="253" spans="1:8" x14ac:dyDescent="0.35">
      <c r="A253">
        <v>41089</v>
      </c>
      <c r="B253" s="16">
        <v>45302</v>
      </c>
      <c r="C253" s="15">
        <v>2386</v>
      </c>
      <c r="D253" t="s">
        <v>21</v>
      </c>
      <c r="G253" s="13">
        <v>96930</v>
      </c>
      <c r="H253" s="4">
        <f t="shared" si="4"/>
        <v>2450</v>
      </c>
    </row>
    <row r="254" spans="1:8" x14ac:dyDescent="0.35">
      <c r="A254">
        <v>28578</v>
      </c>
      <c r="B254" s="16">
        <v>45302</v>
      </c>
      <c r="C254" s="15">
        <v>4332</v>
      </c>
      <c r="D254" t="s">
        <v>22</v>
      </c>
      <c r="G254" s="13">
        <v>37654</v>
      </c>
      <c r="H254" s="4">
        <f t="shared" si="4"/>
        <v>2608</v>
      </c>
    </row>
    <row r="255" spans="1:8" x14ac:dyDescent="0.35">
      <c r="A255">
        <v>56578</v>
      </c>
      <c r="B255" s="16">
        <v>45302</v>
      </c>
      <c r="C255" s="15">
        <v>4626</v>
      </c>
      <c r="D255" t="s">
        <v>21</v>
      </c>
      <c r="G255" s="13">
        <v>29323</v>
      </c>
      <c r="H255" s="4">
        <f t="shared" si="4"/>
        <v>480</v>
      </c>
    </row>
    <row r="256" spans="1:8" x14ac:dyDescent="0.35">
      <c r="A256">
        <v>67223</v>
      </c>
      <c r="B256" s="16">
        <v>45302</v>
      </c>
      <c r="C256" s="15">
        <v>3873</v>
      </c>
      <c r="D256" t="s">
        <v>20</v>
      </c>
      <c r="G256" s="13">
        <v>41089</v>
      </c>
      <c r="H256" s="4">
        <f t="shared" si="4"/>
        <v>2386</v>
      </c>
    </row>
    <row r="257" spans="1:8" x14ac:dyDescent="0.35">
      <c r="A257">
        <v>34854</v>
      </c>
      <c r="B257" s="16">
        <v>45302</v>
      </c>
      <c r="C257" s="15">
        <v>4503</v>
      </c>
      <c r="D257" t="s">
        <v>21</v>
      </c>
      <c r="G257" s="13">
        <v>28578</v>
      </c>
      <c r="H257" s="4">
        <f t="shared" si="4"/>
        <v>4332</v>
      </c>
    </row>
    <row r="258" spans="1:8" x14ac:dyDescent="0.35">
      <c r="A258">
        <v>20480</v>
      </c>
      <c r="B258" s="16">
        <v>45302</v>
      </c>
      <c r="C258" s="15">
        <v>4712</v>
      </c>
      <c r="D258" t="s">
        <v>21</v>
      </c>
      <c r="G258" s="13">
        <v>56578</v>
      </c>
      <c r="H258" s="4">
        <f t="shared" si="4"/>
        <v>4626</v>
      </c>
    </row>
    <row r="259" spans="1:8" x14ac:dyDescent="0.35">
      <c r="A259">
        <v>85532</v>
      </c>
      <c r="B259" s="16">
        <v>45302</v>
      </c>
      <c r="C259" s="15">
        <v>4026</v>
      </c>
      <c r="D259" t="s">
        <v>20</v>
      </c>
      <c r="G259" s="13">
        <v>67223</v>
      </c>
      <c r="H259" s="4">
        <f t="shared" si="4"/>
        <v>3873</v>
      </c>
    </row>
    <row r="260" spans="1:8" x14ac:dyDescent="0.35">
      <c r="A260">
        <v>84355</v>
      </c>
      <c r="B260" s="16">
        <v>45302</v>
      </c>
      <c r="C260" s="15">
        <v>4539</v>
      </c>
      <c r="D260" t="s">
        <v>22</v>
      </c>
      <c r="G260" s="13">
        <v>34854</v>
      </c>
      <c r="H260" s="4">
        <f t="shared" si="4"/>
        <v>4503</v>
      </c>
    </row>
    <row r="261" spans="1:8" x14ac:dyDescent="0.35">
      <c r="A261">
        <v>71201</v>
      </c>
      <c r="B261" s="16">
        <v>45302</v>
      </c>
      <c r="C261" s="15">
        <v>1596</v>
      </c>
      <c r="D261" t="s">
        <v>21</v>
      </c>
      <c r="G261" s="13">
        <v>20480</v>
      </c>
      <c r="H261" s="4">
        <f t="shared" si="4"/>
        <v>4712</v>
      </c>
    </row>
    <row r="262" spans="1:8" x14ac:dyDescent="0.35">
      <c r="A262">
        <v>50811</v>
      </c>
      <c r="B262" s="16">
        <v>45302</v>
      </c>
      <c r="C262" s="15">
        <v>2296</v>
      </c>
      <c r="D262" t="s">
        <v>20</v>
      </c>
      <c r="G262" s="13">
        <v>85532</v>
      </c>
      <c r="H262" s="4">
        <f t="shared" ref="H262:H325" si="5">AVERAGEIF($A$2:$A$1501,"="&amp;G262,$C$2:$C$1501)</f>
        <v>4026</v>
      </c>
    </row>
    <row r="263" spans="1:8" x14ac:dyDescent="0.35">
      <c r="A263">
        <v>16246</v>
      </c>
      <c r="B263" s="16">
        <v>45302</v>
      </c>
      <c r="C263" s="15">
        <v>645</v>
      </c>
      <c r="D263" t="s">
        <v>22</v>
      </c>
      <c r="G263" s="13">
        <v>84355</v>
      </c>
      <c r="H263" s="4">
        <f t="shared" si="5"/>
        <v>4539</v>
      </c>
    </row>
    <row r="264" spans="1:8" x14ac:dyDescent="0.35">
      <c r="A264">
        <v>97621</v>
      </c>
      <c r="B264" s="16">
        <v>45302</v>
      </c>
      <c r="C264" s="15">
        <v>2693</v>
      </c>
      <c r="D264" t="s">
        <v>20</v>
      </c>
      <c r="G264" s="13">
        <v>71201</v>
      </c>
      <c r="H264" s="4">
        <f t="shared" si="5"/>
        <v>1596</v>
      </c>
    </row>
    <row r="265" spans="1:8" x14ac:dyDescent="0.35">
      <c r="A265">
        <v>53177</v>
      </c>
      <c r="B265" s="16">
        <v>45302</v>
      </c>
      <c r="C265" s="15">
        <v>1904</v>
      </c>
      <c r="D265" t="s">
        <v>20</v>
      </c>
      <c r="G265" s="13">
        <v>50811</v>
      </c>
      <c r="H265" s="4">
        <f t="shared" si="5"/>
        <v>2296</v>
      </c>
    </row>
    <row r="266" spans="1:8" x14ac:dyDescent="0.35">
      <c r="A266">
        <v>24469</v>
      </c>
      <c r="B266" s="16">
        <v>45303</v>
      </c>
      <c r="C266" s="15">
        <v>2692</v>
      </c>
      <c r="D266" t="s">
        <v>20</v>
      </c>
      <c r="G266" s="13">
        <v>16246</v>
      </c>
      <c r="H266" s="4">
        <f t="shared" si="5"/>
        <v>645</v>
      </c>
    </row>
    <row r="267" spans="1:8" x14ac:dyDescent="0.35">
      <c r="A267">
        <v>28988</v>
      </c>
      <c r="B267" s="16">
        <v>45303</v>
      </c>
      <c r="C267" s="15">
        <v>1302</v>
      </c>
      <c r="D267" t="s">
        <v>20</v>
      </c>
      <c r="G267" s="13">
        <v>97621</v>
      </c>
      <c r="H267" s="4">
        <f t="shared" si="5"/>
        <v>2693</v>
      </c>
    </row>
    <row r="268" spans="1:8" x14ac:dyDescent="0.35">
      <c r="A268">
        <v>91035</v>
      </c>
      <c r="B268" s="16">
        <v>45303</v>
      </c>
      <c r="C268" s="15">
        <v>1995</v>
      </c>
      <c r="D268" t="s">
        <v>22</v>
      </c>
      <c r="G268" s="13">
        <v>53177</v>
      </c>
      <c r="H268" s="4">
        <f t="shared" si="5"/>
        <v>1904</v>
      </c>
    </row>
    <row r="269" spans="1:8" x14ac:dyDescent="0.35">
      <c r="A269">
        <v>94354</v>
      </c>
      <c r="B269" s="16">
        <v>45303</v>
      </c>
      <c r="C269" s="15">
        <v>1538</v>
      </c>
      <c r="D269" t="s">
        <v>22</v>
      </c>
      <c r="G269" s="13">
        <v>24469</v>
      </c>
      <c r="H269" s="4">
        <f t="shared" si="5"/>
        <v>2692</v>
      </c>
    </row>
    <row r="270" spans="1:8" x14ac:dyDescent="0.35">
      <c r="A270">
        <v>10963</v>
      </c>
      <c r="B270" s="16">
        <v>45303</v>
      </c>
      <c r="C270" s="15">
        <v>3624</v>
      </c>
      <c r="D270" t="s">
        <v>21</v>
      </c>
      <c r="G270" s="13">
        <v>28988</v>
      </c>
      <c r="H270" s="4">
        <f t="shared" si="5"/>
        <v>1302</v>
      </c>
    </row>
    <row r="271" spans="1:8" x14ac:dyDescent="0.35">
      <c r="A271">
        <v>72107</v>
      </c>
      <c r="B271" s="16">
        <v>45303</v>
      </c>
      <c r="C271" s="15">
        <v>2686</v>
      </c>
      <c r="D271" t="s">
        <v>21</v>
      </c>
      <c r="G271" s="13">
        <v>91035</v>
      </c>
      <c r="H271" s="4">
        <f t="shared" si="5"/>
        <v>1995</v>
      </c>
    </row>
    <row r="272" spans="1:8" x14ac:dyDescent="0.35">
      <c r="A272">
        <v>40867</v>
      </c>
      <c r="B272" s="16">
        <v>45303</v>
      </c>
      <c r="C272" s="15">
        <v>4399</v>
      </c>
      <c r="D272" t="s">
        <v>20</v>
      </c>
      <c r="G272" s="13">
        <v>94354</v>
      </c>
      <c r="H272" s="4">
        <f t="shared" si="5"/>
        <v>1538</v>
      </c>
    </row>
    <row r="273" spans="1:8" x14ac:dyDescent="0.35">
      <c r="A273">
        <v>37790</v>
      </c>
      <c r="B273" s="16">
        <v>45303</v>
      </c>
      <c r="C273" s="15">
        <v>3046</v>
      </c>
      <c r="D273" t="s">
        <v>21</v>
      </c>
      <c r="G273" s="13">
        <v>10963</v>
      </c>
      <c r="H273" s="4">
        <f t="shared" si="5"/>
        <v>3624</v>
      </c>
    </row>
    <row r="274" spans="1:8" x14ac:dyDescent="0.35">
      <c r="A274">
        <v>48556</v>
      </c>
      <c r="B274" s="16">
        <v>45303</v>
      </c>
      <c r="C274" s="15">
        <v>2161</v>
      </c>
      <c r="D274" t="s">
        <v>20</v>
      </c>
      <c r="G274" s="13">
        <v>72107</v>
      </c>
      <c r="H274" s="4">
        <f t="shared" si="5"/>
        <v>2686</v>
      </c>
    </row>
    <row r="275" spans="1:8" x14ac:dyDescent="0.35">
      <c r="A275">
        <v>47669</v>
      </c>
      <c r="B275" s="16">
        <v>45303</v>
      </c>
      <c r="C275" s="15">
        <v>502</v>
      </c>
      <c r="D275" t="s">
        <v>20</v>
      </c>
      <c r="G275" s="13">
        <v>40867</v>
      </c>
      <c r="H275" s="4">
        <f t="shared" si="5"/>
        <v>4399</v>
      </c>
    </row>
    <row r="276" spans="1:8" x14ac:dyDescent="0.35">
      <c r="A276">
        <v>51126</v>
      </c>
      <c r="B276" s="16">
        <v>45303</v>
      </c>
      <c r="C276" s="15">
        <v>674</v>
      </c>
      <c r="D276" t="s">
        <v>20</v>
      </c>
      <c r="G276" s="13">
        <v>37790</v>
      </c>
      <c r="H276" s="4">
        <f t="shared" si="5"/>
        <v>3046</v>
      </c>
    </row>
    <row r="277" spans="1:8" x14ac:dyDescent="0.35">
      <c r="A277">
        <v>88915</v>
      </c>
      <c r="B277" s="16">
        <v>45303</v>
      </c>
      <c r="C277" s="15">
        <v>3516</v>
      </c>
      <c r="D277" t="s">
        <v>21</v>
      </c>
      <c r="G277" s="13">
        <v>48556</v>
      </c>
      <c r="H277" s="4">
        <f t="shared" si="5"/>
        <v>2161</v>
      </c>
    </row>
    <row r="278" spans="1:8" x14ac:dyDescent="0.35">
      <c r="A278">
        <v>42147</v>
      </c>
      <c r="B278" s="16">
        <v>45303</v>
      </c>
      <c r="C278" s="15">
        <v>3453</v>
      </c>
      <c r="D278" t="s">
        <v>21</v>
      </c>
      <c r="G278" s="13">
        <v>47669</v>
      </c>
      <c r="H278" s="4">
        <f t="shared" si="5"/>
        <v>502</v>
      </c>
    </row>
    <row r="279" spans="1:8" x14ac:dyDescent="0.35">
      <c r="A279">
        <v>28181</v>
      </c>
      <c r="B279" s="16">
        <v>45303</v>
      </c>
      <c r="C279" s="15">
        <v>3076</v>
      </c>
      <c r="D279" t="s">
        <v>20</v>
      </c>
      <c r="G279" s="13">
        <v>51126</v>
      </c>
      <c r="H279" s="4">
        <f t="shared" si="5"/>
        <v>674</v>
      </c>
    </row>
    <row r="280" spans="1:8" x14ac:dyDescent="0.35">
      <c r="A280">
        <v>71950</v>
      </c>
      <c r="B280" s="16">
        <v>45303</v>
      </c>
      <c r="C280" s="15">
        <v>966</v>
      </c>
      <c r="D280" t="s">
        <v>21</v>
      </c>
      <c r="G280" s="13">
        <v>88915</v>
      </c>
      <c r="H280" s="4">
        <f t="shared" si="5"/>
        <v>3516</v>
      </c>
    </row>
    <row r="281" spans="1:8" x14ac:dyDescent="0.35">
      <c r="A281">
        <v>46958</v>
      </c>
      <c r="B281" s="16">
        <v>45303</v>
      </c>
      <c r="C281" s="15">
        <v>4949</v>
      </c>
      <c r="D281" t="s">
        <v>21</v>
      </c>
      <c r="G281" s="13">
        <v>42147</v>
      </c>
      <c r="H281" s="4">
        <f t="shared" si="5"/>
        <v>3453</v>
      </c>
    </row>
    <row r="282" spans="1:8" x14ac:dyDescent="0.35">
      <c r="A282">
        <v>55435</v>
      </c>
      <c r="B282" s="16">
        <v>45303</v>
      </c>
      <c r="C282" s="15">
        <v>2433</v>
      </c>
      <c r="D282" t="s">
        <v>22</v>
      </c>
      <c r="G282" s="13">
        <v>28181</v>
      </c>
      <c r="H282" s="4">
        <f t="shared" si="5"/>
        <v>3076</v>
      </c>
    </row>
    <row r="283" spans="1:8" x14ac:dyDescent="0.35">
      <c r="A283">
        <v>55193</v>
      </c>
      <c r="B283" s="16">
        <v>45303</v>
      </c>
      <c r="C283" s="15">
        <v>4952</v>
      </c>
      <c r="D283" t="s">
        <v>21</v>
      </c>
      <c r="G283" s="13">
        <v>71950</v>
      </c>
      <c r="H283" s="4">
        <f t="shared" si="5"/>
        <v>966</v>
      </c>
    </row>
    <row r="284" spans="1:8" x14ac:dyDescent="0.35">
      <c r="A284">
        <v>32079</v>
      </c>
      <c r="B284" s="16">
        <v>45303</v>
      </c>
      <c r="C284" s="15">
        <v>3207</v>
      </c>
      <c r="D284" t="s">
        <v>22</v>
      </c>
      <c r="G284" s="13">
        <v>46958</v>
      </c>
      <c r="H284" s="4">
        <f t="shared" si="5"/>
        <v>4949</v>
      </c>
    </row>
    <row r="285" spans="1:8" x14ac:dyDescent="0.35">
      <c r="A285">
        <v>69879</v>
      </c>
      <c r="B285" s="16">
        <v>45303</v>
      </c>
      <c r="C285" s="15">
        <v>4105</v>
      </c>
      <c r="D285" t="s">
        <v>20</v>
      </c>
      <c r="G285" s="13">
        <v>55435</v>
      </c>
      <c r="H285" s="4">
        <f t="shared" si="5"/>
        <v>2433</v>
      </c>
    </row>
    <row r="286" spans="1:8" x14ac:dyDescent="0.35">
      <c r="A286">
        <v>71893</v>
      </c>
      <c r="B286" s="16">
        <v>45303</v>
      </c>
      <c r="C286" s="15">
        <v>139</v>
      </c>
      <c r="D286" t="s">
        <v>21</v>
      </c>
      <c r="G286" s="13">
        <v>55193</v>
      </c>
      <c r="H286" s="4">
        <f t="shared" si="5"/>
        <v>4952</v>
      </c>
    </row>
    <row r="287" spans="1:8" x14ac:dyDescent="0.35">
      <c r="A287">
        <v>22042</v>
      </c>
      <c r="B287" s="16">
        <v>45303</v>
      </c>
      <c r="C287" s="15">
        <v>4756</v>
      </c>
      <c r="D287" t="s">
        <v>20</v>
      </c>
      <c r="G287" s="13">
        <v>32079</v>
      </c>
      <c r="H287" s="4">
        <f t="shared" si="5"/>
        <v>3207</v>
      </c>
    </row>
    <row r="288" spans="1:8" x14ac:dyDescent="0.35">
      <c r="A288">
        <v>83722</v>
      </c>
      <c r="B288" s="16">
        <v>45303</v>
      </c>
      <c r="C288" s="15">
        <v>2632</v>
      </c>
      <c r="D288" t="s">
        <v>21</v>
      </c>
      <c r="G288" s="13">
        <v>69879</v>
      </c>
      <c r="H288" s="4">
        <f t="shared" si="5"/>
        <v>4105</v>
      </c>
    </row>
    <row r="289" spans="1:8" x14ac:dyDescent="0.35">
      <c r="A289">
        <v>47181</v>
      </c>
      <c r="B289" s="16">
        <v>45303</v>
      </c>
      <c r="C289" s="15">
        <v>1693</v>
      </c>
      <c r="D289" t="s">
        <v>22</v>
      </c>
      <c r="G289" s="13">
        <v>71893</v>
      </c>
      <c r="H289" s="4">
        <f t="shared" si="5"/>
        <v>139</v>
      </c>
    </row>
    <row r="290" spans="1:8" x14ac:dyDescent="0.35">
      <c r="A290">
        <v>56753</v>
      </c>
      <c r="B290" s="16">
        <v>45304</v>
      </c>
      <c r="C290" s="15">
        <v>4807</v>
      </c>
      <c r="D290" t="s">
        <v>22</v>
      </c>
      <c r="G290" s="13">
        <v>22042</v>
      </c>
      <c r="H290" s="4">
        <f t="shared" si="5"/>
        <v>4756</v>
      </c>
    </row>
    <row r="291" spans="1:8" x14ac:dyDescent="0.35">
      <c r="A291">
        <v>74827</v>
      </c>
      <c r="B291" s="16">
        <v>45304</v>
      </c>
      <c r="C291" s="15">
        <v>705</v>
      </c>
      <c r="D291" t="s">
        <v>21</v>
      </c>
      <c r="G291" s="13">
        <v>83722</v>
      </c>
      <c r="H291" s="4">
        <f t="shared" si="5"/>
        <v>2632</v>
      </c>
    </row>
    <row r="292" spans="1:8" x14ac:dyDescent="0.35">
      <c r="A292">
        <v>54312</v>
      </c>
      <c r="B292" s="16">
        <v>45304</v>
      </c>
      <c r="C292" s="15">
        <v>4225</v>
      </c>
      <c r="D292" t="s">
        <v>20</v>
      </c>
      <c r="G292" s="13">
        <v>47181</v>
      </c>
      <c r="H292" s="4">
        <f t="shared" si="5"/>
        <v>1693</v>
      </c>
    </row>
    <row r="293" spans="1:8" x14ac:dyDescent="0.35">
      <c r="A293">
        <v>52857</v>
      </c>
      <c r="B293" s="16">
        <v>45304</v>
      </c>
      <c r="C293" s="15">
        <v>2181</v>
      </c>
      <c r="D293" t="s">
        <v>22</v>
      </c>
      <c r="G293" s="13">
        <v>56753</v>
      </c>
      <c r="H293" s="4">
        <f t="shared" si="5"/>
        <v>4807</v>
      </c>
    </row>
    <row r="294" spans="1:8" x14ac:dyDescent="0.35">
      <c r="A294">
        <v>71025</v>
      </c>
      <c r="B294" s="16">
        <v>45304</v>
      </c>
      <c r="C294" s="15">
        <v>842</v>
      </c>
      <c r="D294" t="s">
        <v>20</v>
      </c>
      <c r="G294" s="13">
        <v>74827</v>
      </c>
      <c r="H294" s="4">
        <f t="shared" si="5"/>
        <v>705</v>
      </c>
    </row>
    <row r="295" spans="1:8" x14ac:dyDescent="0.35">
      <c r="A295">
        <v>71497</v>
      </c>
      <c r="B295" s="16">
        <v>45304</v>
      </c>
      <c r="C295" s="15">
        <v>573</v>
      </c>
      <c r="D295" t="s">
        <v>22</v>
      </c>
      <c r="G295" s="13">
        <v>54312</v>
      </c>
      <c r="H295" s="4">
        <f t="shared" si="5"/>
        <v>4225</v>
      </c>
    </row>
    <row r="296" spans="1:8" x14ac:dyDescent="0.35">
      <c r="A296">
        <v>23851</v>
      </c>
      <c r="B296" s="16">
        <v>45304</v>
      </c>
      <c r="C296" s="15">
        <v>3066</v>
      </c>
      <c r="D296" t="s">
        <v>20</v>
      </c>
      <c r="G296" s="13">
        <v>52857</v>
      </c>
      <c r="H296" s="4">
        <f t="shared" si="5"/>
        <v>2181</v>
      </c>
    </row>
    <row r="297" spans="1:8" x14ac:dyDescent="0.35">
      <c r="A297">
        <v>47667</v>
      </c>
      <c r="B297" s="16">
        <v>45304</v>
      </c>
      <c r="C297" s="15">
        <v>1236</v>
      </c>
      <c r="D297" t="s">
        <v>20</v>
      </c>
      <c r="G297" s="13">
        <v>71025</v>
      </c>
      <c r="H297" s="4">
        <f t="shared" si="5"/>
        <v>842</v>
      </c>
    </row>
    <row r="298" spans="1:8" x14ac:dyDescent="0.35">
      <c r="A298">
        <v>81373</v>
      </c>
      <c r="B298" s="16">
        <v>45304</v>
      </c>
      <c r="C298" s="15">
        <v>2436</v>
      </c>
      <c r="D298" t="s">
        <v>21</v>
      </c>
      <c r="G298" s="13">
        <v>71497</v>
      </c>
      <c r="H298" s="4">
        <f t="shared" si="5"/>
        <v>2109.5</v>
      </c>
    </row>
    <row r="299" spans="1:8" x14ac:dyDescent="0.35">
      <c r="A299">
        <v>51461</v>
      </c>
      <c r="B299" s="16">
        <v>45304</v>
      </c>
      <c r="C299" s="15">
        <v>229</v>
      </c>
      <c r="D299" t="s">
        <v>22</v>
      </c>
      <c r="G299" s="13">
        <v>23851</v>
      </c>
      <c r="H299" s="4">
        <f t="shared" si="5"/>
        <v>3066</v>
      </c>
    </row>
    <row r="300" spans="1:8" x14ac:dyDescent="0.35">
      <c r="A300">
        <v>76683</v>
      </c>
      <c r="B300" s="16">
        <v>45304</v>
      </c>
      <c r="C300" s="15">
        <v>4853</v>
      </c>
      <c r="D300" t="s">
        <v>20</v>
      </c>
      <c r="G300" s="13">
        <v>47667</v>
      </c>
      <c r="H300" s="4">
        <f t="shared" si="5"/>
        <v>1236</v>
      </c>
    </row>
    <row r="301" spans="1:8" x14ac:dyDescent="0.35">
      <c r="A301">
        <v>11644</v>
      </c>
      <c r="B301" s="16">
        <v>45304</v>
      </c>
      <c r="C301" s="15">
        <v>3566</v>
      </c>
      <c r="D301" t="s">
        <v>20</v>
      </c>
      <c r="G301" s="13">
        <v>81373</v>
      </c>
      <c r="H301" s="4">
        <f t="shared" si="5"/>
        <v>2436</v>
      </c>
    </row>
    <row r="302" spans="1:8" x14ac:dyDescent="0.35">
      <c r="A302">
        <v>27356</v>
      </c>
      <c r="B302" s="16">
        <v>45304</v>
      </c>
      <c r="C302" s="15">
        <v>991</v>
      </c>
      <c r="D302" t="s">
        <v>20</v>
      </c>
      <c r="G302" s="13">
        <v>51461</v>
      </c>
      <c r="H302" s="4">
        <f t="shared" si="5"/>
        <v>229</v>
      </c>
    </row>
    <row r="303" spans="1:8" x14ac:dyDescent="0.35">
      <c r="A303">
        <v>95840</v>
      </c>
      <c r="B303" s="16">
        <v>45304</v>
      </c>
      <c r="C303" s="15">
        <v>2807</v>
      </c>
      <c r="D303" t="s">
        <v>20</v>
      </c>
      <c r="G303" s="13">
        <v>76683</v>
      </c>
      <c r="H303" s="4">
        <f t="shared" si="5"/>
        <v>4853</v>
      </c>
    </row>
    <row r="304" spans="1:8" x14ac:dyDescent="0.35">
      <c r="A304">
        <v>96767</v>
      </c>
      <c r="B304" s="16">
        <v>45304</v>
      </c>
      <c r="C304" s="15">
        <v>4459</v>
      </c>
      <c r="D304" t="s">
        <v>22</v>
      </c>
      <c r="G304" s="13">
        <v>11644</v>
      </c>
      <c r="H304" s="4">
        <f t="shared" si="5"/>
        <v>3566</v>
      </c>
    </row>
    <row r="305" spans="1:8" x14ac:dyDescent="0.35">
      <c r="A305">
        <v>90090</v>
      </c>
      <c r="B305" s="16">
        <v>45304</v>
      </c>
      <c r="C305" s="15">
        <v>877</v>
      </c>
      <c r="D305" t="s">
        <v>21</v>
      </c>
      <c r="G305" s="13">
        <v>27356</v>
      </c>
      <c r="H305" s="4">
        <f t="shared" si="5"/>
        <v>991</v>
      </c>
    </row>
    <row r="306" spans="1:8" x14ac:dyDescent="0.35">
      <c r="A306">
        <v>80518</v>
      </c>
      <c r="B306" s="16">
        <v>45304</v>
      </c>
      <c r="C306" s="15">
        <v>3738</v>
      </c>
      <c r="D306" t="s">
        <v>22</v>
      </c>
      <c r="G306" s="13">
        <v>95840</v>
      </c>
      <c r="H306" s="4">
        <f t="shared" si="5"/>
        <v>2807</v>
      </c>
    </row>
    <row r="307" spans="1:8" x14ac:dyDescent="0.35">
      <c r="A307">
        <v>52172</v>
      </c>
      <c r="B307" s="16">
        <v>45304</v>
      </c>
      <c r="C307" s="15">
        <v>3287</v>
      </c>
      <c r="D307" t="s">
        <v>20</v>
      </c>
      <c r="G307" s="13">
        <v>96767</v>
      </c>
      <c r="H307" s="4">
        <f t="shared" si="5"/>
        <v>4459</v>
      </c>
    </row>
    <row r="308" spans="1:8" x14ac:dyDescent="0.35">
      <c r="A308">
        <v>32201</v>
      </c>
      <c r="B308" s="16">
        <v>45304</v>
      </c>
      <c r="C308" s="15">
        <v>1934</v>
      </c>
      <c r="D308" t="s">
        <v>20</v>
      </c>
      <c r="G308" s="13">
        <v>90090</v>
      </c>
      <c r="H308" s="4">
        <f t="shared" si="5"/>
        <v>877</v>
      </c>
    </row>
    <row r="309" spans="1:8" x14ac:dyDescent="0.35">
      <c r="A309">
        <v>24539</v>
      </c>
      <c r="B309" s="16">
        <v>45304</v>
      </c>
      <c r="C309" s="15">
        <v>3979</v>
      </c>
      <c r="D309" t="s">
        <v>20</v>
      </c>
      <c r="G309" s="13">
        <v>80518</v>
      </c>
      <c r="H309" s="4">
        <f t="shared" si="5"/>
        <v>3738</v>
      </c>
    </row>
    <row r="310" spans="1:8" x14ac:dyDescent="0.35">
      <c r="A310">
        <v>17648</v>
      </c>
      <c r="B310" s="16">
        <v>45304</v>
      </c>
      <c r="C310" s="15">
        <v>1888</v>
      </c>
      <c r="D310" t="s">
        <v>20</v>
      </c>
      <c r="G310" s="13">
        <v>52172</v>
      </c>
      <c r="H310" s="4">
        <f t="shared" si="5"/>
        <v>3287</v>
      </c>
    </row>
    <row r="311" spans="1:8" x14ac:dyDescent="0.35">
      <c r="A311">
        <v>89765</v>
      </c>
      <c r="B311" s="16">
        <v>45304</v>
      </c>
      <c r="C311" s="15">
        <v>2087</v>
      </c>
      <c r="D311" t="s">
        <v>20</v>
      </c>
      <c r="G311" s="13">
        <v>32201</v>
      </c>
      <c r="H311" s="4">
        <f t="shared" si="5"/>
        <v>1934</v>
      </c>
    </row>
    <row r="312" spans="1:8" x14ac:dyDescent="0.35">
      <c r="A312">
        <v>43235</v>
      </c>
      <c r="B312" s="16">
        <v>45304</v>
      </c>
      <c r="C312" s="15">
        <v>3765</v>
      </c>
      <c r="D312" t="s">
        <v>20</v>
      </c>
      <c r="G312" s="13">
        <v>24539</v>
      </c>
      <c r="H312" s="4">
        <f t="shared" si="5"/>
        <v>3979</v>
      </c>
    </row>
    <row r="313" spans="1:8" x14ac:dyDescent="0.35">
      <c r="A313">
        <v>78470</v>
      </c>
      <c r="B313" s="16">
        <v>45304</v>
      </c>
      <c r="C313" s="15">
        <v>2897</v>
      </c>
      <c r="D313" t="s">
        <v>20</v>
      </c>
      <c r="G313" s="13">
        <v>17648</v>
      </c>
      <c r="H313" s="4">
        <f t="shared" si="5"/>
        <v>1888</v>
      </c>
    </row>
    <row r="314" spans="1:8" x14ac:dyDescent="0.35">
      <c r="A314">
        <v>69384</v>
      </c>
      <c r="B314" s="16">
        <v>45305</v>
      </c>
      <c r="C314" s="15">
        <v>3594</v>
      </c>
      <c r="D314" t="s">
        <v>22</v>
      </c>
      <c r="G314" s="13">
        <v>89765</v>
      </c>
      <c r="H314" s="4">
        <f t="shared" si="5"/>
        <v>2087</v>
      </c>
    </row>
    <row r="315" spans="1:8" x14ac:dyDescent="0.35">
      <c r="A315">
        <v>30207</v>
      </c>
      <c r="B315" s="16">
        <v>45305</v>
      </c>
      <c r="C315" s="15">
        <v>2892</v>
      </c>
      <c r="D315" t="s">
        <v>20</v>
      </c>
      <c r="G315" s="13">
        <v>43235</v>
      </c>
      <c r="H315" s="4">
        <f t="shared" si="5"/>
        <v>3765</v>
      </c>
    </row>
    <row r="316" spans="1:8" x14ac:dyDescent="0.35">
      <c r="A316">
        <v>12167</v>
      </c>
      <c r="B316" s="16">
        <v>45305</v>
      </c>
      <c r="C316" s="15">
        <v>4501</v>
      </c>
      <c r="D316" t="s">
        <v>20</v>
      </c>
      <c r="G316" s="13">
        <v>78470</v>
      </c>
      <c r="H316" s="4">
        <f t="shared" si="5"/>
        <v>2897</v>
      </c>
    </row>
    <row r="317" spans="1:8" x14ac:dyDescent="0.35">
      <c r="A317">
        <v>98186</v>
      </c>
      <c r="B317" s="16">
        <v>45305</v>
      </c>
      <c r="C317" s="15">
        <v>298</v>
      </c>
      <c r="D317" t="s">
        <v>21</v>
      </c>
      <c r="G317" s="13">
        <v>69384</v>
      </c>
      <c r="H317" s="4">
        <f t="shared" si="5"/>
        <v>3594</v>
      </c>
    </row>
    <row r="318" spans="1:8" x14ac:dyDescent="0.35">
      <c r="A318">
        <v>61439</v>
      </c>
      <c r="B318" s="16">
        <v>45305</v>
      </c>
      <c r="C318" s="15">
        <v>1128</v>
      </c>
      <c r="D318" t="s">
        <v>20</v>
      </c>
      <c r="G318" s="13">
        <v>30207</v>
      </c>
      <c r="H318" s="4">
        <f t="shared" si="5"/>
        <v>2892</v>
      </c>
    </row>
    <row r="319" spans="1:8" x14ac:dyDescent="0.35">
      <c r="A319">
        <v>92965</v>
      </c>
      <c r="B319" s="16">
        <v>45305</v>
      </c>
      <c r="C319" s="15">
        <v>99</v>
      </c>
      <c r="D319" t="s">
        <v>20</v>
      </c>
      <c r="G319" s="13">
        <v>12167</v>
      </c>
      <c r="H319" s="4">
        <f t="shared" si="5"/>
        <v>4501</v>
      </c>
    </row>
    <row r="320" spans="1:8" x14ac:dyDescent="0.35">
      <c r="A320">
        <v>85304</v>
      </c>
      <c r="B320" s="16">
        <v>45305</v>
      </c>
      <c r="C320" s="15">
        <v>2629</v>
      </c>
      <c r="D320" t="s">
        <v>20</v>
      </c>
      <c r="G320" s="13">
        <v>98186</v>
      </c>
      <c r="H320" s="4">
        <f t="shared" si="5"/>
        <v>298</v>
      </c>
    </row>
    <row r="321" spans="1:8" x14ac:dyDescent="0.35">
      <c r="A321">
        <v>75199</v>
      </c>
      <c r="B321" s="16">
        <v>45305</v>
      </c>
      <c r="C321" s="15">
        <v>2934</v>
      </c>
      <c r="D321" t="s">
        <v>22</v>
      </c>
      <c r="G321" s="13">
        <v>61439</v>
      </c>
      <c r="H321" s="4">
        <f t="shared" si="5"/>
        <v>1128</v>
      </c>
    </row>
    <row r="322" spans="1:8" x14ac:dyDescent="0.35">
      <c r="A322">
        <v>94819</v>
      </c>
      <c r="B322" s="16">
        <v>45305</v>
      </c>
      <c r="C322" s="15">
        <v>393</v>
      </c>
      <c r="D322" t="s">
        <v>22</v>
      </c>
      <c r="G322" s="13">
        <v>92965</v>
      </c>
      <c r="H322" s="4">
        <f t="shared" si="5"/>
        <v>99</v>
      </c>
    </row>
    <row r="323" spans="1:8" x14ac:dyDescent="0.35">
      <c r="A323">
        <v>22591</v>
      </c>
      <c r="B323" s="16">
        <v>45305</v>
      </c>
      <c r="C323" s="15">
        <v>268</v>
      </c>
      <c r="D323" t="s">
        <v>21</v>
      </c>
      <c r="G323" s="13">
        <v>85304</v>
      </c>
      <c r="H323" s="4">
        <f t="shared" si="5"/>
        <v>2629</v>
      </c>
    </row>
    <row r="324" spans="1:8" x14ac:dyDescent="0.35">
      <c r="A324">
        <v>82287</v>
      </c>
      <c r="B324" s="16">
        <v>45305</v>
      </c>
      <c r="C324" s="15">
        <v>1692</v>
      </c>
      <c r="D324" t="s">
        <v>21</v>
      </c>
      <c r="G324" s="13">
        <v>75199</v>
      </c>
      <c r="H324" s="4">
        <f t="shared" si="5"/>
        <v>2934</v>
      </c>
    </row>
    <row r="325" spans="1:8" x14ac:dyDescent="0.35">
      <c r="A325">
        <v>93189</v>
      </c>
      <c r="B325" s="16">
        <v>45305</v>
      </c>
      <c r="C325" s="15">
        <v>2768</v>
      </c>
      <c r="D325" t="s">
        <v>22</v>
      </c>
      <c r="G325" s="13">
        <v>94819</v>
      </c>
      <c r="H325" s="4">
        <f t="shared" si="5"/>
        <v>393</v>
      </c>
    </row>
    <row r="326" spans="1:8" x14ac:dyDescent="0.35">
      <c r="A326">
        <v>79293</v>
      </c>
      <c r="B326" s="16">
        <v>45305</v>
      </c>
      <c r="C326" s="15">
        <v>2746</v>
      </c>
      <c r="D326" t="s">
        <v>20</v>
      </c>
      <c r="G326" s="13">
        <v>22591</v>
      </c>
      <c r="H326" s="4">
        <f t="shared" ref="H326:H389" si="6">AVERAGEIF($A$2:$A$1501,"="&amp;G326,$C$2:$C$1501)</f>
        <v>268</v>
      </c>
    </row>
    <row r="327" spans="1:8" x14ac:dyDescent="0.35">
      <c r="A327">
        <v>64302</v>
      </c>
      <c r="B327" s="16">
        <v>45305</v>
      </c>
      <c r="C327" s="15">
        <v>696</v>
      </c>
      <c r="D327" t="s">
        <v>20</v>
      </c>
      <c r="G327" s="13">
        <v>82287</v>
      </c>
      <c r="H327" s="4">
        <f t="shared" si="6"/>
        <v>1692</v>
      </c>
    </row>
    <row r="328" spans="1:8" x14ac:dyDescent="0.35">
      <c r="A328">
        <v>58647</v>
      </c>
      <c r="B328" s="16">
        <v>45305</v>
      </c>
      <c r="C328" s="15">
        <v>875</v>
      </c>
      <c r="D328" t="s">
        <v>21</v>
      </c>
      <c r="G328" s="13">
        <v>93189</v>
      </c>
      <c r="H328" s="4">
        <f t="shared" si="6"/>
        <v>2768</v>
      </c>
    </row>
    <row r="329" spans="1:8" x14ac:dyDescent="0.35">
      <c r="A329">
        <v>29014</v>
      </c>
      <c r="B329" s="16">
        <v>45305</v>
      </c>
      <c r="C329" s="15">
        <v>1781</v>
      </c>
      <c r="D329" t="s">
        <v>22</v>
      </c>
      <c r="G329" s="13">
        <v>79293</v>
      </c>
      <c r="H329" s="4">
        <f t="shared" si="6"/>
        <v>2746</v>
      </c>
    </row>
    <row r="330" spans="1:8" x14ac:dyDescent="0.35">
      <c r="A330">
        <v>83236</v>
      </c>
      <c r="B330" s="16">
        <v>45305</v>
      </c>
      <c r="C330" s="15">
        <v>3232</v>
      </c>
      <c r="D330" t="s">
        <v>21</v>
      </c>
      <c r="G330" s="13">
        <v>64302</v>
      </c>
      <c r="H330" s="4">
        <f t="shared" si="6"/>
        <v>696</v>
      </c>
    </row>
    <row r="331" spans="1:8" x14ac:dyDescent="0.35">
      <c r="A331">
        <v>31341</v>
      </c>
      <c r="B331" s="16">
        <v>45305</v>
      </c>
      <c r="C331" s="15">
        <v>3098</v>
      </c>
      <c r="D331" t="s">
        <v>20</v>
      </c>
      <c r="G331" s="13">
        <v>58647</v>
      </c>
      <c r="H331" s="4">
        <f t="shared" si="6"/>
        <v>875</v>
      </c>
    </row>
    <row r="332" spans="1:8" x14ac:dyDescent="0.35">
      <c r="A332">
        <v>10341</v>
      </c>
      <c r="B332" s="16">
        <v>45305</v>
      </c>
      <c r="C332" s="15">
        <v>2054</v>
      </c>
      <c r="D332" t="s">
        <v>22</v>
      </c>
      <c r="G332" s="13">
        <v>29014</v>
      </c>
      <c r="H332" s="4">
        <f t="shared" si="6"/>
        <v>1781</v>
      </c>
    </row>
    <row r="333" spans="1:8" x14ac:dyDescent="0.35">
      <c r="A333">
        <v>76771</v>
      </c>
      <c r="B333" s="16">
        <v>45305</v>
      </c>
      <c r="C333" s="15">
        <v>696</v>
      </c>
      <c r="D333" t="s">
        <v>21</v>
      </c>
      <c r="G333" s="13">
        <v>83236</v>
      </c>
      <c r="H333" s="4">
        <f t="shared" si="6"/>
        <v>3232</v>
      </c>
    </row>
    <row r="334" spans="1:8" x14ac:dyDescent="0.35">
      <c r="A334">
        <v>84381</v>
      </c>
      <c r="B334" s="16">
        <v>45305</v>
      </c>
      <c r="C334" s="15">
        <v>1309</v>
      </c>
      <c r="D334" t="s">
        <v>21</v>
      </c>
      <c r="G334" s="13">
        <v>31341</v>
      </c>
      <c r="H334" s="4">
        <f t="shared" si="6"/>
        <v>3098</v>
      </c>
    </row>
    <row r="335" spans="1:8" x14ac:dyDescent="0.35">
      <c r="A335">
        <v>32003</v>
      </c>
      <c r="B335" s="16">
        <v>45305</v>
      </c>
      <c r="C335" s="15">
        <v>273</v>
      </c>
      <c r="D335" t="s">
        <v>22</v>
      </c>
      <c r="G335" s="13">
        <v>10341</v>
      </c>
      <c r="H335" s="4">
        <f t="shared" si="6"/>
        <v>2054</v>
      </c>
    </row>
    <row r="336" spans="1:8" x14ac:dyDescent="0.35">
      <c r="A336">
        <v>49838</v>
      </c>
      <c r="B336" s="16">
        <v>45305</v>
      </c>
      <c r="C336" s="15">
        <v>1496</v>
      </c>
      <c r="D336" t="s">
        <v>21</v>
      </c>
      <c r="G336" s="13">
        <v>76771</v>
      </c>
      <c r="H336" s="4">
        <f t="shared" si="6"/>
        <v>696</v>
      </c>
    </row>
    <row r="337" spans="1:8" x14ac:dyDescent="0.35">
      <c r="A337">
        <v>37185</v>
      </c>
      <c r="B337" s="16">
        <v>45305</v>
      </c>
      <c r="C337" s="15">
        <v>1886</v>
      </c>
      <c r="D337" t="s">
        <v>20</v>
      </c>
      <c r="G337" s="13">
        <v>84381</v>
      </c>
      <c r="H337" s="4">
        <f t="shared" si="6"/>
        <v>1309</v>
      </c>
    </row>
    <row r="338" spans="1:8" x14ac:dyDescent="0.35">
      <c r="A338">
        <v>94454</v>
      </c>
      <c r="B338" s="16">
        <v>45306</v>
      </c>
      <c r="C338" s="15">
        <v>1104</v>
      </c>
      <c r="D338" t="s">
        <v>21</v>
      </c>
      <c r="G338" s="13">
        <v>32003</v>
      </c>
      <c r="H338" s="4">
        <f t="shared" si="6"/>
        <v>273</v>
      </c>
    </row>
    <row r="339" spans="1:8" x14ac:dyDescent="0.35">
      <c r="A339">
        <v>29281</v>
      </c>
      <c r="B339" s="16">
        <v>45306</v>
      </c>
      <c r="C339" s="15">
        <v>4400</v>
      </c>
      <c r="D339" t="s">
        <v>21</v>
      </c>
      <c r="G339" s="13">
        <v>49838</v>
      </c>
      <c r="H339" s="4">
        <f t="shared" si="6"/>
        <v>1496</v>
      </c>
    </row>
    <row r="340" spans="1:8" x14ac:dyDescent="0.35">
      <c r="A340">
        <v>96622</v>
      </c>
      <c r="B340" s="16">
        <v>45306</v>
      </c>
      <c r="C340" s="15">
        <v>2516</v>
      </c>
      <c r="D340" t="s">
        <v>20</v>
      </c>
      <c r="G340" s="13">
        <v>37185</v>
      </c>
      <c r="H340" s="4">
        <f t="shared" si="6"/>
        <v>1886</v>
      </c>
    </row>
    <row r="341" spans="1:8" x14ac:dyDescent="0.35">
      <c r="A341">
        <v>98533</v>
      </c>
      <c r="B341" s="16">
        <v>45306</v>
      </c>
      <c r="C341" s="15">
        <v>4361</v>
      </c>
      <c r="D341" t="s">
        <v>21</v>
      </c>
      <c r="G341" s="13">
        <v>94454</v>
      </c>
      <c r="H341" s="4">
        <f t="shared" si="6"/>
        <v>1104</v>
      </c>
    </row>
    <row r="342" spans="1:8" x14ac:dyDescent="0.35">
      <c r="A342">
        <v>82483</v>
      </c>
      <c r="B342" s="16">
        <v>45306</v>
      </c>
      <c r="C342" s="15">
        <v>910</v>
      </c>
      <c r="D342" t="s">
        <v>20</v>
      </c>
      <c r="G342" s="13">
        <v>29281</v>
      </c>
      <c r="H342" s="4">
        <f t="shared" si="6"/>
        <v>4400</v>
      </c>
    </row>
    <row r="343" spans="1:8" x14ac:dyDescent="0.35">
      <c r="A343">
        <v>48821</v>
      </c>
      <c r="B343" s="16">
        <v>45306</v>
      </c>
      <c r="C343" s="15">
        <v>2818</v>
      </c>
      <c r="D343" t="s">
        <v>20</v>
      </c>
      <c r="G343" s="13">
        <v>96622</v>
      </c>
      <c r="H343" s="4">
        <f t="shared" si="6"/>
        <v>2516</v>
      </c>
    </row>
    <row r="344" spans="1:8" x14ac:dyDescent="0.35">
      <c r="A344">
        <v>25704</v>
      </c>
      <c r="B344" s="16">
        <v>45306</v>
      </c>
      <c r="C344" s="15">
        <v>4920</v>
      </c>
      <c r="D344" t="s">
        <v>21</v>
      </c>
      <c r="G344" s="13">
        <v>98533</v>
      </c>
      <c r="H344" s="4">
        <f t="shared" si="6"/>
        <v>4361</v>
      </c>
    </row>
    <row r="345" spans="1:8" x14ac:dyDescent="0.35">
      <c r="A345">
        <v>81468</v>
      </c>
      <c r="B345" s="16">
        <v>45306</v>
      </c>
      <c r="C345" s="15">
        <v>3981</v>
      </c>
      <c r="D345" t="s">
        <v>22</v>
      </c>
      <c r="G345" s="13">
        <v>82483</v>
      </c>
      <c r="H345" s="4">
        <f t="shared" si="6"/>
        <v>910</v>
      </c>
    </row>
    <row r="346" spans="1:8" x14ac:dyDescent="0.35">
      <c r="A346">
        <v>63590</v>
      </c>
      <c r="B346" s="16">
        <v>45306</v>
      </c>
      <c r="C346" s="15">
        <v>2986</v>
      </c>
      <c r="D346" t="s">
        <v>20</v>
      </c>
      <c r="G346" s="13">
        <v>48821</v>
      </c>
      <c r="H346" s="4">
        <f t="shared" si="6"/>
        <v>2818</v>
      </c>
    </row>
    <row r="347" spans="1:8" x14ac:dyDescent="0.35">
      <c r="A347">
        <v>78890</v>
      </c>
      <c r="B347" s="16">
        <v>45306</v>
      </c>
      <c r="C347" s="15">
        <v>3831</v>
      </c>
      <c r="D347" t="s">
        <v>21</v>
      </c>
      <c r="G347" s="13">
        <v>25704</v>
      </c>
      <c r="H347" s="4">
        <f t="shared" si="6"/>
        <v>4920</v>
      </c>
    </row>
    <row r="348" spans="1:8" x14ac:dyDescent="0.35">
      <c r="A348">
        <v>99460</v>
      </c>
      <c r="B348" s="16">
        <v>45306</v>
      </c>
      <c r="C348" s="15">
        <v>1822</v>
      </c>
      <c r="D348" t="s">
        <v>21</v>
      </c>
      <c r="G348" s="13">
        <v>81468</v>
      </c>
      <c r="H348" s="4">
        <f t="shared" si="6"/>
        <v>3981</v>
      </c>
    </row>
    <row r="349" spans="1:8" x14ac:dyDescent="0.35">
      <c r="A349">
        <v>61764</v>
      </c>
      <c r="B349" s="16">
        <v>45306</v>
      </c>
      <c r="C349" s="15">
        <v>4829</v>
      </c>
      <c r="D349" t="s">
        <v>21</v>
      </c>
      <c r="G349" s="13">
        <v>63590</v>
      </c>
      <c r="H349" s="4">
        <f t="shared" si="6"/>
        <v>2986</v>
      </c>
    </row>
    <row r="350" spans="1:8" x14ac:dyDescent="0.35">
      <c r="A350">
        <v>49936</v>
      </c>
      <c r="B350" s="16">
        <v>45306</v>
      </c>
      <c r="C350" s="15">
        <v>313</v>
      </c>
      <c r="D350" t="s">
        <v>20</v>
      </c>
      <c r="G350" s="13">
        <v>78890</v>
      </c>
      <c r="H350" s="4">
        <f t="shared" si="6"/>
        <v>3831</v>
      </c>
    </row>
    <row r="351" spans="1:8" x14ac:dyDescent="0.35">
      <c r="A351">
        <v>16795</v>
      </c>
      <c r="B351" s="16">
        <v>45306</v>
      </c>
      <c r="C351" s="15">
        <v>1098</v>
      </c>
      <c r="D351" t="s">
        <v>21</v>
      </c>
      <c r="G351" s="13">
        <v>99460</v>
      </c>
      <c r="H351" s="4">
        <f t="shared" si="6"/>
        <v>1822</v>
      </c>
    </row>
    <row r="352" spans="1:8" x14ac:dyDescent="0.35">
      <c r="A352">
        <v>48696</v>
      </c>
      <c r="B352" s="16">
        <v>45306</v>
      </c>
      <c r="C352" s="15">
        <v>316</v>
      </c>
      <c r="D352" t="s">
        <v>20</v>
      </c>
      <c r="G352" s="13">
        <v>61764</v>
      </c>
      <c r="H352" s="4">
        <f t="shared" si="6"/>
        <v>4829</v>
      </c>
    </row>
    <row r="353" spans="1:8" x14ac:dyDescent="0.35">
      <c r="A353">
        <v>37013</v>
      </c>
      <c r="B353" s="16">
        <v>45306</v>
      </c>
      <c r="C353" s="15">
        <v>2181</v>
      </c>
      <c r="D353" t="s">
        <v>21</v>
      </c>
      <c r="G353" s="13">
        <v>49936</v>
      </c>
      <c r="H353" s="4">
        <f t="shared" si="6"/>
        <v>313</v>
      </c>
    </row>
    <row r="354" spans="1:8" x14ac:dyDescent="0.35">
      <c r="A354">
        <v>57838</v>
      </c>
      <c r="B354" s="16">
        <v>45306</v>
      </c>
      <c r="C354" s="15">
        <v>512</v>
      </c>
      <c r="D354" t="s">
        <v>21</v>
      </c>
      <c r="G354" s="13">
        <v>16795</v>
      </c>
      <c r="H354" s="4">
        <f t="shared" si="6"/>
        <v>1098</v>
      </c>
    </row>
    <row r="355" spans="1:8" x14ac:dyDescent="0.35">
      <c r="A355">
        <v>59380</v>
      </c>
      <c r="B355" s="16">
        <v>45306</v>
      </c>
      <c r="C355" s="15">
        <v>3111</v>
      </c>
      <c r="D355" t="s">
        <v>22</v>
      </c>
      <c r="G355" s="13">
        <v>48696</v>
      </c>
      <c r="H355" s="4">
        <f t="shared" si="6"/>
        <v>316</v>
      </c>
    </row>
    <row r="356" spans="1:8" x14ac:dyDescent="0.35">
      <c r="A356">
        <v>35275</v>
      </c>
      <c r="B356" s="16">
        <v>45306</v>
      </c>
      <c r="C356" s="15">
        <v>3685</v>
      </c>
      <c r="D356" t="s">
        <v>21</v>
      </c>
      <c r="G356" s="13">
        <v>37013</v>
      </c>
      <c r="H356" s="4">
        <f t="shared" si="6"/>
        <v>2181</v>
      </c>
    </row>
    <row r="357" spans="1:8" x14ac:dyDescent="0.35">
      <c r="A357">
        <v>45734</v>
      </c>
      <c r="B357" s="16">
        <v>45306</v>
      </c>
      <c r="C357" s="15">
        <v>2974</v>
      </c>
      <c r="D357" t="s">
        <v>20</v>
      </c>
      <c r="G357" s="13">
        <v>57838</v>
      </c>
      <c r="H357" s="4">
        <f t="shared" si="6"/>
        <v>512</v>
      </c>
    </row>
    <row r="358" spans="1:8" x14ac:dyDescent="0.35">
      <c r="A358">
        <v>29889</v>
      </c>
      <c r="B358" s="16">
        <v>45306</v>
      </c>
      <c r="C358" s="15">
        <v>2923</v>
      </c>
      <c r="D358" t="s">
        <v>21</v>
      </c>
      <c r="G358" s="13">
        <v>59380</v>
      </c>
      <c r="H358" s="4">
        <f t="shared" si="6"/>
        <v>3111</v>
      </c>
    </row>
    <row r="359" spans="1:8" x14ac:dyDescent="0.35">
      <c r="A359">
        <v>43111</v>
      </c>
      <c r="B359" s="16">
        <v>45306</v>
      </c>
      <c r="C359" s="15">
        <v>450</v>
      </c>
      <c r="D359" t="s">
        <v>20</v>
      </c>
      <c r="G359" s="13">
        <v>35275</v>
      </c>
      <c r="H359" s="4">
        <f t="shared" si="6"/>
        <v>3685</v>
      </c>
    </row>
    <row r="360" spans="1:8" x14ac:dyDescent="0.35">
      <c r="A360">
        <v>92787</v>
      </c>
      <c r="B360" s="16">
        <v>45306</v>
      </c>
      <c r="C360" s="15">
        <v>2826</v>
      </c>
      <c r="D360" t="s">
        <v>21</v>
      </c>
      <c r="G360" s="13">
        <v>45734</v>
      </c>
      <c r="H360" s="4">
        <f t="shared" si="6"/>
        <v>2974</v>
      </c>
    </row>
    <row r="361" spans="1:8" x14ac:dyDescent="0.35">
      <c r="A361">
        <v>33297</v>
      </c>
      <c r="B361" s="16">
        <v>45306</v>
      </c>
      <c r="C361" s="15">
        <v>4839</v>
      </c>
      <c r="D361" t="s">
        <v>22</v>
      </c>
      <c r="G361" s="13">
        <v>29889</v>
      </c>
      <c r="H361" s="4">
        <f t="shared" si="6"/>
        <v>2923</v>
      </c>
    </row>
    <row r="362" spans="1:8" x14ac:dyDescent="0.35">
      <c r="A362">
        <v>23146</v>
      </c>
      <c r="B362" s="16">
        <v>45307</v>
      </c>
      <c r="C362" s="15">
        <v>2386</v>
      </c>
      <c r="D362" t="s">
        <v>22</v>
      </c>
      <c r="G362" s="13">
        <v>43111</v>
      </c>
      <c r="H362" s="4">
        <f t="shared" si="6"/>
        <v>450</v>
      </c>
    </row>
    <row r="363" spans="1:8" x14ac:dyDescent="0.35">
      <c r="A363">
        <v>52442</v>
      </c>
      <c r="B363" s="16">
        <v>45307</v>
      </c>
      <c r="C363" s="15">
        <v>4313</v>
      </c>
      <c r="D363" t="s">
        <v>20</v>
      </c>
      <c r="G363" s="13">
        <v>92787</v>
      </c>
      <c r="H363" s="4">
        <f t="shared" si="6"/>
        <v>2826</v>
      </c>
    </row>
    <row r="364" spans="1:8" x14ac:dyDescent="0.35">
      <c r="A364">
        <v>66746</v>
      </c>
      <c r="B364" s="16">
        <v>45307</v>
      </c>
      <c r="C364" s="15">
        <v>3887</v>
      </c>
      <c r="D364" t="s">
        <v>21</v>
      </c>
      <c r="G364" s="13">
        <v>33297</v>
      </c>
      <c r="H364" s="4">
        <f t="shared" si="6"/>
        <v>4839</v>
      </c>
    </row>
    <row r="365" spans="1:8" x14ac:dyDescent="0.35">
      <c r="A365">
        <v>20332</v>
      </c>
      <c r="B365" s="16">
        <v>45307</v>
      </c>
      <c r="C365" s="15">
        <v>3447</v>
      </c>
      <c r="D365" t="s">
        <v>22</v>
      </c>
      <c r="G365" s="13">
        <v>23146</v>
      </c>
      <c r="H365" s="4">
        <f t="shared" si="6"/>
        <v>2386</v>
      </c>
    </row>
    <row r="366" spans="1:8" x14ac:dyDescent="0.35">
      <c r="A366">
        <v>92294</v>
      </c>
      <c r="B366" s="16">
        <v>45307</v>
      </c>
      <c r="C366" s="15">
        <v>2725</v>
      </c>
      <c r="D366" t="s">
        <v>21</v>
      </c>
      <c r="G366" s="13">
        <v>52442</v>
      </c>
      <c r="H366" s="4">
        <f t="shared" si="6"/>
        <v>4313</v>
      </c>
    </row>
    <row r="367" spans="1:8" x14ac:dyDescent="0.35">
      <c r="A367">
        <v>70056</v>
      </c>
      <c r="B367" s="16">
        <v>45307</v>
      </c>
      <c r="C367" s="15">
        <v>1097</v>
      </c>
      <c r="D367" t="s">
        <v>21</v>
      </c>
      <c r="G367" s="13">
        <v>66746</v>
      </c>
      <c r="H367" s="4">
        <f t="shared" si="6"/>
        <v>3887</v>
      </c>
    </row>
    <row r="368" spans="1:8" x14ac:dyDescent="0.35">
      <c r="A368">
        <v>93204</v>
      </c>
      <c r="B368" s="16">
        <v>45307</v>
      </c>
      <c r="C368" s="15">
        <v>1305</v>
      </c>
      <c r="D368" t="s">
        <v>21</v>
      </c>
      <c r="G368" s="13">
        <v>20332</v>
      </c>
      <c r="H368" s="4">
        <f t="shared" si="6"/>
        <v>3447</v>
      </c>
    </row>
    <row r="369" spans="1:8" x14ac:dyDescent="0.35">
      <c r="A369">
        <v>11290</v>
      </c>
      <c r="B369" s="16">
        <v>45307</v>
      </c>
      <c r="C369" s="15">
        <v>4158</v>
      </c>
      <c r="D369" t="s">
        <v>22</v>
      </c>
      <c r="G369" s="13">
        <v>92294</v>
      </c>
      <c r="H369" s="4">
        <f t="shared" si="6"/>
        <v>2725</v>
      </c>
    </row>
    <row r="370" spans="1:8" x14ac:dyDescent="0.35">
      <c r="A370">
        <v>38560</v>
      </c>
      <c r="B370" s="16">
        <v>45307</v>
      </c>
      <c r="C370" s="15">
        <v>2214</v>
      </c>
      <c r="D370" t="s">
        <v>21</v>
      </c>
      <c r="G370" s="13">
        <v>70056</v>
      </c>
      <c r="H370" s="4">
        <f t="shared" si="6"/>
        <v>1097</v>
      </c>
    </row>
    <row r="371" spans="1:8" x14ac:dyDescent="0.35">
      <c r="A371">
        <v>54390</v>
      </c>
      <c r="B371" s="16">
        <v>45307</v>
      </c>
      <c r="C371" s="15">
        <v>1741</v>
      </c>
      <c r="D371" t="s">
        <v>22</v>
      </c>
      <c r="G371" s="13">
        <v>93204</v>
      </c>
      <c r="H371" s="4">
        <f t="shared" si="6"/>
        <v>1305</v>
      </c>
    </row>
    <row r="372" spans="1:8" x14ac:dyDescent="0.35">
      <c r="A372">
        <v>80019</v>
      </c>
      <c r="B372" s="16">
        <v>45307</v>
      </c>
      <c r="C372" s="15">
        <v>1849</v>
      </c>
      <c r="D372" t="s">
        <v>21</v>
      </c>
      <c r="G372" s="13">
        <v>11290</v>
      </c>
      <c r="H372" s="4">
        <f t="shared" si="6"/>
        <v>4158</v>
      </c>
    </row>
    <row r="373" spans="1:8" x14ac:dyDescent="0.35">
      <c r="A373">
        <v>70268</v>
      </c>
      <c r="B373" s="16">
        <v>45307</v>
      </c>
      <c r="C373" s="15">
        <v>793</v>
      </c>
      <c r="D373" t="s">
        <v>21</v>
      </c>
      <c r="G373" s="13">
        <v>38560</v>
      </c>
      <c r="H373" s="4">
        <f t="shared" si="6"/>
        <v>2214</v>
      </c>
    </row>
    <row r="374" spans="1:8" x14ac:dyDescent="0.35">
      <c r="A374">
        <v>89590</v>
      </c>
      <c r="B374" s="16">
        <v>45307</v>
      </c>
      <c r="C374" s="15">
        <v>2097</v>
      </c>
      <c r="D374" t="s">
        <v>22</v>
      </c>
      <c r="G374" s="13">
        <v>54390</v>
      </c>
      <c r="H374" s="4">
        <f t="shared" si="6"/>
        <v>1741</v>
      </c>
    </row>
    <row r="375" spans="1:8" x14ac:dyDescent="0.35">
      <c r="A375">
        <v>35599</v>
      </c>
      <c r="B375" s="16">
        <v>45307</v>
      </c>
      <c r="C375" s="15">
        <v>4019</v>
      </c>
      <c r="D375" t="s">
        <v>22</v>
      </c>
      <c r="G375" s="13">
        <v>80019</v>
      </c>
      <c r="H375" s="4">
        <f t="shared" si="6"/>
        <v>1849</v>
      </c>
    </row>
    <row r="376" spans="1:8" x14ac:dyDescent="0.35">
      <c r="A376">
        <v>55244</v>
      </c>
      <c r="B376" s="16">
        <v>45307</v>
      </c>
      <c r="C376" s="15">
        <v>2015</v>
      </c>
      <c r="D376" t="s">
        <v>21</v>
      </c>
      <c r="G376" s="13">
        <v>70268</v>
      </c>
      <c r="H376" s="4">
        <f t="shared" si="6"/>
        <v>793</v>
      </c>
    </row>
    <row r="377" spans="1:8" x14ac:dyDescent="0.35">
      <c r="A377">
        <v>71101</v>
      </c>
      <c r="B377" s="16">
        <v>45307</v>
      </c>
      <c r="C377" s="15">
        <v>808</v>
      </c>
      <c r="D377" t="s">
        <v>22</v>
      </c>
      <c r="G377" s="13">
        <v>89590</v>
      </c>
      <c r="H377" s="4">
        <f t="shared" si="6"/>
        <v>2097</v>
      </c>
    </row>
    <row r="378" spans="1:8" x14ac:dyDescent="0.35">
      <c r="A378">
        <v>21302</v>
      </c>
      <c r="B378" s="16">
        <v>45307</v>
      </c>
      <c r="C378" s="15">
        <v>4073</v>
      </c>
      <c r="D378" t="s">
        <v>20</v>
      </c>
      <c r="G378" s="13">
        <v>35599</v>
      </c>
      <c r="H378" s="4">
        <f t="shared" si="6"/>
        <v>4019</v>
      </c>
    </row>
    <row r="379" spans="1:8" x14ac:dyDescent="0.35">
      <c r="A379">
        <v>92725</v>
      </c>
      <c r="B379" s="16">
        <v>45307</v>
      </c>
      <c r="C379" s="15">
        <v>2706</v>
      </c>
      <c r="D379" t="s">
        <v>20</v>
      </c>
      <c r="G379" s="13">
        <v>55244</v>
      </c>
      <c r="H379" s="4">
        <f t="shared" si="6"/>
        <v>2015</v>
      </c>
    </row>
    <row r="380" spans="1:8" x14ac:dyDescent="0.35">
      <c r="A380">
        <v>54195</v>
      </c>
      <c r="B380" s="16">
        <v>45307</v>
      </c>
      <c r="C380" s="15">
        <v>220</v>
      </c>
      <c r="D380" t="s">
        <v>22</v>
      </c>
      <c r="G380" s="13">
        <v>71101</v>
      </c>
      <c r="H380" s="4">
        <f t="shared" si="6"/>
        <v>808</v>
      </c>
    </row>
    <row r="381" spans="1:8" x14ac:dyDescent="0.35">
      <c r="A381">
        <v>39188</v>
      </c>
      <c r="B381" s="16">
        <v>45307</v>
      </c>
      <c r="C381" s="15">
        <v>4358</v>
      </c>
      <c r="D381" t="s">
        <v>21</v>
      </c>
      <c r="G381" s="13">
        <v>21302</v>
      </c>
      <c r="H381" s="4">
        <f t="shared" si="6"/>
        <v>4073</v>
      </c>
    </row>
    <row r="382" spans="1:8" x14ac:dyDescent="0.35">
      <c r="A382">
        <v>76931</v>
      </c>
      <c r="B382" s="16">
        <v>45307</v>
      </c>
      <c r="C382" s="15">
        <v>2038</v>
      </c>
      <c r="D382" t="s">
        <v>21</v>
      </c>
      <c r="G382" s="13">
        <v>92725</v>
      </c>
      <c r="H382" s="4">
        <f t="shared" si="6"/>
        <v>2706</v>
      </c>
    </row>
    <row r="383" spans="1:8" x14ac:dyDescent="0.35">
      <c r="A383">
        <v>65414</v>
      </c>
      <c r="B383" s="16">
        <v>45307</v>
      </c>
      <c r="C383" s="15">
        <v>4373</v>
      </c>
      <c r="D383" t="s">
        <v>22</v>
      </c>
      <c r="G383" s="13">
        <v>54195</v>
      </c>
      <c r="H383" s="4">
        <f t="shared" si="6"/>
        <v>2242</v>
      </c>
    </row>
    <row r="384" spans="1:8" x14ac:dyDescent="0.35">
      <c r="A384">
        <v>87973</v>
      </c>
      <c r="B384" s="16">
        <v>45307</v>
      </c>
      <c r="C384" s="15">
        <v>3156</v>
      </c>
      <c r="D384" t="s">
        <v>22</v>
      </c>
      <c r="G384" s="13">
        <v>39188</v>
      </c>
      <c r="H384" s="4">
        <f t="shared" si="6"/>
        <v>4358</v>
      </c>
    </row>
    <row r="385" spans="1:8" x14ac:dyDescent="0.35">
      <c r="A385">
        <v>83832</v>
      </c>
      <c r="B385" s="16">
        <v>45307</v>
      </c>
      <c r="C385" s="15">
        <v>3204</v>
      </c>
      <c r="D385" t="s">
        <v>20</v>
      </c>
      <c r="G385" s="13">
        <v>76931</v>
      </c>
      <c r="H385" s="4">
        <f t="shared" si="6"/>
        <v>2038</v>
      </c>
    </row>
    <row r="386" spans="1:8" x14ac:dyDescent="0.35">
      <c r="A386">
        <v>15854</v>
      </c>
      <c r="B386" s="16">
        <v>45308</v>
      </c>
      <c r="C386" s="15">
        <v>1261</v>
      </c>
      <c r="D386" t="s">
        <v>21</v>
      </c>
      <c r="G386" s="13">
        <v>65414</v>
      </c>
      <c r="H386" s="4">
        <f t="shared" si="6"/>
        <v>4373</v>
      </c>
    </row>
    <row r="387" spans="1:8" x14ac:dyDescent="0.35">
      <c r="A387">
        <v>26255</v>
      </c>
      <c r="B387" s="16">
        <v>45308</v>
      </c>
      <c r="C387" s="15">
        <v>4816</v>
      </c>
      <c r="D387" t="s">
        <v>21</v>
      </c>
      <c r="G387" s="13">
        <v>87973</v>
      </c>
      <c r="H387" s="4">
        <f t="shared" si="6"/>
        <v>3156</v>
      </c>
    </row>
    <row r="388" spans="1:8" x14ac:dyDescent="0.35">
      <c r="A388">
        <v>99310</v>
      </c>
      <c r="B388" s="16">
        <v>45308</v>
      </c>
      <c r="C388" s="15">
        <v>1452</v>
      </c>
      <c r="D388" t="s">
        <v>20</v>
      </c>
      <c r="G388" s="13">
        <v>83832</v>
      </c>
      <c r="H388" s="4">
        <f t="shared" si="6"/>
        <v>3204</v>
      </c>
    </row>
    <row r="389" spans="1:8" x14ac:dyDescent="0.35">
      <c r="A389">
        <v>15126</v>
      </c>
      <c r="B389" s="16">
        <v>45308</v>
      </c>
      <c r="C389" s="15">
        <v>885</v>
      </c>
      <c r="D389" t="s">
        <v>21</v>
      </c>
      <c r="G389" s="13">
        <v>15854</v>
      </c>
      <c r="H389" s="4">
        <f t="shared" si="6"/>
        <v>1261</v>
      </c>
    </row>
    <row r="390" spans="1:8" x14ac:dyDescent="0.35">
      <c r="A390">
        <v>64350</v>
      </c>
      <c r="B390" s="16">
        <v>45308</v>
      </c>
      <c r="C390" s="15">
        <v>2452</v>
      </c>
      <c r="D390" t="s">
        <v>20</v>
      </c>
      <c r="G390" s="13">
        <v>26255</v>
      </c>
      <c r="H390" s="4">
        <f t="shared" ref="H390:H453" si="7">AVERAGEIF($A$2:$A$1501,"="&amp;G390,$C$2:$C$1501)</f>
        <v>4816</v>
      </c>
    </row>
    <row r="391" spans="1:8" x14ac:dyDescent="0.35">
      <c r="A391">
        <v>84537</v>
      </c>
      <c r="B391" s="16">
        <v>45308</v>
      </c>
      <c r="C391" s="15">
        <v>3924</v>
      </c>
      <c r="D391" t="s">
        <v>21</v>
      </c>
      <c r="G391" s="13">
        <v>99310</v>
      </c>
      <c r="H391" s="4">
        <f t="shared" si="7"/>
        <v>1452</v>
      </c>
    </row>
    <row r="392" spans="1:8" x14ac:dyDescent="0.35">
      <c r="A392">
        <v>91272</v>
      </c>
      <c r="B392" s="16">
        <v>45308</v>
      </c>
      <c r="C392" s="15">
        <v>2964</v>
      </c>
      <c r="D392" t="s">
        <v>22</v>
      </c>
      <c r="G392" s="13">
        <v>15126</v>
      </c>
      <c r="H392" s="4">
        <f t="shared" si="7"/>
        <v>885</v>
      </c>
    </row>
    <row r="393" spans="1:8" x14ac:dyDescent="0.35">
      <c r="A393">
        <v>68373</v>
      </c>
      <c r="B393" s="16">
        <v>45308</v>
      </c>
      <c r="C393" s="15">
        <v>1981</v>
      </c>
      <c r="D393" t="s">
        <v>21</v>
      </c>
      <c r="G393" s="13">
        <v>64350</v>
      </c>
      <c r="H393" s="4">
        <f t="shared" si="7"/>
        <v>2452</v>
      </c>
    </row>
    <row r="394" spans="1:8" x14ac:dyDescent="0.35">
      <c r="A394">
        <v>31513</v>
      </c>
      <c r="B394" s="16">
        <v>45308</v>
      </c>
      <c r="C394" s="15">
        <v>2582</v>
      </c>
      <c r="D394" t="s">
        <v>21</v>
      </c>
      <c r="G394" s="13">
        <v>84537</v>
      </c>
      <c r="H394" s="4">
        <f t="shared" si="7"/>
        <v>3924</v>
      </c>
    </row>
    <row r="395" spans="1:8" x14ac:dyDescent="0.35">
      <c r="A395">
        <v>67294</v>
      </c>
      <c r="B395" s="16">
        <v>45308</v>
      </c>
      <c r="C395" s="15">
        <v>2338</v>
      </c>
      <c r="D395" t="s">
        <v>20</v>
      </c>
      <c r="G395" s="13">
        <v>91272</v>
      </c>
      <c r="H395" s="4">
        <f t="shared" si="7"/>
        <v>2964</v>
      </c>
    </row>
    <row r="396" spans="1:8" x14ac:dyDescent="0.35">
      <c r="A396">
        <v>48393</v>
      </c>
      <c r="B396" s="16">
        <v>45308</v>
      </c>
      <c r="C396" s="15">
        <v>730</v>
      </c>
      <c r="D396" t="s">
        <v>22</v>
      </c>
      <c r="G396" s="13">
        <v>68373</v>
      </c>
      <c r="H396" s="4">
        <f t="shared" si="7"/>
        <v>1981</v>
      </c>
    </row>
    <row r="397" spans="1:8" x14ac:dyDescent="0.35">
      <c r="A397">
        <v>93607</v>
      </c>
      <c r="B397" s="16">
        <v>45308</v>
      </c>
      <c r="C397" s="15">
        <v>4442</v>
      </c>
      <c r="D397" t="s">
        <v>21</v>
      </c>
      <c r="G397" s="13">
        <v>31513</v>
      </c>
      <c r="H397" s="4">
        <f t="shared" si="7"/>
        <v>2582</v>
      </c>
    </row>
    <row r="398" spans="1:8" x14ac:dyDescent="0.35">
      <c r="A398">
        <v>63361</v>
      </c>
      <c r="B398" s="16">
        <v>45308</v>
      </c>
      <c r="C398" s="15">
        <v>2808</v>
      </c>
      <c r="D398" t="s">
        <v>21</v>
      </c>
      <c r="G398" s="13">
        <v>67294</v>
      </c>
      <c r="H398" s="4">
        <f t="shared" si="7"/>
        <v>2338</v>
      </c>
    </row>
    <row r="399" spans="1:8" x14ac:dyDescent="0.35">
      <c r="A399">
        <v>82877</v>
      </c>
      <c r="B399" s="16">
        <v>45308</v>
      </c>
      <c r="C399" s="15">
        <v>2715</v>
      </c>
      <c r="D399" t="s">
        <v>22</v>
      </c>
      <c r="G399" s="13">
        <v>48393</v>
      </c>
      <c r="H399" s="4">
        <f t="shared" si="7"/>
        <v>730</v>
      </c>
    </row>
    <row r="400" spans="1:8" x14ac:dyDescent="0.35">
      <c r="A400">
        <v>52596</v>
      </c>
      <c r="B400" s="16">
        <v>45308</v>
      </c>
      <c r="C400" s="15">
        <v>235</v>
      </c>
      <c r="D400" t="s">
        <v>22</v>
      </c>
      <c r="G400" s="13">
        <v>93607</v>
      </c>
      <c r="H400" s="4">
        <f t="shared" si="7"/>
        <v>4442</v>
      </c>
    </row>
    <row r="401" spans="1:8" x14ac:dyDescent="0.35">
      <c r="A401">
        <v>58917</v>
      </c>
      <c r="B401" s="16">
        <v>45308</v>
      </c>
      <c r="C401" s="15">
        <v>2943</v>
      </c>
      <c r="D401" t="s">
        <v>20</v>
      </c>
      <c r="G401" s="13">
        <v>63361</v>
      </c>
      <c r="H401" s="4">
        <f t="shared" si="7"/>
        <v>2808</v>
      </c>
    </row>
    <row r="402" spans="1:8" x14ac:dyDescent="0.35">
      <c r="A402">
        <v>71284</v>
      </c>
      <c r="B402" s="16">
        <v>45308</v>
      </c>
      <c r="C402" s="15">
        <v>705</v>
      </c>
      <c r="D402" t="s">
        <v>20</v>
      </c>
      <c r="G402" s="13">
        <v>82877</v>
      </c>
      <c r="H402" s="4">
        <f t="shared" si="7"/>
        <v>2715</v>
      </c>
    </row>
    <row r="403" spans="1:8" x14ac:dyDescent="0.35">
      <c r="A403">
        <v>57857</v>
      </c>
      <c r="B403" s="16">
        <v>45308</v>
      </c>
      <c r="C403" s="15">
        <v>2040</v>
      </c>
      <c r="D403" t="s">
        <v>21</v>
      </c>
      <c r="G403" s="13">
        <v>52596</v>
      </c>
      <c r="H403" s="4">
        <f t="shared" si="7"/>
        <v>235</v>
      </c>
    </row>
    <row r="404" spans="1:8" x14ac:dyDescent="0.35">
      <c r="A404">
        <v>45906</v>
      </c>
      <c r="B404" s="16">
        <v>45308</v>
      </c>
      <c r="C404" s="15">
        <v>3980</v>
      </c>
      <c r="D404" t="s">
        <v>22</v>
      </c>
      <c r="G404" s="13">
        <v>58917</v>
      </c>
      <c r="H404" s="4">
        <f t="shared" si="7"/>
        <v>2943</v>
      </c>
    </row>
    <row r="405" spans="1:8" x14ac:dyDescent="0.35">
      <c r="A405">
        <v>65019</v>
      </c>
      <c r="B405" s="16">
        <v>45308</v>
      </c>
      <c r="C405" s="15">
        <v>307</v>
      </c>
      <c r="D405" t="s">
        <v>21</v>
      </c>
      <c r="G405" s="13">
        <v>71284</v>
      </c>
      <c r="H405" s="4">
        <f t="shared" si="7"/>
        <v>705</v>
      </c>
    </row>
    <row r="406" spans="1:8" x14ac:dyDescent="0.35">
      <c r="A406">
        <v>60949</v>
      </c>
      <c r="B406" s="16">
        <v>45308</v>
      </c>
      <c r="C406" s="15">
        <v>456</v>
      </c>
      <c r="D406" t="s">
        <v>22</v>
      </c>
      <c r="G406" s="13">
        <v>57857</v>
      </c>
      <c r="H406" s="4">
        <f t="shared" si="7"/>
        <v>2040</v>
      </c>
    </row>
    <row r="407" spans="1:8" x14ac:dyDescent="0.35">
      <c r="A407">
        <v>64720</v>
      </c>
      <c r="B407" s="16">
        <v>45308</v>
      </c>
      <c r="C407" s="15">
        <v>160</v>
      </c>
      <c r="D407" t="s">
        <v>20</v>
      </c>
      <c r="G407" s="13">
        <v>45906</v>
      </c>
      <c r="H407" s="4">
        <f t="shared" si="7"/>
        <v>3980</v>
      </c>
    </row>
    <row r="408" spans="1:8" x14ac:dyDescent="0.35">
      <c r="A408">
        <v>19504</v>
      </c>
      <c r="B408" s="16">
        <v>45308</v>
      </c>
      <c r="C408" s="15">
        <v>510</v>
      </c>
      <c r="D408" t="s">
        <v>21</v>
      </c>
      <c r="G408" s="13">
        <v>65019</v>
      </c>
      <c r="H408" s="4">
        <f t="shared" si="7"/>
        <v>307</v>
      </c>
    </row>
    <row r="409" spans="1:8" x14ac:dyDescent="0.35">
      <c r="A409">
        <v>58169</v>
      </c>
      <c r="B409" s="16">
        <v>45308</v>
      </c>
      <c r="C409" s="15">
        <v>3110</v>
      </c>
      <c r="D409" t="s">
        <v>20</v>
      </c>
      <c r="G409" s="13">
        <v>60949</v>
      </c>
      <c r="H409" s="4">
        <f t="shared" si="7"/>
        <v>456</v>
      </c>
    </row>
    <row r="410" spans="1:8" x14ac:dyDescent="0.35">
      <c r="A410">
        <v>98159</v>
      </c>
      <c r="B410" s="16">
        <v>45309</v>
      </c>
      <c r="C410" s="15">
        <v>4573</v>
      </c>
      <c r="D410" t="s">
        <v>22</v>
      </c>
      <c r="G410" s="13">
        <v>64720</v>
      </c>
      <c r="H410" s="4">
        <f t="shared" si="7"/>
        <v>160</v>
      </c>
    </row>
    <row r="411" spans="1:8" x14ac:dyDescent="0.35">
      <c r="A411">
        <v>46145</v>
      </c>
      <c r="B411" s="16">
        <v>45309</v>
      </c>
      <c r="C411" s="15">
        <v>1877</v>
      </c>
      <c r="D411" t="s">
        <v>21</v>
      </c>
      <c r="G411" s="13">
        <v>19504</v>
      </c>
      <c r="H411" s="4">
        <f t="shared" si="7"/>
        <v>510</v>
      </c>
    </row>
    <row r="412" spans="1:8" x14ac:dyDescent="0.35">
      <c r="A412">
        <v>29483</v>
      </c>
      <c r="B412" s="16">
        <v>45309</v>
      </c>
      <c r="C412" s="15">
        <v>1909</v>
      </c>
      <c r="D412" t="s">
        <v>20</v>
      </c>
      <c r="G412" s="13">
        <v>58169</v>
      </c>
      <c r="H412" s="4">
        <f t="shared" si="7"/>
        <v>3110</v>
      </c>
    </row>
    <row r="413" spans="1:8" x14ac:dyDescent="0.35">
      <c r="A413">
        <v>17752</v>
      </c>
      <c r="B413" s="16">
        <v>45309</v>
      </c>
      <c r="C413" s="15">
        <v>890</v>
      </c>
      <c r="D413" t="s">
        <v>22</v>
      </c>
      <c r="G413" s="13">
        <v>98159</v>
      </c>
      <c r="H413" s="4">
        <f t="shared" si="7"/>
        <v>4573</v>
      </c>
    </row>
    <row r="414" spans="1:8" x14ac:dyDescent="0.35">
      <c r="A414">
        <v>32883</v>
      </c>
      <c r="B414" s="16">
        <v>45309</v>
      </c>
      <c r="C414" s="15">
        <v>3708</v>
      </c>
      <c r="D414" t="s">
        <v>22</v>
      </c>
      <c r="G414" s="13">
        <v>46145</v>
      </c>
      <c r="H414" s="4">
        <f t="shared" si="7"/>
        <v>1877</v>
      </c>
    </row>
    <row r="415" spans="1:8" x14ac:dyDescent="0.35">
      <c r="A415">
        <v>78938</v>
      </c>
      <c r="B415" s="16">
        <v>45309</v>
      </c>
      <c r="C415" s="15">
        <v>3214</v>
      </c>
      <c r="D415" t="s">
        <v>20</v>
      </c>
      <c r="G415" s="13">
        <v>29483</v>
      </c>
      <c r="H415" s="4">
        <f t="shared" si="7"/>
        <v>3150</v>
      </c>
    </row>
    <row r="416" spans="1:8" x14ac:dyDescent="0.35">
      <c r="A416">
        <v>60681</v>
      </c>
      <c r="B416" s="16">
        <v>45309</v>
      </c>
      <c r="C416" s="15">
        <v>1491</v>
      </c>
      <c r="D416" t="s">
        <v>22</v>
      </c>
      <c r="G416" s="13">
        <v>17752</v>
      </c>
      <c r="H416" s="4">
        <f t="shared" si="7"/>
        <v>890</v>
      </c>
    </row>
    <row r="417" spans="1:8" x14ac:dyDescent="0.35">
      <c r="A417">
        <v>79606</v>
      </c>
      <c r="B417" s="16">
        <v>45309</v>
      </c>
      <c r="C417" s="15">
        <v>119</v>
      </c>
      <c r="D417" t="s">
        <v>22</v>
      </c>
      <c r="G417" s="13">
        <v>32883</v>
      </c>
      <c r="H417" s="4">
        <f t="shared" si="7"/>
        <v>3708</v>
      </c>
    </row>
    <row r="418" spans="1:8" x14ac:dyDescent="0.35">
      <c r="A418">
        <v>12342</v>
      </c>
      <c r="B418" s="16">
        <v>45309</v>
      </c>
      <c r="C418" s="15">
        <v>2191</v>
      </c>
      <c r="D418" t="s">
        <v>22</v>
      </c>
      <c r="G418" s="13">
        <v>78938</v>
      </c>
      <c r="H418" s="4">
        <f t="shared" si="7"/>
        <v>3214</v>
      </c>
    </row>
    <row r="419" spans="1:8" x14ac:dyDescent="0.35">
      <c r="A419">
        <v>84541</v>
      </c>
      <c r="B419" s="16">
        <v>45309</v>
      </c>
      <c r="C419" s="15">
        <v>3233</v>
      </c>
      <c r="D419" t="s">
        <v>21</v>
      </c>
      <c r="G419" s="13">
        <v>60681</v>
      </c>
      <c r="H419" s="4">
        <f t="shared" si="7"/>
        <v>1491</v>
      </c>
    </row>
    <row r="420" spans="1:8" x14ac:dyDescent="0.35">
      <c r="A420">
        <v>33493</v>
      </c>
      <c r="B420" s="16">
        <v>45309</v>
      </c>
      <c r="C420" s="15">
        <v>2173</v>
      </c>
      <c r="D420" t="s">
        <v>22</v>
      </c>
      <c r="G420" s="13">
        <v>79606</v>
      </c>
      <c r="H420" s="4">
        <f t="shared" si="7"/>
        <v>119</v>
      </c>
    </row>
    <row r="421" spans="1:8" x14ac:dyDescent="0.35">
      <c r="A421">
        <v>34998</v>
      </c>
      <c r="B421" s="16">
        <v>45309</v>
      </c>
      <c r="C421" s="15">
        <v>2284</v>
      </c>
      <c r="D421" t="s">
        <v>20</v>
      </c>
      <c r="G421" s="13">
        <v>12342</v>
      </c>
      <c r="H421" s="4">
        <f t="shared" si="7"/>
        <v>2191</v>
      </c>
    </row>
    <row r="422" spans="1:8" x14ac:dyDescent="0.35">
      <c r="A422">
        <v>74615</v>
      </c>
      <c r="B422" s="16">
        <v>45309</v>
      </c>
      <c r="C422" s="15">
        <v>1698</v>
      </c>
      <c r="D422" t="s">
        <v>20</v>
      </c>
      <c r="G422" s="13">
        <v>84541</v>
      </c>
      <c r="H422" s="4">
        <f t="shared" si="7"/>
        <v>3233</v>
      </c>
    </row>
    <row r="423" spans="1:8" x14ac:dyDescent="0.35">
      <c r="A423">
        <v>60009</v>
      </c>
      <c r="B423" s="16">
        <v>45309</v>
      </c>
      <c r="C423" s="15">
        <v>117</v>
      </c>
      <c r="D423" t="s">
        <v>22</v>
      </c>
      <c r="G423" s="13">
        <v>33493</v>
      </c>
      <c r="H423" s="4">
        <f t="shared" si="7"/>
        <v>2173</v>
      </c>
    </row>
    <row r="424" spans="1:8" x14ac:dyDescent="0.35">
      <c r="A424">
        <v>60080</v>
      </c>
      <c r="B424" s="16">
        <v>45309</v>
      </c>
      <c r="C424" s="15">
        <v>3655</v>
      </c>
      <c r="D424" t="s">
        <v>20</v>
      </c>
      <c r="G424" s="13">
        <v>34998</v>
      </c>
      <c r="H424" s="4">
        <f t="shared" si="7"/>
        <v>2284</v>
      </c>
    </row>
    <row r="425" spans="1:8" x14ac:dyDescent="0.35">
      <c r="A425">
        <v>63970</v>
      </c>
      <c r="B425" s="16">
        <v>45309</v>
      </c>
      <c r="C425" s="15">
        <v>4796</v>
      </c>
      <c r="D425" t="s">
        <v>21</v>
      </c>
      <c r="G425" s="13">
        <v>74615</v>
      </c>
      <c r="H425" s="4">
        <f t="shared" si="7"/>
        <v>1698</v>
      </c>
    </row>
    <row r="426" spans="1:8" x14ac:dyDescent="0.35">
      <c r="A426">
        <v>65655</v>
      </c>
      <c r="B426" s="16">
        <v>45309</v>
      </c>
      <c r="C426" s="15">
        <v>2722</v>
      </c>
      <c r="D426" t="s">
        <v>21</v>
      </c>
      <c r="G426" s="13">
        <v>60009</v>
      </c>
      <c r="H426" s="4">
        <f t="shared" si="7"/>
        <v>117</v>
      </c>
    </row>
    <row r="427" spans="1:8" x14ac:dyDescent="0.35">
      <c r="A427">
        <v>23710</v>
      </c>
      <c r="B427" s="16">
        <v>45309</v>
      </c>
      <c r="C427" s="15">
        <v>1725</v>
      </c>
      <c r="D427" t="s">
        <v>20</v>
      </c>
      <c r="G427" s="13">
        <v>60080</v>
      </c>
      <c r="H427" s="4">
        <f t="shared" si="7"/>
        <v>3655</v>
      </c>
    </row>
    <row r="428" spans="1:8" x14ac:dyDescent="0.35">
      <c r="A428">
        <v>11357</v>
      </c>
      <c r="B428" s="16">
        <v>45309</v>
      </c>
      <c r="C428" s="15">
        <v>4719</v>
      </c>
      <c r="D428" t="s">
        <v>22</v>
      </c>
      <c r="G428" s="13">
        <v>63970</v>
      </c>
      <c r="H428" s="4">
        <f t="shared" si="7"/>
        <v>4796</v>
      </c>
    </row>
    <row r="429" spans="1:8" x14ac:dyDescent="0.35">
      <c r="A429">
        <v>27053</v>
      </c>
      <c r="B429" s="16">
        <v>45309</v>
      </c>
      <c r="C429" s="15">
        <v>1540</v>
      </c>
      <c r="D429" t="s">
        <v>22</v>
      </c>
      <c r="G429" s="13">
        <v>65655</v>
      </c>
      <c r="H429" s="4">
        <f t="shared" si="7"/>
        <v>2722</v>
      </c>
    </row>
    <row r="430" spans="1:8" x14ac:dyDescent="0.35">
      <c r="A430">
        <v>13434</v>
      </c>
      <c r="B430" s="16">
        <v>45309</v>
      </c>
      <c r="C430" s="15">
        <v>2894</v>
      </c>
      <c r="D430" t="s">
        <v>21</v>
      </c>
      <c r="G430" s="13">
        <v>23710</v>
      </c>
      <c r="H430" s="4">
        <f t="shared" si="7"/>
        <v>1725</v>
      </c>
    </row>
    <row r="431" spans="1:8" x14ac:dyDescent="0.35">
      <c r="A431">
        <v>17595</v>
      </c>
      <c r="B431" s="16">
        <v>45309</v>
      </c>
      <c r="C431" s="15">
        <v>1855</v>
      </c>
      <c r="D431" t="s">
        <v>20</v>
      </c>
      <c r="G431" s="13">
        <v>11357</v>
      </c>
      <c r="H431" s="4">
        <f t="shared" si="7"/>
        <v>4719</v>
      </c>
    </row>
    <row r="432" spans="1:8" x14ac:dyDescent="0.35">
      <c r="A432">
        <v>81957</v>
      </c>
      <c r="B432" s="16">
        <v>45309</v>
      </c>
      <c r="C432" s="15">
        <v>3484</v>
      </c>
      <c r="D432" t="s">
        <v>22</v>
      </c>
      <c r="G432" s="13">
        <v>27053</v>
      </c>
      <c r="H432" s="4">
        <f t="shared" si="7"/>
        <v>1540</v>
      </c>
    </row>
    <row r="433" spans="1:8" x14ac:dyDescent="0.35">
      <c r="A433">
        <v>70521</v>
      </c>
      <c r="B433" s="16">
        <v>45309</v>
      </c>
      <c r="C433" s="15">
        <v>2314</v>
      </c>
      <c r="D433" t="s">
        <v>22</v>
      </c>
      <c r="G433" s="13">
        <v>13434</v>
      </c>
      <c r="H433" s="4">
        <f t="shared" si="7"/>
        <v>2894</v>
      </c>
    </row>
    <row r="434" spans="1:8" x14ac:dyDescent="0.35">
      <c r="A434">
        <v>73225</v>
      </c>
      <c r="B434" s="16">
        <v>45310</v>
      </c>
      <c r="C434" s="15">
        <v>765</v>
      </c>
      <c r="D434" t="s">
        <v>20</v>
      </c>
      <c r="G434" s="13">
        <v>17595</v>
      </c>
      <c r="H434" s="4">
        <f t="shared" si="7"/>
        <v>1855</v>
      </c>
    </row>
    <row r="435" spans="1:8" x14ac:dyDescent="0.35">
      <c r="A435">
        <v>21649</v>
      </c>
      <c r="B435" s="16">
        <v>45310</v>
      </c>
      <c r="C435" s="15">
        <v>4752</v>
      </c>
      <c r="D435" t="s">
        <v>21</v>
      </c>
      <c r="G435" s="13">
        <v>70521</v>
      </c>
      <c r="H435" s="4">
        <f t="shared" si="7"/>
        <v>2314</v>
      </c>
    </row>
    <row r="436" spans="1:8" x14ac:dyDescent="0.35">
      <c r="A436">
        <v>81316</v>
      </c>
      <c r="B436" s="16">
        <v>45310</v>
      </c>
      <c r="C436" s="15">
        <v>1827</v>
      </c>
      <c r="D436" t="s">
        <v>20</v>
      </c>
      <c r="G436" s="13">
        <v>73225</v>
      </c>
      <c r="H436" s="4">
        <f t="shared" si="7"/>
        <v>765</v>
      </c>
    </row>
    <row r="437" spans="1:8" x14ac:dyDescent="0.35">
      <c r="A437">
        <v>82368</v>
      </c>
      <c r="B437" s="16">
        <v>45310</v>
      </c>
      <c r="C437" s="15">
        <v>4384</v>
      </c>
      <c r="D437" t="s">
        <v>20</v>
      </c>
      <c r="G437" s="13">
        <v>21649</v>
      </c>
      <c r="H437" s="4">
        <f t="shared" si="7"/>
        <v>4752</v>
      </c>
    </row>
    <row r="438" spans="1:8" x14ac:dyDescent="0.35">
      <c r="A438">
        <v>85092</v>
      </c>
      <c r="B438" s="16">
        <v>45310</v>
      </c>
      <c r="C438" s="15">
        <v>3630</v>
      </c>
      <c r="D438" t="s">
        <v>20</v>
      </c>
      <c r="G438" s="13">
        <v>81316</v>
      </c>
      <c r="H438" s="4">
        <f t="shared" si="7"/>
        <v>1827</v>
      </c>
    </row>
    <row r="439" spans="1:8" x14ac:dyDescent="0.35">
      <c r="A439">
        <v>31654</v>
      </c>
      <c r="B439" s="16">
        <v>45310</v>
      </c>
      <c r="C439" s="15">
        <v>3596</v>
      </c>
      <c r="D439" t="s">
        <v>22</v>
      </c>
      <c r="G439" s="13">
        <v>82368</v>
      </c>
      <c r="H439" s="4">
        <f t="shared" si="7"/>
        <v>4384</v>
      </c>
    </row>
    <row r="440" spans="1:8" x14ac:dyDescent="0.35">
      <c r="A440">
        <v>70962</v>
      </c>
      <c r="B440" s="16">
        <v>45310</v>
      </c>
      <c r="C440" s="15">
        <v>4905</v>
      </c>
      <c r="D440" t="s">
        <v>20</v>
      </c>
      <c r="G440" s="13">
        <v>85092</v>
      </c>
      <c r="H440" s="4">
        <f t="shared" si="7"/>
        <v>3630</v>
      </c>
    </row>
    <row r="441" spans="1:8" x14ac:dyDescent="0.35">
      <c r="A441">
        <v>34731</v>
      </c>
      <c r="B441" s="16">
        <v>45310</v>
      </c>
      <c r="C441" s="15">
        <v>2912</v>
      </c>
      <c r="D441" t="s">
        <v>22</v>
      </c>
      <c r="G441" s="13">
        <v>31654</v>
      </c>
      <c r="H441" s="4">
        <f t="shared" si="7"/>
        <v>3596</v>
      </c>
    </row>
    <row r="442" spans="1:8" x14ac:dyDescent="0.35">
      <c r="A442">
        <v>91315</v>
      </c>
      <c r="B442" s="16">
        <v>45310</v>
      </c>
      <c r="C442" s="15">
        <v>3230</v>
      </c>
      <c r="D442" t="s">
        <v>20</v>
      </c>
      <c r="G442" s="13">
        <v>70962</v>
      </c>
      <c r="H442" s="4">
        <f t="shared" si="7"/>
        <v>4905</v>
      </c>
    </row>
    <row r="443" spans="1:8" x14ac:dyDescent="0.35">
      <c r="A443">
        <v>98277</v>
      </c>
      <c r="B443" s="16">
        <v>45310</v>
      </c>
      <c r="C443" s="15">
        <v>1951</v>
      </c>
      <c r="D443" t="s">
        <v>20</v>
      </c>
      <c r="G443" s="13">
        <v>34731</v>
      </c>
      <c r="H443" s="4">
        <f t="shared" si="7"/>
        <v>2912</v>
      </c>
    </row>
    <row r="444" spans="1:8" x14ac:dyDescent="0.35">
      <c r="A444">
        <v>95701</v>
      </c>
      <c r="B444" s="16">
        <v>45310</v>
      </c>
      <c r="C444" s="15">
        <v>4110</v>
      </c>
      <c r="D444" t="s">
        <v>22</v>
      </c>
      <c r="G444" s="13">
        <v>91315</v>
      </c>
      <c r="H444" s="4">
        <f t="shared" si="7"/>
        <v>3230</v>
      </c>
    </row>
    <row r="445" spans="1:8" x14ac:dyDescent="0.35">
      <c r="A445">
        <v>52041</v>
      </c>
      <c r="B445" s="16">
        <v>45310</v>
      </c>
      <c r="C445" s="15">
        <v>673</v>
      </c>
      <c r="D445" t="s">
        <v>20</v>
      </c>
      <c r="G445" s="13">
        <v>98277</v>
      </c>
      <c r="H445" s="4">
        <f t="shared" si="7"/>
        <v>1951</v>
      </c>
    </row>
    <row r="446" spans="1:8" x14ac:dyDescent="0.35">
      <c r="A446">
        <v>69680</v>
      </c>
      <c r="B446" s="16">
        <v>45310</v>
      </c>
      <c r="C446" s="15">
        <v>2995</v>
      </c>
      <c r="D446" t="s">
        <v>20</v>
      </c>
      <c r="G446" s="13">
        <v>95701</v>
      </c>
      <c r="H446" s="4">
        <f t="shared" si="7"/>
        <v>4110</v>
      </c>
    </row>
    <row r="447" spans="1:8" x14ac:dyDescent="0.35">
      <c r="A447">
        <v>62612</v>
      </c>
      <c r="B447" s="16">
        <v>45310</v>
      </c>
      <c r="C447" s="15">
        <v>2116</v>
      </c>
      <c r="D447" t="s">
        <v>21</v>
      </c>
      <c r="G447" s="13">
        <v>52041</v>
      </c>
      <c r="H447" s="4">
        <f t="shared" si="7"/>
        <v>673</v>
      </c>
    </row>
    <row r="448" spans="1:8" x14ac:dyDescent="0.35">
      <c r="A448">
        <v>86044</v>
      </c>
      <c r="B448" s="16">
        <v>45310</v>
      </c>
      <c r="C448" s="15">
        <v>4672</v>
      </c>
      <c r="D448" t="s">
        <v>21</v>
      </c>
      <c r="G448" s="13">
        <v>69680</v>
      </c>
      <c r="H448" s="4">
        <f t="shared" si="7"/>
        <v>2995</v>
      </c>
    </row>
    <row r="449" spans="1:8" x14ac:dyDescent="0.35">
      <c r="A449">
        <v>85690</v>
      </c>
      <c r="B449" s="16">
        <v>45310</v>
      </c>
      <c r="C449" s="15">
        <v>949</v>
      </c>
      <c r="D449" t="s">
        <v>21</v>
      </c>
      <c r="G449" s="13">
        <v>62612</v>
      </c>
      <c r="H449" s="4">
        <f t="shared" si="7"/>
        <v>2116</v>
      </c>
    </row>
    <row r="450" spans="1:8" x14ac:dyDescent="0.35">
      <c r="A450">
        <v>85429</v>
      </c>
      <c r="B450" s="16">
        <v>45310</v>
      </c>
      <c r="C450" s="15">
        <v>1341</v>
      </c>
      <c r="D450" t="s">
        <v>22</v>
      </c>
      <c r="G450" s="13">
        <v>86044</v>
      </c>
      <c r="H450" s="4">
        <f t="shared" si="7"/>
        <v>4672</v>
      </c>
    </row>
    <row r="451" spans="1:8" x14ac:dyDescent="0.35">
      <c r="A451">
        <v>40849</v>
      </c>
      <c r="B451" s="16">
        <v>45310</v>
      </c>
      <c r="C451" s="15">
        <v>1051</v>
      </c>
      <c r="D451" t="s">
        <v>20</v>
      </c>
      <c r="G451" s="13">
        <v>85690</v>
      </c>
      <c r="H451" s="4">
        <f t="shared" si="7"/>
        <v>949</v>
      </c>
    </row>
    <row r="452" spans="1:8" x14ac:dyDescent="0.35">
      <c r="A452">
        <v>47657</v>
      </c>
      <c r="B452" s="16">
        <v>45310</v>
      </c>
      <c r="C452" s="15">
        <v>4406</v>
      </c>
      <c r="D452" t="s">
        <v>22</v>
      </c>
      <c r="G452" s="13">
        <v>85429</v>
      </c>
      <c r="H452" s="4">
        <f t="shared" si="7"/>
        <v>1341</v>
      </c>
    </row>
    <row r="453" spans="1:8" x14ac:dyDescent="0.35">
      <c r="A453">
        <v>93605</v>
      </c>
      <c r="B453" s="16">
        <v>45310</v>
      </c>
      <c r="C453" s="15">
        <v>3752</v>
      </c>
      <c r="D453" t="s">
        <v>21</v>
      </c>
      <c r="G453" s="13">
        <v>40849</v>
      </c>
      <c r="H453" s="4">
        <f t="shared" si="7"/>
        <v>1051</v>
      </c>
    </row>
    <row r="454" spans="1:8" x14ac:dyDescent="0.35">
      <c r="A454">
        <v>24019</v>
      </c>
      <c r="B454" s="16">
        <v>45310</v>
      </c>
      <c r="C454" s="15">
        <v>4699</v>
      </c>
      <c r="D454" t="s">
        <v>21</v>
      </c>
      <c r="G454" s="13">
        <v>47657</v>
      </c>
      <c r="H454" s="4">
        <f t="shared" ref="H454:H517" si="8">AVERAGEIF($A$2:$A$1501,"="&amp;G454,$C$2:$C$1501)</f>
        <v>4406</v>
      </c>
    </row>
    <row r="455" spans="1:8" x14ac:dyDescent="0.35">
      <c r="A455">
        <v>43601</v>
      </c>
      <c r="B455" s="16">
        <v>45310</v>
      </c>
      <c r="C455" s="15">
        <v>640</v>
      </c>
      <c r="D455" t="s">
        <v>22</v>
      </c>
      <c r="G455" s="13">
        <v>93605</v>
      </c>
      <c r="H455" s="4">
        <f t="shared" si="8"/>
        <v>3752</v>
      </c>
    </row>
    <row r="456" spans="1:8" x14ac:dyDescent="0.35">
      <c r="A456">
        <v>31359</v>
      </c>
      <c r="B456" s="16">
        <v>45310</v>
      </c>
      <c r="C456" s="15">
        <v>3526</v>
      </c>
      <c r="D456" t="s">
        <v>22</v>
      </c>
      <c r="G456" s="13">
        <v>24019</v>
      </c>
      <c r="H456" s="4">
        <f t="shared" si="8"/>
        <v>4699</v>
      </c>
    </row>
    <row r="457" spans="1:8" x14ac:dyDescent="0.35">
      <c r="A457">
        <v>57121</v>
      </c>
      <c r="B457" s="16">
        <v>45310</v>
      </c>
      <c r="C457" s="15">
        <v>2861</v>
      </c>
      <c r="D457" t="s">
        <v>20</v>
      </c>
      <c r="G457" s="13">
        <v>43601</v>
      </c>
      <c r="H457" s="4">
        <f t="shared" si="8"/>
        <v>640</v>
      </c>
    </row>
    <row r="458" spans="1:8" x14ac:dyDescent="0.35">
      <c r="A458">
        <v>18051</v>
      </c>
      <c r="B458" s="16">
        <v>45311</v>
      </c>
      <c r="C458" s="15">
        <v>1997</v>
      </c>
      <c r="D458" t="s">
        <v>20</v>
      </c>
      <c r="G458" s="13">
        <v>31359</v>
      </c>
      <c r="H458" s="4">
        <f t="shared" si="8"/>
        <v>3526</v>
      </c>
    </row>
    <row r="459" spans="1:8" x14ac:dyDescent="0.35">
      <c r="A459">
        <v>64099</v>
      </c>
      <c r="B459" s="16">
        <v>45311</v>
      </c>
      <c r="C459" s="15">
        <v>4486</v>
      </c>
      <c r="D459" t="s">
        <v>22</v>
      </c>
      <c r="G459" s="13">
        <v>57121</v>
      </c>
      <c r="H459" s="4">
        <f t="shared" si="8"/>
        <v>2861</v>
      </c>
    </row>
    <row r="460" spans="1:8" x14ac:dyDescent="0.35">
      <c r="A460">
        <v>64152</v>
      </c>
      <c r="B460" s="16">
        <v>45311</v>
      </c>
      <c r="C460" s="15">
        <v>994</v>
      </c>
      <c r="D460" t="s">
        <v>22</v>
      </c>
      <c r="G460" s="13">
        <v>18051</v>
      </c>
      <c r="H460" s="4">
        <f t="shared" si="8"/>
        <v>1997</v>
      </c>
    </row>
    <row r="461" spans="1:8" x14ac:dyDescent="0.35">
      <c r="A461">
        <v>64596</v>
      </c>
      <c r="B461" s="16">
        <v>45311</v>
      </c>
      <c r="C461" s="15">
        <v>177</v>
      </c>
      <c r="D461" t="s">
        <v>21</v>
      </c>
      <c r="G461" s="13">
        <v>64099</v>
      </c>
      <c r="H461" s="4">
        <f t="shared" si="8"/>
        <v>4486</v>
      </c>
    </row>
    <row r="462" spans="1:8" x14ac:dyDescent="0.35">
      <c r="A462">
        <v>10040</v>
      </c>
      <c r="B462" s="16">
        <v>45311</v>
      </c>
      <c r="C462" s="15">
        <v>3140</v>
      </c>
      <c r="D462" t="s">
        <v>22</v>
      </c>
      <c r="G462" s="13">
        <v>64152</v>
      </c>
      <c r="H462" s="4">
        <f t="shared" si="8"/>
        <v>994</v>
      </c>
    </row>
    <row r="463" spans="1:8" x14ac:dyDescent="0.35">
      <c r="A463">
        <v>75824</v>
      </c>
      <c r="B463" s="16">
        <v>45311</v>
      </c>
      <c r="C463" s="15">
        <v>3757</v>
      </c>
      <c r="D463" t="s">
        <v>22</v>
      </c>
      <c r="G463" s="13">
        <v>64596</v>
      </c>
      <c r="H463" s="4">
        <f t="shared" si="8"/>
        <v>177</v>
      </c>
    </row>
    <row r="464" spans="1:8" x14ac:dyDescent="0.35">
      <c r="A464">
        <v>33470</v>
      </c>
      <c r="B464" s="16">
        <v>45311</v>
      </c>
      <c r="C464" s="15">
        <v>4327</v>
      </c>
      <c r="D464" t="s">
        <v>21</v>
      </c>
      <c r="G464" s="13">
        <v>10040</v>
      </c>
      <c r="H464" s="4">
        <f t="shared" si="8"/>
        <v>3140</v>
      </c>
    </row>
    <row r="465" spans="1:8" x14ac:dyDescent="0.35">
      <c r="A465">
        <v>29897</v>
      </c>
      <c r="B465" s="16">
        <v>45311</v>
      </c>
      <c r="C465" s="15">
        <v>994</v>
      </c>
      <c r="D465" t="s">
        <v>20</v>
      </c>
      <c r="G465" s="13">
        <v>75824</v>
      </c>
      <c r="H465" s="4">
        <f t="shared" si="8"/>
        <v>3757</v>
      </c>
    </row>
    <row r="466" spans="1:8" x14ac:dyDescent="0.35">
      <c r="A466">
        <v>54169</v>
      </c>
      <c r="B466" s="16">
        <v>45311</v>
      </c>
      <c r="C466" s="15">
        <v>1516</v>
      </c>
      <c r="D466" t="s">
        <v>20</v>
      </c>
      <c r="G466" s="13">
        <v>33470</v>
      </c>
      <c r="H466" s="4">
        <f t="shared" si="8"/>
        <v>4327</v>
      </c>
    </row>
    <row r="467" spans="1:8" x14ac:dyDescent="0.35">
      <c r="A467">
        <v>40567</v>
      </c>
      <c r="B467" s="16">
        <v>45311</v>
      </c>
      <c r="C467" s="15">
        <v>2683</v>
      </c>
      <c r="D467" t="s">
        <v>20</v>
      </c>
      <c r="G467" s="13">
        <v>29897</v>
      </c>
      <c r="H467" s="4">
        <f t="shared" si="8"/>
        <v>994</v>
      </c>
    </row>
    <row r="468" spans="1:8" x14ac:dyDescent="0.35">
      <c r="A468">
        <v>35604</v>
      </c>
      <c r="B468" s="16">
        <v>45311</v>
      </c>
      <c r="C468" s="15">
        <v>4743</v>
      </c>
      <c r="D468" t="s">
        <v>21</v>
      </c>
      <c r="G468" s="13">
        <v>54169</v>
      </c>
      <c r="H468" s="4">
        <f t="shared" si="8"/>
        <v>1516</v>
      </c>
    </row>
    <row r="469" spans="1:8" x14ac:dyDescent="0.35">
      <c r="A469">
        <v>78127</v>
      </c>
      <c r="B469" s="16">
        <v>45311</v>
      </c>
      <c r="C469" s="15">
        <v>1415</v>
      </c>
      <c r="D469" t="s">
        <v>22</v>
      </c>
      <c r="G469" s="13">
        <v>40567</v>
      </c>
      <c r="H469" s="4">
        <f t="shared" si="8"/>
        <v>2683</v>
      </c>
    </row>
    <row r="470" spans="1:8" x14ac:dyDescent="0.35">
      <c r="A470">
        <v>72939</v>
      </c>
      <c r="B470" s="16">
        <v>45311</v>
      </c>
      <c r="C470" s="15">
        <v>1203</v>
      </c>
      <c r="D470" t="s">
        <v>20</v>
      </c>
      <c r="G470" s="13">
        <v>35604</v>
      </c>
      <c r="H470" s="4">
        <f t="shared" si="8"/>
        <v>4743</v>
      </c>
    </row>
    <row r="471" spans="1:8" x14ac:dyDescent="0.35">
      <c r="A471">
        <v>11148</v>
      </c>
      <c r="B471" s="16">
        <v>45311</v>
      </c>
      <c r="C471" s="15">
        <v>2244</v>
      </c>
      <c r="D471" t="s">
        <v>22</v>
      </c>
      <c r="G471" s="13">
        <v>78127</v>
      </c>
      <c r="H471" s="4">
        <f t="shared" si="8"/>
        <v>1415</v>
      </c>
    </row>
    <row r="472" spans="1:8" x14ac:dyDescent="0.35">
      <c r="A472">
        <v>70574</v>
      </c>
      <c r="B472" s="16">
        <v>45311</v>
      </c>
      <c r="C472" s="15">
        <v>4223</v>
      </c>
      <c r="D472" t="s">
        <v>22</v>
      </c>
      <c r="G472" s="13">
        <v>72939</v>
      </c>
      <c r="H472" s="4">
        <f t="shared" si="8"/>
        <v>1203</v>
      </c>
    </row>
    <row r="473" spans="1:8" x14ac:dyDescent="0.35">
      <c r="A473">
        <v>49919</v>
      </c>
      <c r="B473" s="16">
        <v>45311</v>
      </c>
      <c r="C473" s="15">
        <v>4378</v>
      </c>
      <c r="D473" t="s">
        <v>20</v>
      </c>
      <c r="G473" s="13">
        <v>11148</v>
      </c>
      <c r="H473" s="4">
        <f t="shared" si="8"/>
        <v>2244</v>
      </c>
    </row>
    <row r="474" spans="1:8" x14ac:dyDescent="0.35">
      <c r="A474">
        <v>71154</v>
      </c>
      <c r="B474" s="16">
        <v>45311</v>
      </c>
      <c r="C474" s="15">
        <v>1219</v>
      </c>
      <c r="D474" t="s">
        <v>22</v>
      </c>
      <c r="G474" s="13">
        <v>70574</v>
      </c>
      <c r="H474" s="4">
        <f t="shared" si="8"/>
        <v>4223</v>
      </c>
    </row>
    <row r="475" spans="1:8" x14ac:dyDescent="0.35">
      <c r="A475">
        <v>47644</v>
      </c>
      <c r="B475" s="16">
        <v>45311</v>
      </c>
      <c r="C475" s="15">
        <v>2062</v>
      </c>
      <c r="D475" t="s">
        <v>20</v>
      </c>
      <c r="G475" s="13">
        <v>49919</v>
      </c>
      <c r="H475" s="4">
        <f t="shared" si="8"/>
        <v>4378</v>
      </c>
    </row>
    <row r="476" spans="1:8" x14ac:dyDescent="0.35">
      <c r="A476">
        <v>91672</v>
      </c>
      <c r="B476" s="16">
        <v>45311</v>
      </c>
      <c r="C476" s="15">
        <v>4525</v>
      </c>
      <c r="D476" t="s">
        <v>20</v>
      </c>
      <c r="G476" s="13">
        <v>71154</v>
      </c>
      <c r="H476" s="4">
        <f t="shared" si="8"/>
        <v>1219</v>
      </c>
    </row>
    <row r="477" spans="1:8" x14ac:dyDescent="0.35">
      <c r="A477">
        <v>35557</v>
      </c>
      <c r="B477" s="16">
        <v>45311</v>
      </c>
      <c r="C477" s="15">
        <v>469</v>
      </c>
      <c r="D477" t="s">
        <v>22</v>
      </c>
      <c r="G477" s="13">
        <v>47644</v>
      </c>
      <c r="H477" s="4">
        <f t="shared" si="8"/>
        <v>2062</v>
      </c>
    </row>
    <row r="478" spans="1:8" x14ac:dyDescent="0.35">
      <c r="A478">
        <v>50100</v>
      </c>
      <c r="B478" s="16">
        <v>45311</v>
      </c>
      <c r="C478" s="15">
        <v>2853</v>
      </c>
      <c r="D478" t="s">
        <v>21</v>
      </c>
      <c r="G478" s="13">
        <v>91672</v>
      </c>
      <c r="H478" s="4">
        <f t="shared" si="8"/>
        <v>4525</v>
      </c>
    </row>
    <row r="479" spans="1:8" x14ac:dyDescent="0.35">
      <c r="A479">
        <v>38298</v>
      </c>
      <c r="B479" s="16">
        <v>45311</v>
      </c>
      <c r="C479" s="15">
        <v>3865</v>
      </c>
      <c r="D479" t="s">
        <v>21</v>
      </c>
      <c r="G479" s="13">
        <v>35557</v>
      </c>
      <c r="H479" s="4">
        <f t="shared" si="8"/>
        <v>469</v>
      </c>
    </row>
    <row r="480" spans="1:8" x14ac:dyDescent="0.35">
      <c r="A480">
        <v>64908</v>
      </c>
      <c r="B480" s="16">
        <v>45311</v>
      </c>
      <c r="C480" s="15">
        <v>4205</v>
      </c>
      <c r="D480" t="s">
        <v>22</v>
      </c>
      <c r="G480" s="13">
        <v>50100</v>
      </c>
      <c r="H480" s="4">
        <f t="shared" si="8"/>
        <v>2853</v>
      </c>
    </row>
    <row r="481" spans="1:8" x14ac:dyDescent="0.35">
      <c r="A481">
        <v>62349</v>
      </c>
      <c r="B481" s="16">
        <v>45311</v>
      </c>
      <c r="C481" s="15">
        <v>2509</v>
      </c>
      <c r="D481" t="s">
        <v>20</v>
      </c>
      <c r="G481" s="13">
        <v>38298</v>
      </c>
      <c r="H481" s="4">
        <f t="shared" si="8"/>
        <v>3865</v>
      </c>
    </row>
    <row r="482" spans="1:8" x14ac:dyDescent="0.35">
      <c r="A482">
        <v>67184</v>
      </c>
      <c r="B482" s="16">
        <v>45312</v>
      </c>
      <c r="C482" s="15">
        <v>2345</v>
      </c>
      <c r="D482" t="s">
        <v>20</v>
      </c>
      <c r="G482" s="13">
        <v>64908</v>
      </c>
      <c r="H482" s="4">
        <f t="shared" si="8"/>
        <v>4205</v>
      </c>
    </row>
    <row r="483" spans="1:8" x14ac:dyDescent="0.35">
      <c r="A483">
        <v>45761</v>
      </c>
      <c r="B483" s="16">
        <v>45312</v>
      </c>
      <c r="C483" s="15">
        <v>1427</v>
      </c>
      <c r="D483" t="s">
        <v>22</v>
      </c>
      <c r="G483" s="13">
        <v>62349</v>
      </c>
      <c r="H483" s="4">
        <f t="shared" si="8"/>
        <v>2509</v>
      </c>
    </row>
    <row r="484" spans="1:8" x14ac:dyDescent="0.35">
      <c r="A484">
        <v>38961</v>
      </c>
      <c r="B484" s="16">
        <v>45312</v>
      </c>
      <c r="C484" s="15">
        <v>3133</v>
      </c>
      <c r="D484" t="s">
        <v>20</v>
      </c>
      <c r="G484" s="13">
        <v>67184</v>
      </c>
      <c r="H484" s="4">
        <f t="shared" si="8"/>
        <v>2953.5</v>
      </c>
    </row>
    <row r="485" spans="1:8" x14ac:dyDescent="0.35">
      <c r="A485">
        <v>15454</v>
      </c>
      <c r="B485" s="16">
        <v>45312</v>
      </c>
      <c r="C485" s="15">
        <v>981</v>
      </c>
      <c r="D485" t="s">
        <v>20</v>
      </c>
      <c r="G485" s="13">
        <v>45761</v>
      </c>
      <c r="H485" s="4">
        <f t="shared" si="8"/>
        <v>1427</v>
      </c>
    </row>
    <row r="486" spans="1:8" x14ac:dyDescent="0.35">
      <c r="A486">
        <v>92644</v>
      </c>
      <c r="B486" s="16">
        <v>45312</v>
      </c>
      <c r="C486" s="15">
        <v>2083</v>
      </c>
      <c r="D486" t="s">
        <v>20</v>
      </c>
      <c r="G486" s="13">
        <v>38961</v>
      </c>
      <c r="H486" s="4">
        <f t="shared" si="8"/>
        <v>3133</v>
      </c>
    </row>
    <row r="487" spans="1:8" x14ac:dyDescent="0.35">
      <c r="A487">
        <v>50331</v>
      </c>
      <c r="B487" s="16">
        <v>45312</v>
      </c>
      <c r="C487" s="15">
        <v>2149</v>
      </c>
      <c r="D487" t="s">
        <v>21</v>
      </c>
      <c r="G487" s="13">
        <v>15454</v>
      </c>
      <c r="H487" s="4">
        <f t="shared" si="8"/>
        <v>981</v>
      </c>
    </row>
    <row r="488" spans="1:8" x14ac:dyDescent="0.35">
      <c r="A488">
        <v>99485</v>
      </c>
      <c r="B488" s="16">
        <v>45312</v>
      </c>
      <c r="C488" s="15">
        <v>4770</v>
      </c>
      <c r="D488" t="s">
        <v>22</v>
      </c>
      <c r="G488" s="13">
        <v>92644</v>
      </c>
      <c r="H488" s="4">
        <f t="shared" si="8"/>
        <v>2083</v>
      </c>
    </row>
    <row r="489" spans="1:8" x14ac:dyDescent="0.35">
      <c r="A489">
        <v>33175</v>
      </c>
      <c r="B489" s="16">
        <v>45312</v>
      </c>
      <c r="C489" s="15">
        <v>4688</v>
      </c>
      <c r="D489" t="s">
        <v>22</v>
      </c>
      <c r="G489" s="13">
        <v>50331</v>
      </c>
      <c r="H489" s="4">
        <f t="shared" si="8"/>
        <v>2149</v>
      </c>
    </row>
    <row r="490" spans="1:8" x14ac:dyDescent="0.35">
      <c r="A490">
        <v>36580</v>
      </c>
      <c r="B490" s="16">
        <v>45312</v>
      </c>
      <c r="C490" s="15">
        <v>2442</v>
      </c>
      <c r="D490" t="s">
        <v>20</v>
      </c>
      <c r="G490" s="13">
        <v>99485</v>
      </c>
      <c r="H490" s="4">
        <f t="shared" si="8"/>
        <v>4770</v>
      </c>
    </row>
    <row r="491" spans="1:8" x14ac:dyDescent="0.35">
      <c r="A491">
        <v>37452</v>
      </c>
      <c r="B491" s="16">
        <v>45312</v>
      </c>
      <c r="C491" s="15">
        <v>1960</v>
      </c>
      <c r="D491" t="s">
        <v>20</v>
      </c>
      <c r="G491" s="13">
        <v>33175</v>
      </c>
      <c r="H491" s="4">
        <f t="shared" si="8"/>
        <v>4688</v>
      </c>
    </row>
    <row r="492" spans="1:8" x14ac:dyDescent="0.35">
      <c r="A492">
        <v>69637</v>
      </c>
      <c r="B492" s="16">
        <v>45312</v>
      </c>
      <c r="C492" s="15">
        <v>1826</v>
      </c>
      <c r="D492" t="s">
        <v>20</v>
      </c>
      <c r="G492" s="13">
        <v>36580</v>
      </c>
      <c r="H492" s="4">
        <f t="shared" si="8"/>
        <v>2442</v>
      </c>
    </row>
    <row r="493" spans="1:8" x14ac:dyDescent="0.35">
      <c r="A493">
        <v>33723</v>
      </c>
      <c r="B493" s="16">
        <v>45312</v>
      </c>
      <c r="C493" s="15">
        <v>379</v>
      </c>
      <c r="D493" t="s">
        <v>22</v>
      </c>
      <c r="G493" s="13">
        <v>37452</v>
      </c>
      <c r="H493" s="4">
        <f t="shared" si="8"/>
        <v>1960</v>
      </c>
    </row>
    <row r="494" spans="1:8" x14ac:dyDescent="0.35">
      <c r="A494">
        <v>46912</v>
      </c>
      <c r="B494" s="16">
        <v>45312</v>
      </c>
      <c r="C494" s="15">
        <v>3151</v>
      </c>
      <c r="D494" t="s">
        <v>21</v>
      </c>
      <c r="G494" s="13">
        <v>69637</v>
      </c>
      <c r="H494" s="4">
        <f t="shared" si="8"/>
        <v>1826</v>
      </c>
    </row>
    <row r="495" spans="1:8" x14ac:dyDescent="0.35">
      <c r="A495">
        <v>29322</v>
      </c>
      <c r="B495" s="16">
        <v>45312</v>
      </c>
      <c r="C495" s="15">
        <v>3994</v>
      </c>
      <c r="D495" t="s">
        <v>21</v>
      </c>
      <c r="G495" s="13">
        <v>33723</v>
      </c>
      <c r="H495" s="4">
        <f t="shared" si="8"/>
        <v>379</v>
      </c>
    </row>
    <row r="496" spans="1:8" x14ac:dyDescent="0.35">
      <c r="A496">
        <v>73435</v>
      </c>
      <c r="B496" s="16">
        <v>45312</v>
      </c>
      <c r="C496" s="15">
        <v>2026</v>
      </c>
      <c r="D496" t="s">
        <v>22</v>
      </c>
      <c r="G496" s="13">
        <v>46912</v>
      </c>
      <c r="H496" s="4">
        <f t="shared" si="8"/>
        <v>3151</v>
      </c>
    </row>
    <row r="497" spans="1:8" x14ac:dyDescent="0.35">
      <c r="A497">
        <v>24712</v>
      </c>
      <c r="B497" s="16">
        <v>45312</v>
      </c>
      <c r="C497" s="15">
        <v>218</v>
      </c>
      <c r="D497" t="s">
        <v>22</v>
      </c>
      <c r="G497" s="13">
        <v>29322</v>
      </c>
      <c r="H497" s="4">
        <f t="shared" si="8"/>
        <v>3994</v>
      </c>
    </row>
    <row r="498" spans="1:8" x14ac:dyDescent="0.35">
      <c r="A498">
        <v>46763</v>
      </c>
      <c r="B498" s="16">
        <v>45312</v>
      </c>
      <c r="C498" s="15">
        <v>1064</v>
      </c>
      <c r="D498" t="s">
        <v>20</v>
      </c>
      <c r="G498" s="13">
        <v>73435</v>
      </c>
      <c r="H498" s="4">
        <f t="shared" si="8"/>
        <v>2026</v>
      </c>
    </row>
    <row r="499" spans="1:8" x14ac:dyDescent="0.35">
      <c r="A499">
        <v>13491</v>
      </c>
      <c r="B499" s="16">
        <v>45312</v>
      </c>
      <c r="C499" s="15">
        <v>1564</v>
      </c>
      <c r="D499" t="s">
        <v>20</v>
      </c>
      <c r="G499" s="13">
        <v>24712</v>
      </c>
      <c r="H499" s="4">
        <f t="shared" si="8"/>
        <v>218</v>
      </c>
    </row>
    <row r="500" spans="1:8" x14ac:dyDescent="0.35">
      <c r="A500">
        <v>50256</v>
      </c>
      <c r="B500" s="16">
        <v>45312</v>
      </c>
      <c r="C500" s="15">
        <v>1713</v>
      </c>
      <c r="D500" t="s">
        <v>20</v>
      </c>
      <c r="G500" s="13">
        <v>46763</v>
      </c>
      <c r="H500" s="4">
        <f t="shared" si="8"/>
        <v>1631.5</v>
      </c>
    </row>
    <row r="501" spans="1:8" x14ac:dyDescent="0.35">
      <c r="A501">
        <v>91293</v>
      </c>
      <c r="B501" s="16">
        <v>45312</v>
      </c>
      <c r="C501" s="15">
        <v>3258</v>
      </c>
      <c r="D501" t="s">
        <v>21</v>
      </c>
      <c r="G501" s="13">
        <v>13491</v>
      </c>
      <c r="H501" s="4">
        <f t="shared" si="8"/>
        <v>861.5</v>
      </c>
    </row>
    <row r="502" spans="1:8" x14ac:dyDescent="0.35">
      <c r="A502">
        <v>21679</v>
      </c>
      <c r="B502" s="16">
        <v>45312</v>
      </c>
      <c r="C502" s="15">
        <v>2047</v>
      </c>
      <c r="D502" t="s">
        <v>21</v>
      </c>
      <c r="G502" s="13">
        <v>50256</v>
      </c>
      <c r="H502" s="4">
        <f t="shared" si="8"/>
        <v>1713</v>
      </c>
    </row>
    <row r="503" spans="1:8" x14ac:dyDescent="0.35">
      <c r="A503">
        <v>38156</v>
      </c>
      <c r="B503" s="16">
        <v>45312</v>
      </c>
      <c r="C503" s="15">
        <v>3185</v>
      </c>
      <c r="D503" t="s">
        <v>21</v>
      </c>
      <c r="G503" s="13">
        <v>91293</v>
      </c>
      <c r="H503" s="4">
        <f t="shared" si="8"/>
        <v>3258</v>
      </c>
    </row>
    <row r="504" spans="1:8" x14ac:dyDescent="0.35">
      <c r="A504">
        <v>98559</v>
      </c>
      <c r="B504" s="16">
        <v>45312</v>
      </c>
      <c r="C504" s="15">
        <v>2359</v>
      </c>
      <c r="D504" t="s">
        <v>21</v>
      </c>
      <c r="G504" s="13">
        <v>21679</v>
      </c>
      <c r="H504" s="4">
        <f t="shared" si="8"/>
        <v>2047</v>
      </c>
    </row>
    <row r="505" spans="1:8" x14ac:dyDescent="0.35">
      <c r="A505">
        <v>39499</v>
      </c>
      <c r="B505" s="16">
        <v>45312</v>
      </c>
      <c r="C505" s="15">
        <v>1831</v>
      </c>
      <c r="D505" t="s">
        <v>21</v>
      </c>
      <c r="G505" s="13">
        <v>38156</v>
      </c>
      <c r="H505" s="4">
        <f t="shared" si="8"/>
        <v>3185</v>
      </c>
    </row>
    <row r="506" spans="1:8" x14ac:dyDescent="0.35">
      <c r="A506">
        <v>35270</v>
      </c>
      <c r="B506" s="16">
        <v>45313</v>
      </c>
      <c r="C506" s="15">
        <v>1392</v>
      </c>
      <c r="D506" t="s">
        <v>21</v>
      </c>
      <c r="G506" s="13">
        <v>98559</v>
      </c>
      <c r="H506" s="4">
        <f t="shared" si="8"/>
        <v>2359</v>
      </c>
    </row>
    <row r="507" spans="1:8" x14ac:dyDescent="0.35">
      <c r="A507">
        <v>20769</v>
      </c>
      <c r="B507" s="16">
        <v>45313</v>
      </c>
      <c r="C507" s="15">
        <v>3494</v>
      </c>
      <c r="D507" t="s">
        <v>22</v>
      </c>
      <c r="G507" s="13">
        <v>39499</v>
      </c>
      <c r="H507" s="4">
        <f t="shared" si="8"/>
        <v>1831</v>
      </c>
    </row>
    <row r="508" spans="1:8" x14ac:dyDescent="0.35">
      <c r="A508">
        <v>35615</v>
      </c>
      <c r="B508" s="16">
        <v>45313</v>
      </c>
      <c r="C508" s="15">
        <v>1832</v>
      </c>
      <c r="D508" t="s">
        <v>21</v>
      </c>
      <c r="G508" s="13">
        <v>35270</v>
      </c>
      <c r="H508" s="4">
        <f t="shared" si="8"/>
        <v>1392</v>
      </c>
    </row>
    <row r="509" spans="1:8" x14ac:dyDescent="0.35">
      <c r="A509">
        <v>63224</v>
      </c>
      <c r="B509" s="16">
        <v>45313</v>
      </c>
      <c r="C509" s="15">
        <v>523</v>
      </c>
      <c r="D509" t="s">
        <v>21</v>
      </c>
      <c r="G509" s="13">
        <v>20769</v>
      </c>
      <c r="H509" s="4">
        <f t="shared" si="8"/>
        <v>3494</v>
      </c>
    </row>
    <row r="510" spans="1:8" x14ac:dyDescent="0.35">
      <c r="A510">
        <v>15226</v>
      </c>
      <c r="B510" s="16">
        <v>45313</v>
      </c>
      <c r="C510" s="15">
        <v>3511</v>
      </c>
      <c r="D510" t="s">
        <v>22</v>
      </c>
      <c r="G510" s="13">
        <v>35615</v>
      </c>
      <c r="H510" s="4">
        <f t="shared" si="8"/>
        <v>1832</v>
      </c>
    </row>
    <row r="511" spans="1:8" x14ac:dyDescent="0.35">
      <c r="A511">
        <v>24438</v>
      </c>
      <c r="B511" s="16">
        <v>45313</v>
      </c>
      <c r="C511" s="15">
        <v>2987</v>
      </c>
      <c r="D511" t="s">
        <v>21</v>
      </c>
      <c r="G511" s="13">
        <v>63224</v>
      </c>
      <c r="H511" s="4">
        <f t="shared" si="8"/>
        <v>523</v>
      </c>
    </row>
    <row r="512" spans="1:8" x14ac:dyDescent="0.35">
      <c r="A512">
        <v>91962</v>
      </c>
      <c r="B512" s="16">
        <v>45313</v>
      </c>
      <c r="C512" s="15">
        <v>178</v>
      </c>
      <c r="D512" t="s">
        <v>22</v>
      </c>
      <c r="G512" s="13">
        <v>15226</v>
      </c>
      <c r="H512" s="4">
        <f t="shared" si="8"/>
        <v>3511</v>
      </c>
    </row>
    <row r="513" spans="1:8" x14ac:dyDescent="0.35">
      <c r="A513">
        <v>71536</v>
      </c>
      <c r="B513" s="16">
        <v>45313</v>
      </c>
      <c r="C513" s="15">
        <v>3599</v>
      </c>
      <c r="D513" t="s">
        <v>21</v>
      </c>
      <c r="G513" s="13">
        <v>24438</v>
      </c>
      <c r="H513" s="4">
        <f t="shared" si="8"/>
        <v>2987</v>
      </c>
    </row>
    <row r="514" spans="1:8" x14ac:dyDescent="0.35">
      <c r="A514">
        <v>98784</v>
      </c>
      <c r="B514" s="16">
        <v>45313</v>
      </c>
      <c r="C514" s="15">
        <v>1256</v>
      </c>
      <c r="D514" t="s">
        <v>21</v>
      </c>
      <c r="G514" s="13">
        <v>91962</v>
      </c>
      <c r="H514" s="4">
        <f t="shared" si="8"/>
        <v>178</v>
      </c>
    </row>
    <row r="515" spans="1:8" x14ac:dyDescent="0.35">
      <c r="A515">
        <v>74707</v>
      </c>
      <c r="B515" s="16">
        <v>45313</v>
      </c>
      <c r="C515" s="15">
        <v>1663</v>
      </c>
      <c r="D515" t="s">
        <v>20</v>
      </c>
      <c r="G515" s="13">
        <v>71536</v>
      </c>
      <c r="H515" s="4">
        <f t="shared" si="8"/>
        <v>3599</v>
      </c>
    </row>
    <row r="516" spans="1:8" x14ac:dyDescent="0.35">
      <c r="A516">
        <v>60738</v>
      </c>
      <c r="B516" s="16">
        <v>45313</v>
      </c>
      <c r="C516" s="15">
        <v>4664</v>
      </c>
      <c r="D516" t="s">
        <v>20</v>
      </c>
      <c r="G516" s="13">
        <v>98784</v>
      </c>
      <c r="H516" s="4">
        <f t="shared" si="8"/>
        <v>1256</v>
      </c>
    </row>
    <row r="517" spans="1:8" x14ac:dyDescent="0.35">
      <c r="A517">
        <v>14137</v>
      </c>
      <c r="B517" s="16">
        <v>45313</v>
      </c>
      <c r="C517" s="15">
        <v>4322</v>
      </c>
      <c r="D517" t="s">
        <v>20</v>
      </c>
      <c r="G517" s="13">
        <v>74707</v>
      </c>
      <c r="H517" s="4">
        <f t="shared" si="8"/>
        <v>1663</v>
      </c>
    </row>
    <row r="518" spans="1:8" x14ac:dyDescent="0.35">
      <c r="A518">
        <v>91641</v>
      </c>
      <c r="B518" s="16">
        <v>45313</v>
      </c>
      <c r="C518" s="15">
        <v>375</v>
      </c>
      <c r="D518" t="s">
        <v>21</v>
      </c>
      <c r="G518" s="13">
        <v>60738</v>
      </c>
      <c r="H518" s="4">
        <f t="shared" ref="H518:H581" si="9">AVERAGEIF($A$2:$A$1501,"="&amp;G518,$C$2:$C$1501)</f>
        <v>4664</v>
      </c>
    </row>
    <row r="519" spans="1:8" x14ac:dyDescent="0.35">
      <c r="A519">
        <v>22527</v>
      </c>
      <c r="B519" s="16">
        <v>45313</v>
      </c>
      <c r="C519" s="15">
        <v>3093</v>
      </c>
      <c r="D519" t="s">
        <v>21</v>
      </c>
      <c r="G519" s="13">
        <v>14137</v>
      </c>
      <c r="H519" s="4">
        <f t="shared" si="9"/>
        <v>4322</v>
      </c>
    </row>
    <row r="520" spans="1:8" x14ac:dyDescent="0.35">
      <c r="A520">
        <v>93530</v>
      </c>
      <c r="B520" s="16">
        <v>45313</v>
      </c>
      <c r="C520" s="15">
        <v>4151</v>
      </c>
      <c r="D520" t="s">
        <v>20</v>
      </c>
      <c r="G520" s="13">
        <v>91641</v>
      </c>
      <c r="H520" s="4">
        <f t="shared" si="9"/>
        <v>375</v>
      </c>
    </row>
    <row r="521" spans="1:8" x14ac:dyDescent="0.35">
      <c r="A521">
        <v>15689</v>
      </c>
      <c r="B521" s="16">
        <v>45313</v>
      </c>
      <c r="C521" s="15">
        <v>300</v>
      </c>
      <c r="D521" t="s">
        <v>21</v>
      </c>
      <c r="G521" s="13">
        <v>22527</v>
      </c>
      <c r="H521" s="4">
        <f t="shared" si="9"/>
        <v>3093</v>
      </c>
    </row>
    <row r="522" spans="1:8" x14ac:dyDescent="0.35">
      <c r="A522">
        <v>50018</v>
      </c>
      <c r="B522" s="16">
        <v>45313</v>
      </c>
      <c r="C522" s="15">
        <v>1537</v>
      </c>
      <c r="D522" t="s">
        <v>20</v>
      </c>
      <c r="G522" s="13">
        <v>93530</v>
      </c>
      <c r="H522" s="4">
        <f t="shared" si="9"/>
        <v>4151</v>
      </c>
    </row>
    <row r="523" spans="1:8" x14ac:dyDescent="0.35">
      <c r="A523">
        <v>57492</v>
      </c>
      <c r="B523" s="16">
        <v>45313</v>
      </c>
      <c r="C523" s="15">
        <v>994</v>
      </c>
      <c r="D523" t="s">
        <v>22</v>
      </c>
      <c r="G523" s="13">
        <v>15689</v>
      </c>
      <c r="H523" s="4">
        <f t="shared" si="9"/>
        <v>300</v>
      </c>
    </row>
    <row r="524" spans="1:8" x14ac:dyDescent="0.35">
      <c r="A524">
        <v>87396</v>
      </c>
      <c r="B524" s="16">
        <v>45313</v>
      </c>
      <c r="C524" s="15">
        <v>4426</v>
      </c>
      <c r="D524" t="s">
        <v>21</v>
      </c>
      <c r="G524" s="13">
        <v>50018</v>
      </c>
      <c r="H524" s="4">
        <f t="shared" si="9"/>
        <v>1537</v>
      </c>
    </row>
    <row r="525" spans="1:8" x14ac:dyDescent="0.35">
      <c r="A525">
        <v>64687</v>
      </c>
      <c r="B525" s="16">
        <v>45313</v>
      </c>
      <c r="C525" s="15">
        <v>878</v>
      </c>
      <c r="D525" t="s">
        <v>22</v>
      </c>
      <c r="G525" s="13">
        <v>57492</v>
      </c>
      <c r="H525" s="4">
        <f t="shared" si="9"/>
        <v>994</v>
      </c>
    </row>
    <row r="526" spans="1:8" x14ac:dyDescent="0.35">
      <c r="A526">
        <v>49152</v>
      </c>
      <c r="B526" s="16">
        <v>45313</v>
      </c>
      <c r="C526" s="15">
        <v>1863</v>
      </c>
      <c r="D526" t="s">
        <v>22</v>
      </c>
      <c r="G526" s="13">
        <v>87396</v>
      </c>
      <c r="H526" s="4">
        <f t="shared" si="9"/>
        <v>4426</v>
      </c>
    </row>
    <row r="527" spans="1:8" x14ac:dyDescent="0.35">
      <c r="A527">
        <v>14309</v>
      </c>
      <c r="B527" s="16">
        <v>45313</v>
      </c>
      <c r="C527" s="15">
        <v>4417</v>
      </c>
      <c r="D527" t="s">
        <v>22</v>
      </c>
      <c r="G527" s="13">
        <v>64687</v>
      </c>
      <c r="H527" s="4">
        <f t="shared" si="9"/>
        <v>878</v>
      </c>
    </row>
    <row r="528" spans="1:8" x14ac:dyDescent="0.35">
      <c r="A528">
        <v>87033</v>
      </c>
      <c r="B528" s="16">
        <v>45313</v>
      </c>
      <c r="C528" s="15">
        <v>2482</v>
      </c>
      <c r="D528" t="s">
        <v>20</v>
      </c>
      <c r="G528" s="13">
        <v>49152</v>
      </c>
      <c r="H528" s="4">
        <f t="shared" si="9"/>
        <v>1863</v>
      </c>
    </row>
    <row r="529" spans="1:8" x14ac:dyDescent="0.35">
      <c r="A529">
        <v>22763</v>
      </c>
      <c r="B529" s="16">
        <v>45313</v>
      </c>
      <c r="C529" s="15">
        <v>4589</v>
      </c>
      <c r="D529" t="s">
        <v>22</v>
      </c>
      <c r="G529" s="13">
        <v>14309</v>
      </c>
      <c r="H529" s="4">
        <f t="shared" si="9"/>
        <v>4417</v>
      </c>
    </row>
    <row r="530" spans="1:8" x14ac:dyDescent="0.35">
      <c r="A530">
        <v>92236</v>
      </c>
      <c r="B530" s="16">
        <v>45314</v>
      </c>
      <c r="C530" s="15">
        <v>2465</v>
      </c>
      <c r="D530" t="s">
        <v>22</v>
      </c>
      <c r="G530" s="13">
        <v>87033</v>
      </c>
      <c r="H530" s="4">
        <f t="shared" si="9"/>
        <v>2482</v>
      </c>
    </row>
    <row r="531" spans="1:8" x14ac:dyDescent="0.35">
      <c r="A531">
        <v>11198</v>
      </c>
      <c r="B531" s="16">
        <v>45314</v>
      </c>
      <c r="C531" s="15">
        <v>1049</v>
      </c>
      <c r="D531" t="s">
        <v>20</v>
      </c>
      <c r="G531" s="13">
        <v>22763</v>
      </c>
      <c r="H531" s="4">
        <f t="shared" si="9"/>
        <v>4589</v>
      </c>
    </row>
    <row r="532" spans="1:8" x14ac:dyDescent="0.35">
      <c r="A532">
        <v>32235</v>
      </c>
      <c r="B532" s="16">
        <v>45314</v>
      </c>
      <c r="C532" s="15">
        <v>2485</v>
      </c>
      <c r="D532" t="s">
        <v>20</v>
      </c>
      <c r="G532" s="13">
        <v>92236</v>
      </c>
      <c r="H532" s="4">
        <f t="shared" si="9"/>
        <v>2465</v>
      </c>
    </row>
    <row r="533" spans="1:8" x14ac:dyDescent="0.35">
      <c r="A533">
        <v>59438</v>
      </c>
      <c r="B533" s="16">
        <v>45314</v>
      </c>
      <c r="C533" s="15">
        <v>3812</v>
      </c>
      <c r="D533" t="s">
        <v>21</v>
      </c>
      <c r="G533" s="13">
        <v>11198</v>
      </c>
      <c r="H533" s="4">
        <f t="shared" si="9"/>
        <v>1049</v>
      </c>
    </row>
    <row r="534" spans="1:8" x14ac:dyDescent="0.35">
      <c r="A534">
        <v>43755</v>
      </c>
      <c r="B534" s="16">
        <v>45314</v>
      </c>
      <c r="C534" s="15">
        <v>4689</v>
      </c>
      <c r="D534" t="s">
        <v>20</v>
      </c>
      <c r="G534" s="13">
        <v>32235</v>
      </c>
      <c r="H534" s="4">
        <f t="shared" si="9"/>
        <v>2485</v>
      </c>
    </row>
    <row r="535" spans="1:8" x14ac:dyDescent="0.35">
      <c r="A535">
        <v>19391</v>
      </c>
      <c r="B535" s="16">
        <v>45314</v>
      </c>
      <c r="C535" s="15">
        <v>1248</v>
      </c>
      <c r="D535" t="s">
        <v>20</v>
      </c>
      <c r="G535" s="13">
        <v>59438</v>
      </c>
      <c r="H535" s="4">
        <f t="shared" si="9"/>
        <v>3812</v>
      </c>
    </row>
    <row r="536" spans="1:8" x14ac:dyDescent="0.35">
      <c r="A536">
        <v>72640</v>
      </c>
      <c r="B536" s="16">
        <v>45314</v>
      </c>
      <c r="C536" s="15">
        <v>3237</v>
      </c>
      <c r="D536" t="s">
        <v>22</v>
      </c>
      <c r="G536" s="13">
        <v>43755</v>
      </c>
      <c r="H536" s="4">
        <f t="shared" si="9"/>
        <v>4689</v>
      </c>
    </row>
    <row r="537" spans="1:8" x14ac:dyDescent="0.35">
      <c r="A537">
        <v>10161</v>
      </c>
      <c r="B537" s="16">
        <v>45314</v>
      </c>
      <c r="C537" s="15">
        <v>339</v>
      </c>
      <c r="D537" t="s">
        <v>20</v>
      </c>
      <c r="G537" s="13">
        <v>19391</v>
      </c>
      <c r="H537" s="4">
        <f t="shared" si="9"/>
        <v>1248</v>
      </c>
    </row>
    <row r="538" spans="1:8" x14ac:dyDescent="0.35">
      <c r="A538">
        <v>19467</v>
      </c>
      <c r="B538" s="16">
        <v>45314</v>
      </c>
      <c r="C538" s="15">
        <v>3268</v>
      </c>
      <c r="D538" t="s">
        <v>20</v>
      </c>
      <c r="G538" s="13">
        <v>72640</v>
      </c>
      <c r="H538" s="4">
        <f t="shared" si="9"/>
        <v>3237</v>
      </c>
    </row>
    <row r="539" spans="1:8" x14ac:dyDescent="0.35">
      <c r="A539">
        <v>18258</v>
      </c>
      <c r="B539" s="16">
        <v>45314</v>
      </c>
      <c r="C539" s="15">
        <v>2065</v>
      </c>
      <c r="D539" t="s">
        <v>21</v>
      </c>
      <c r="G539" s="13">
        <v>10161</v>
      </c>
      <c r="H539" s="4">
        <f t="shared" si="9"/>
        <v>339</v>
      </c>
    </row>
    <row r="540" spans="1:8" x14ac:dyDescent="0.35">
      <c r="A540">
        <v>53868</v>
      </c>
      <c r="B540" s="16">
        <v>45314</v>
      </c>
      <c r="C540" s="15">
        <v>2148</v>
      </c>
      <c r="D540" t="s">
        <v>21</v>
      </c>
      <c r="G540" s="13">
        <v>19467</v>
      </c>
      <c r="H540" s="4">
        <f t="shared" si="9"/>
        <v>3268</v>
      </c>
    </row>
    <row r="541" spans="1:8" x14ac:dyDescent="0.35">
      <c r="A541">
        <v>18380</v>
      </c>
      <c r="B541" s="16">
        <v>45314</v>
      </c>
      <c r="C541" s="15">
        <v>4264</v>
      </c>
      <c r="D541" t="s">
        <v>20</v>
      </c>
      <c r="G541" s="13">
        <v>18258</v>
      </c>
      <c r="H541" s="4">
        <f t="shared" si="9"/>
        <v>2065</v>
      </c>
    </row>
    <row r="542" spans="1:8" x14ac:dyDescent="0.35">
      <c r="A542">
        <v>96216</v>
      </c>
      <c r="B542" s="16">
        <v>45314</v>
      </c>
      <c r="C542" s="15">
        <v>78</v>
      </c>
      <c r="D542" t="s">
        <v>21</v>
      </c>
      <c r="G542" s="13">
        <v>53868</v>
      </c>
      <c r="H542" s="4">
        <f t="shared" si="9"/>
        <v>2148</v>
      </c>
    </row>
    <row r="543" spans="1:8" x14ac:dyDescent="0.35">
      <c r="A543">
        <v>52703</v>
      </c>
      <c r="B543" s="16">
        <v>45314</v>
      </c>
      <c r="C543" s="15">
        <v>3302</v>
      </c>
      <c r="D543" t="s">
        <v>20</v>
      </c>
      <c r="G543" s="13">
        <v>18380</v>
      </c>
      <c r="H543" s="4">
        <f t="shared" si="9"/>
        <v>4264</v>
      </c>
    </row>
    <row r="544" spans="1:8" x14ac:dyDescent="0.35">
      <c r="A544">
        <v>52740</v>
      </c>
      <c r="B544" s="16">
        <v>45314</v>
      </c>
      <c r="C544" s="15">
        <v>4805</v>
      </c>
      <c r="D544" t="s">
        <v>21</v>
      </c>
      <c r="G544" s="13">
        <v>96216</v>
      </c>
      <c r="H544" s="4">
        <f t="shared" si="9"/>
        <v>78</v>
      </c>
    </row>
    <row r="545" spans="1:8" x14ac:dyDescent="0.35">
      <c r="A545">
        <v>51334</v>
      </c>
      <c r="B545" s="16">
        <v>45314</v>
      </c>
      <c r="C545" s="15">
        <v>2602</v>
      </c>
      <c r="D545" t="s">
        <v>21</v>
      </c>
      <c r="G545" s="13">
        <v>52703</v>
      </c>
      <c r="H545" s="4">
        <f t="shared" si="9"/>
        <v>3302</v>
      </c>
    </row>
    <row r="546" spans="1:8" x14ac:dyDescent="0.35">
      <c r="A546">
        <v>50588</v>
      </c>
      <c r="B546" s="16">
        <v>45314</v>
      </c>
      <c r="C546" s="15">
        <v>4041</v>
      </c>
      <c r="D546" t="s">
        <v>20</v>
      </c>
      <c r="G546" s="13">
        <v>52740</v>
      </c>
      <c r="H546" s="4">
        <f t="shared" si="9"/>
        <v>4805</v>
      </c>
    </row>
    <row r="547" spans="1:8" x14ac:dyDescent="0.35">
      <c r="A547">
        <v>12570</v>
      </c>
      <c r="B547" s="16">
        <v>45314</v>
      </c>
      <c r="C547" s="15">
        <v>4603</v>
      </c>
      <c r="D547" t="s">
        <v>21</v>
      </c>
      <c r="G547" s="13">
        <v>51334</v>
      </c>
      <c r="H547" s="4">
        <f t="shared" si="9"/>
        <v>2602</v>
      </c>
    </row>
    <row r="548" spans="1:8" x14ac:dyDescent="0.35">
      <c r="A548">
        <v>21564</v>
      </c>
      <c r="B548" s="16">
        <v>45314</v>
      </c>
      <c r="C548" s="15">
        <v>72</v>
      </c>
      <c r="D548" t="s">
        <v>20</v>
      </c>
      <c r="G548" s="13">
        <v>50588</v>
      </c>
      <c r="H548" s="4">
        <f t="shared" si="9"/>
        <v>4041</v>
      </c>
    </row>
    <row r="549" spans="1:8" x14ac:dyDescent="0.35">
      <c r="A549">
        <v>10264</v>
      </c>
      <c r="B549" s="16">
        <v>45314</v>
      </c>
      <c r="C549" s="15">
        <v>1688</v>
      </c>
      <c r="D549" t="s">
        <v>22</v>
      </c>
      <c r="G549" s="13">
        <v>12570</v>
      </c>
      <c r="H549" s="4">
        <f t="shared" si="9"/>
        <v>4603</v>
      </c>
    </row>
    <row r="550" spans="1:8" x14ac:dyDescent="0.35">
      <c r="A550">
        <v>16382</v>
      </c>
      <c r="B550" s="16">
        <v>45314</v>
      </c>
      <c r="C550" s="15">
        <v>1302</v>
      </c>
      <c r="D550" t="s">
        <v>20</v>
      </c>
      <c r="G550" s="13">
        <v>21564</v>
      </c>
      <c r="H550" s="4">
        <f t="shared" si="9"/>
        <v>72</v>
      </c>
    </row>
    <row r="551" spans="1:8" x14ac:dyDescent="0.35">
      <c r="A551">
        <v>74359</v>
      </c>
      <c r="B551" s="16">
        <v>45314</v>
      </c>
      <c r="C551" s="15">
        <v>2810</v>
      </c>
      <c r="D551" t="s">
        <v>21</v>
      </c>
      <c r="G551" s="13">
        <v>10264</v>
      </c>
      <c r="H551" s="4">
        <f t="shared" si="9"/>
        <v>1688</v>
      </c>
    </row>
    <row r="552" spans="1:8" x14ac:dyDescent="0.35">
      <c r="A552">
        <v>36639</v>
      </c>
      <c r="B552" s="16">
        <v>45314</v>
      </c>
      <c r="C552" s="15">
        <v>840</v>
      </c>
      <c r="D552" t="s">
        <v>20</v>
      </c>
      <c r="G552" s="13">
        <v>16382</v>
      </c>
      <c r="H552" s="4">
        <f t="shared" si="9"/>
        <v>1302</v>
      </c>
    </row>
    <row r="553" spans="1:8" x14ac:dyDescent="0.35">
      <c r="A553">
        <v>99599</v>
      </c>
      <c r="B553" s="16">
        <v>45314</v>
      </c>
      <c r="C553" s="15">
        <v>4961</v>
      </c>
      <c r="D553" t="s">
        <v>20</v>
      </c>
      <c r="G553" s="13">
        <v>74359</v>
      </c>
      <c r="H553" s="4">
        <f t="shared" si="9"/>
        <v>2810</v>
      </c>
    </row>
    <row r="554" spans="1:8" x14ac:dyDescent="0.35">
      <c r="A554">
        <v>80580</v>
      </c>
      <c r="B554" s="16">
        <v>45315</v>
      </c>
      <c r="C554" s="15">
        <v>3283</v>
      </c>
      <c r="D554" t="s">
        <v>22</v>
      </c>
      <c r="G554" s="13">
        <v>36639</v>
      </c>
      <c r="H554" s="4">
        <f t="shared" si="9"/>
        <v>840</v>
      </c>
    </row>
    <row r="555" spans="1:8" x14ac:dyDescent="0.35">
      <c r="A555">
        <v>87128</v>
      </c>
      <c r="B555" s="16">
        <v>45315</v>
      </c>
      <c r="C555" s="15">
        <v>2335</v>
      </c>
      <c r="D555" t="s">
        <v>21</v>
      </c>
      <c r="G555" s="13">
        <v>99599</v>
      </c>
      <c r="H555" s="4">
        <f t="shared" si="9"/>
        <v>4961</v>
      </c>
    </row>
    <row r="556" spans="1:8" x14ac:dyDescent="0.35">
      <c r="A556">
        <v>45394</v>
      </c>
      <c r="B556" s="16">
        <v>45315</v>
      </c>
      <c r="C556" s="15">
        <v>2637</v>
      </c>
      <c r="D556" t="s">
        <v>21</v>
      </c>
      <c r="G556" s="13">
        <v>80580</v>
      </c>
      <c r="H556" s="4">
        <f t="shared" si="9"/>
        <v>3283</v>
      </c>
    </row>
    <row r="557" spans="1:8" x14ac:dyDescent="0.35">
      <c r="A557">
        <v>26993</v>
      </c>
      <c r="B557" s="16">
        <v>45315</v>
      </c>
      <c r="C557" s="15">
        <v>2149</v>
      </c>
      <c r="D557" t="s">
        <v>22</v>
      </c>
      <c r="G557" s="13">
        <v>87128</v>
      </c>
      <c r="H557" s="4">
        <f t="shared" si="9"/>
        <v>2335</v>
      </c>
    </row>
    <row r="558" spans="1:8" x14ac:dyDescent="0.35">
      <c r="A558">
        <v>37163</v>
      </c>
      <c r="B558" s="16">
        <v>45315</v>
      </c>
      <c r="C558" s="15">
        <v>4489</v>
      </c>
      <c r="D558" t="s">
        <v>22</v>
      </c>
      <c r="G558" s="13">
        <v>45394</v>
      </c>
      <c r="H558" s="4">
        <f t="shared" si="9"/>
        <v>2637</v>
      </c>
    </row>
    <row r="559" spans="1:8" x14ac:dyDescent="0.35">
      <c r="A559">
        <v>21260</v>
      </c>
      <c r="B559" s="16">
        <v>45315</v>
      </c>
      <c r="C559" s="15">
        <v>4016</v>
      </c>
      <c r="D559" t="s">
        <v>20</v>
      </c>
      <c r="G559" s="13">
        <v>26993</v>
      </c>
      <c r="H559" s="4">
        <f t="shared" si="9"/>
        <v>2149</v>
      </c>
    </row>
    <row r="560" spans="1:8" x14ac:dyDescent="0.35">
      <c r="A560">
        <v>14626</v>
      </c>
      <c r="B560" s="16">
        <v>45315</v>
      </c>
      <c r="C560" s="15">
        <v>4781</v>
      </c>
      <c r="D560" t="s">
        <v>21</v>
      </c>
      <c r="G560" s="13">
        <v>37163</v>
      </c>
      <c r="H560" s="4">
        <f t="shared" si="9"/>
        <v>4489</v>
      </c>
    </row>
    <row r="561" spans="1:8" x14ac:dyDescent="0.35">
      <c r="A561">
        <v>55710</v>
      </c>
      <c r="B561" s="16">
        <v>45315</v>
      </c>
      <c r="C561" s="15">
        <v>4964</v>
      </c>
      <c r="D561" t="s">
        <v>21</v>
      </c>
      <c r="G561" s="13">
        <v>21260</v>
      </c>
      <c r="H561" s="4">
        <f t="shared" si="9"/>
        <v>3391.5</v>
      </c>
    </row>
    <row r="562" spans="1:8" x14ac:dyDescent="0.35">
      <c r="A562">
        <v>27733</v>
      </c>
      <c r="B562" s="16">
        <v>45315</v>
      </c>
      <c r="C562" s="15">
        <v>3560</v>
      </c>
      <c r="D562" t="s">
        <v>22</v>
      </c>
      <c r="G562" s="13">
        <v>14626</v>
      </c>
      <c r="H562" s="4">
        <f t="shared" si="9"/>
        <v>4781</v>
      </c>
    </row>
    <row r="563" spans="1:8" x14ac:dyDescent="0.35">
      <c r="A563">
        <v>23802</v>
      </c>
      <c r="B563" s="16">
        <v>45315</v>
      </c>
      <c r="C563" s="15">
        <v>1113</v>
      </c>
      <c r="D563" t="s">
        <v>21</v>
      </c>
      <c r="G563" s="13">
        <v>55710</v>
      </c>
      <c r="H563" s="4">
        <f t="shared" si="9"/>
        <v>4964</v>
      </c>
    </row>
    <row r="564" spans="1:8" x14ac:dyDescent="0.35">
      <c r="A564">
        <v>69786</v>
      </c>
      <c r="B564" s="16">
        <v>45315</v>
      </c>
      <c r="C564" s="15">
        <v>4110</v>
      </c>
      <c r="D564" t="s">
        <v>22</v>
      </c>
      <c r="G564" s="13">
        <v>27733</v>
      </c>
      <c r="H564" s="4">
        <f t="shared" si="9"/>
        <v>3560</v>
      </c>
    </row>
    <row r="565" spans="1:8" x14ac:dyDescent="0.35">
      <c r="A565">
        <v>40536</v>
      </c>
      <c r="B565" s="16">
        <v>45315</v>
      </c>
      <c r="C565" s="15">
        <v>1900</v>
      </c>
      <c r="D565" t="s">
        <v>21</v>
      </c>
      <c r="G565" s="13">
        <v>23802</v>
      </c>
      <c r="H565" s="4">
        <f t="shared" si="9"/>
        <v>1113</v>
      </c>
    </row>
    <row r="566" spans="1:8" x14ac:dyDescent="0.35">
      <c r="A566">
        <v>53975</v>
      </c>
      <c r="B566" s="16">
        <v>45315</v>
      </c>
      <c r="C566" s="15">
        <v>4782</v>
      </c>
      <c r="D566" t="s">
        <v>21</v>
      </c>
      <c r="G566" s="13">
        <v>69786</v>
      </c>
      <c r="H566" s="4">
        <f t="shared" si="9"/>
        <v>4110</v>
      </c>
    </row>
    <row r="567" spans="1:8" x14ac:dyDescent="0.35">
      <c r="A567">
        <v>26901</v>
      </c>
      <c r="B567" s="16">
        <v>45315</v>
      </c>
      <c r="C567" s="15">
        <v>2786</v>
      </c>
      <c r="D567" t="s">
        <v>20</v>
      </c>
      <c r="G567" s="13">
        <v>40536</v>
      </c>
      <c r="H567" s="4">
        <f t="shared" si="9"/>
        <v>1900</v>
      </c>
    </row>
    <row r="568" spans="1:8" x14ac:dyDescent="0.35">
      <c r="A568">
        <v>45364</v>
      </c>
      <c r="B568" s="16">
        <v>45315</v>
      </c>
      <c r="C568" s="15">
        <v>1806</v>
      </c>
      <c r="D568" t="s">
        <v>22</v>
      </c>
      <c r="G568" s="13">
        <v>53975</v>
      </c>
      <c r="H568" s="4">
        <f t="shared" si="9"/>
        <v>4782</v>
      </c>
    </row>
    <row r="569" spans="1:8" x14ac:dyDescent="0.35">
      <c r="A569">
        <v>71990</v>
      </c>
      <c r="B569" s="16">
        <v>45315</v>
      </c>
      <c r="C569" s="15">
        <v>2500</v>
      </c>
      <c r="D569" t="s">
        <v>22</v>
      </c>
      <c r="G569" s="13">
        <v>26901</v>
      </c>
      <c r="H569" s="4">
        <f t="shared" si="9"/>
        <v>2786</v>
      </c>
    </row>
    <row r="570" spans="1:8" x14ac:dyDescent="0.35">
      <c r="A570">
        <v>65743</v>
      </c>
      <c r="B570" s="16">
        <v>45315</v>
      </c>
      <c r="C570" s="15">
        <v>884</v>
      </c>
      <c r="D570" t="s">
        <v>22</v>
      </c>
      <c r="G570" s="13">
        <v>45364</v>
      </c>
      <c r="H570" s="4">
        <f t="shared" si="9"/>
        <v>1806</v>
      </c>
    </row>
    <row r="571" spans="1:8" x14ac:dyDescent="0.35">
      <c r="A571">
        <v>89180</v>
      </c>
      <c r="B571" s="16">
        <v>45315</v>
      </c>
      <c r="C571" s="15">
        <v>1841</v>
      </c>
      <c r="D571" t="s">
        <v>21</v>
      </c>
      <c r="G571" s="13">
        <v>71990</v>
      </c>
      <c r="H571" s="4">
        <f t="shared" si="9"/>
        <v>2500</v>
      </c>
    </row>
    <row r="572" spans="1:8" x14ac:dyDescent="0.35">
      <c r="A572">
        <v>50952</v>
      </c>
      <c r="B572" s="16">
        <v>45315</v>
      </c>
      <c r="C572" s="15">
        <v>1471</v>
      </c>
      <c r="D572" t="s">
        <v>21</v>
      </c>
      <c r="G572" s="13">
        <v>65743</v>
      </c>
      <c r="H572" s="4">
        <f t="shared" si="9"/>
        <v>884</v>
      </c>
    </row>
    <row r="573" spans="1:8" x14ac:dyDescent="0.35">
      <c r="A573">
        <v>26287</v>
      </c>
      <c r="B573" s="16">
        <v>45315</v>
      </c>
      <c r="C573" s="15">
        <v>4719</v>
      </c>
      <c r="D573" t="s">
        <v>22</v>
      </c>
      <c r="G573" s="13">
        <v>89180</v>
      </c>
      <c r="H573" s="4">
        <f t="shared" si="9"/>
        <v>1841</v>
      </c>
    </row>
    <row r="574" spans="1:8" x14ac:dyDescent="0.35">
      <c r="A574">
        <v>54050</v>
      </c>
      <c r="B574" s="16">
        <v>45315</v>
      </c>
      <c r="C574" s="15">
        <v>73</v>
      </c>
      <c r="D574" t="s">
        <v>20</v>
      </c>
      <c r="G574" s="13">
        <v>50952</v>
      </c>
      <c r="H574" s="4">
        <f t="shared" si="9"/>
        <v>1471</v>
      </c>
    </row>
    <row r="575" spans="1:8" x14ac:dyDescent="0.35">
      <c r="A575">
        <v>14761</v>
      </c>
      <c r="B575" s="16">
        <v>45315</v>
      </c>
      <c r="C575" s="15">
        <v>4079</v>
      </c>
      <c r="D575" t="s">
        <v>20</v>
      </c>
      <c r="G575" s="13">
        <v>26287</v>
      </c>
      <c r="H575" s="4">
        <f t="shared" si="9"/>
        <v>4719</v>
      </c>
    </row>
    <row r="576" spans="1:8" x14ac:dyDescent="0.35">
      <c r="A576">
        <v>31170</v>
      </c>
      <c r="B576" s="16">
        <v>45315</v>
      </c>
      <c r="C576" s="15">
        <v>3801</v>
      </c>
      <c r="D576" t="s">
        <v>22</v>
      </c>
      <c r="G576" s="13">
        <v>54050</v>
      </c>
      <c r="H576" s="4">
        <f t="shared" si="9"/>
        <v>73</v>
      </c>
    </row>
    <row r="577" spans="1:8" x14ac:dyDescent="0.35">
      <c r="A577">
        <v>77485</v>
      </c>
      <c r="B577" s="16">
        <v>45315</v>
      </c>
      <c r="C577" s="15">
        <v>4771</v>
      </c>
      <c r="D577" t="s">
        <v>20</v>
      </c>
      <c r="G577" s="13">
        <v>14761</v>
      </c>
      <c r="H577" s="4">
        <f t="shared" si="9"/>
        <v>4079</v>
      </c>
    </row>
    <row r="578" spans="1:8" x14ac:dyDescent="0.35">
      <c r="A578">
        <v>78706</v>
      </c>
      <c r="B578" s="16">
        <v>45316</v>
      </c>
      <c r="C578" s="15">
        <v>2447</v>
      </c>
      <c r="D578" t="s">
        <v>22</v>
      </c>
      <c r="G578" s="13">
        <v>31170</v>
      </c>
      <c r="H578" s="4">
        <f t="shared" si="9"/>
        <v>3801</v>
      </c>
    </row>
    <row r="579" spans="1:8" x14ac:dyDescent="0.35">
      <c r="A579">
        <v>42278</v>
      </c>
      <c r="B579" s="16">
        <v>45316</v>
      </c>
      <c r="C579" s="15">
        <v>1567</v>
      </c>
      <c r="D579" t="s">
        <v>21</v>
      </c>
      <c r="G579" s="13">
        <v>77485</v>
      </c>
      <c r="H579" s="4">
        <f t="shared" si="9"/>
        <v>4771</v>
      </c>
    </row>
    <row r="580" spans="1:8" x14ac:dyDescent="0.35">
      <c r="A580">
        <v>38753</v>
      </c>
      <c r="B580" s="16">
        <v>45316</v>
      </c>
      <c r="C580" s="15">
        <v>4387</v>
      </c>
      <c r="D580" t="s">
        <v>22</v>
      </c>
      <c r="G580" s="13">
        <v>78706</v>
      </c>
      <c r="H580" s="4">
        <f t="shared" si="9"/>
        <v>2447</v>
      </c>
    </row>
    <row r="581" spans="1:8" x14ac:dyDescent="0.35">
      <c r="A581">
        <v>93995</v>
      </c>
      <c r="B581" s="16">
        <v>45316</v>
      </c>
      <c r="C581" s="15">
        <v>1097</v>
      </c>
      <c r="D581" t="s">
        <v>21</v>
      </c>
      <c r="G581" s="13">
        <v>42278</v>
      </c>
      <c r="H581" s="4">
        <f t="shared" si="9"/>
        <v>1567</v>
      </c>
    </row>
    <row r="582" spans="1:8" x14ac:dyDescent="0.35">
      <c r="A582">
        <v>25431</v>
      </c>
      <c r="B582" s="16">
        <v>45316</v>
      </c>
      <c r="C582" s="15">
        <v>1627</v>
      </c>
      <c r="D582" t="s">
        <v>21</v>
      </c>
      <c r="G582" s="13">
        <v>38753</v>
      </c>
      <c r="H582" s="4">
        <f t="shared" ref="H582:H645" si="10">AVERAGEIF($A$2:$A$1501,"="&amp;G582,$C$2:$C$1501)</f>
        <v>4387</v>
      </c>
    </row>
    <row r="583" spans="1:8" x14ac:dyDescent="0.35">
      <c r="A583">
        <v>50838</v>
      </c>
      <c r="B583" s="16">
        <v>45316</v>
      </c>
      <c r="C583" s="15">
        <v>3592</v>
      </c>
      <c r="D583" t="s">
        <v>21</v>
      </c>
      <c r="G583" s="13">
        <v>93995</v>
      </c>
      <c r="H583" s="4">
        <f t="shared" si="10"/>
        <v>1097</v>
      </c>
    </row>
    <row r="584" spans="1:8" x14ac:dyDescent="0.35">
      <c r="A584">
        <v>70665</v>
      </c>
      <c r="B584" s="16">
        <v>45316</v>
      </c>
      <c r="C584" s="15">
        <v>1221</v>
      </c>
      <c r="D584" t="s">
        <v>22</v>
      </c>
      <c r="G584" s="13">
        <v>25431</v>
      </c>
      <c r="H584" s="4">
        <f t="shared" si="10"/>
        <v>1627</v>
      </c>
    </row>
    <row r="585" spans="1:8" x14ac:dyDescent="0.35">
      <c r="A585">
        <v>70336</v>
      </c>
      <c r="B585" s="16">
        <v>45316</v>
      </c>
      <c r="C585" s="15">
        <v>3820</v>
      </c>
      <c r="D585" t="s">
        <v>22</v>
      </c>
      <c r="G585" s="13">
        <v>50838</v>
      </c>
      <c r="H585" s="4">
        <f t="shared" si="10"/>
        <v>3592</v>
      </c>
    </row>
    <row r="586" spans="1:8" x14ac:dyDescent="0.35">
      <c r="A586">
        <v>30014</v>
      </c>
      <c r="B586" s="16">
        <v>45316</v>
      </c>
      <c r="C586" s="15">
        <v>1883</v>
      </c>
      <c r="D586" t="s">
        <v>21</v>
      </c>
      <c r="G586" s="13">
        <v>70665</v>
      </c>
      <c r="H586" s="4">
        <f t="shared" si="10"/>
        <v>1221</v>
      </c>
    </row>
    <row r="587" spans="1:8" x14ac:dyDescent="0.35">
      <c r="A587">
        <v>79416</v>
      </c>
      <c r="B587" s="16">
        <v>45316</v>
      </c>
      <c r="C587" s="15">
        <v>4281</v>
      </c>
      <c r="D587" t="s">
        <v>21</v>
      </c>
      <c r="G587" s="13">
        <v>70336</v>
      </c>
      <c r="H587" s="4">
        <f t="shared" si="10"/>
        <v>3820</v>
      </c>
    </row>
    <row r="588" spans="1:8" x14ac:dyDescent="0.35">
      <c r="A588">
        <v>87599</v>
      </c>
      <c r="B588" s="16">
        <v>45316</v>
      </c>
      <c r="C588" s="15">
        <v>4180</v>
      </c>
      <c r="D588" t="s">
        <v>20</v>
      </c>
      <c r="G588" s="13">
        <v>30014</v>
      </c>
      <c r="H588" s="4">
        <f t="shared" si="10"/>
        <v>1883</v>
      </c>
    </row>
    <row r="589" spans="1:8" x14ac:dyDescent="0.35">
      <c r="A589">
        <v>22848</v>
      </c>
      <c r="B589" s="16">
        <v>45316</v>
      </c>
      <c r="C589" s="15">
        <v>188</v>
      </c>
      <c r="D589" t="s">
        <v>22</v>
      </c>
      <c r="G589" s="13">
        <v>79416</v>
      </c>
      <c r="H589" s="4">
        <f t="shared" si="10"/>
        <v>4281</v>
      </c>
    </row>
    <row r="590" spans="1:8" x14ac:dyDescent="0.35">
      <c r="A590">
        <v>38986</v>
      </c>
      <c r="B590" s="16">
        <v>45316</v>
      </c>
      <c r="C590" s="15">
        <v>4073</v>
      </c>
      <c r="D590" t="s">
        <v>21</v>
      </c>
      <c r="G590" s="13">
        <v>87599</v>
      </c>
      <c r="H590" s="4">
        <f t="shared" si="10"/>
        <v>4180</v>
      </c>
    </row>
    <row r="591" spans="1:8" x14ac:dyDescent="0.35">
      <c r="A591">
        <v>76381</v>
      </c>
      <c r="B591" s="16">
        <v>45316</v>
      </c>
      <c r="C591" s="15">
        <v>2778</v>
      </c>
      <c r="D591" t="s">
        <v>21</v>
      </c>
      <c r="G591" s="13">
        <v>22848</v>
      </c>
      <c r="H591" s="4">
        <f t="shared" si="10"/>
        <v>188</v>
      </c>
    </row>
    <row r="592" spans="1:8" x14ac:dyDescent="0.35">
      <c r="A592">
        <v>42056</v>
      </c>
      <c r="B592" s="16">
        <v>45316</v>
      </c>
      <c r="C592" s="15">
        <v>1099</v>
      </c>
      <c r="D592" t="s">
        <v>21</v>
      </c>
      <c r="G592" s="13">
        <v>38986</v>
      </c>
      <c r="H592" s="4">
        <f t="shared" si="10"/>
        <v>4073</v>
      </c>
    </row>
    <row r="593" spans="1:8" x14ac:dyDescent="0.35">
      <c r="A593">
        <v>93292</v>
      </c>
      <c r="B593" s="16">
        <v>45316</v>
      </c>
      <c r="C593" s="15">
        <v>1805</v>
      </c>
      <c r="D593" t="s">
        <v>21</v>
      </c>
      <c r="G593" s="13">
        <v>76381</v>
      </c>
      <c r="H593" s="4">
        <f t="shared" si="10"/>
        <v>2778</v>
      </c>
    </row>
    <row r="594" spans="1:8" x14ac:dyDescent="0.35">
      <c r="A594">
        <v>39252</v>
      </c>
      <c r="B594" s="16">
        <v>45316</v>
      </c>
      <c r="C594" s="15">
        <v>2639</v>
      </c>
      <c r="D594" t="s">
        <v>20</v>
      </c>
      <c r="G594" s="13">
        <v>42056</v>
      </c>
      <c r="H594" s="4">
        <f t="shared" si="10"/>
        <v>1099</v>
      </c>
    </row>
    <row r="595" spans="1:8" x14ac:dyDescent="0.35">
      <c r="A595">
        <v>92730</v>
      </c>
      <c r="B595" s="16">
        <v>45316</v>
      </c>
      <c r="C595" s="15">
        <v>1606</v>
      </c>
      <c r="D595" t="s">
        <v>22</v>
      </c>
      <c r="G595" s="13">
        <v>93292</v>
      </c>
      <c r="H595" s="4">
        <f t="shared" si="10"/>
        <v>1805</v>
      </c>
    </row>
    <row r="596" spans="1:8" x14ac:dyDescent="0.35">
      <c r="A596">
        <v>52164</v>
      </c>
      <c r="B596" s="16">
        <v>45316</v>
      </c>
      <c r="C596" s="15">
        <v>1737</v>
      </c>
      <c r="D596" t="s">
        <v>20</v>
      </c>
      <c r="G596" s="13">
        <v>39252</v>
      </c>
      <c r="H596" s="4">
        <f t="shared" si="10"/>
        <v>2639</v>
      </c>
    </row>
    <row r="597" spans="1:8" x14ac:dyDescent="0.35">
      <c r="A597">
        <v>11626</v>
      </c>
      <c r="B597" s="16">
        <v>45316</v>
      </c>
      <c r="C597" s="15">
        <v>2568</v>
      </c>
      <c r="D597" t="s">
        <v>20</v>
      </c>
      <c r="G597" s="13">
        <v>92730</v>
      </c>
      <c r="H597" s="4">
        <f t="shared" si="10"/>
        <v>1606</v>
      </c>
    </row>
    <row r="598" spans="1:8" x14ac:dyDescent="0.35">
      <c r="A598">
        <v>77697</v>
      </c>
      <c r="B598" s="16">
        <v>45316</v>
      </c>
      <c r="C598" s="15">
        <v>3518</v>
      </c>
      <c r="D598" t="s">
        <v>22</v>
      </c>
      <c r="G598" s="13">
        <v>52164</v>
      </c>
      <c r="H598" s="4">
        <f t="shared" si="10"/>
        <v>1737</v>
      </c>
    </row>
    <row r="599" spans="1:8" x14ac:dyDescent="0.35">
      <c r="A599">
        <v>87077</v>
      </c>
      <c r="B599" s="16">
        <v>45316</v>
      </c>
      <c r="C599" s="15">
        <v>3384</v>
      </c>
      <c r="D599" t="s">
        <v>22</v>
      </c>
      <c r="G599" s="13">
        <v>11626</v>
      </c>
      <c r="H599" s="4">
        <f t="shared" si="10"/>
        <v>2568</v>
      </c>
    </row>
    <row r="600" spans="1:8" x14ac:dyDescent="0.35">
      <c r="A600">
        <v>39762</v>
      </c>
      <c r="B600" s="16">
        <v>45316</v>
      </c>
      <c r="C600" s="15">
        <v>4183</v>
      </c>
      <c r="D600" t="s">
        <v>20</v>
      </c>
      <c r="G600" s="13">
        <v>77697</v>
      </c>
      <c r="H600" s="4">
        <f t="shared" si="10"/>
        <v>3518</v>
      </c>
    </row>
    <row r="601" spans="1:8" x14ac:dyDescent="0.35">
      <c r="A601">
        <v>30905</v>
      </c>
      <c r="B601" s="16">
        <v>45316</v>
      </c>
      <c r="C601" s="15">
        <v>3396</v>
      </c>
      <c r="D601" t="s">
        <v>20</v>
      </c>
      <c r="G601" s="13">
        <v>87077</v>
      </c>
      <c r="H601" s="4">
        <f t="shared" si="10"/>
        <v>3384</v>
      </c>
    </row>
    <row r="602" spans="1:8" x14ac:dyDescent="0.35">
      <c r="A602">
        <v>34341</v>
      </c>
      <c r="B602" s="16">
        <v>45317</v>
      </c>
      <c r="C602" s="15">
        <v>4303</v>
      </c>
      <c r="D602" t="s">
        <v>21</v>
      </c>
      <c r="G602" s="13">
        <v>39762</v>
      </c>
      <c r="H602" s="4">
        <f t="shared" si="10"/>
        <v>4183</v>
      </c>
    </row>
    <row r="603" spans="1:8" x14ac:dyDescent="0.35">
      <c r="A603">
        <v>64547</v>
      </c>
      <c r="B603" s="16">
        <v>45317</v>
      </c>
      <c r="C603" s="15">
        <v>2885</v>
      </c>
      <c r="D603" t="s">
        <v>22</v>
      </c>
      <c r="G603" s="13">
        <v>30905</v>
      </c>
      <c r="H603" s="4">
        <f t="shared" si="10"/>
        <v>3396</v>
      </c>
    </row>
    <row r="604" spans="1:8" x14ac:dyDescent="0.35">
      <c r="A604">
        <v>78916</v>
      </c>
      <c r="B604" s="16">
        <v>45317</v>
      </c>
      <c r="C604" s="15">
        <v>1192</v>
      </c>
      <c r="D604" t="s">
        <v>22</v>
      </c>
      <c r="G604" s="13">
        <v>34341</v>
      </c>
      <c r="H604" s="4">
        <f t="shared" si="10"/>
        <v>4303</v>
      </c>
    </row>
    <row r="605" spans="1:8" x14ac:dyDescent="0.35">
      <c r="A605">
        <v>30681</v>
      </c>
      <c r="B605" s="16">
        <v>45317</v>
      </c>
      <c r="C605" s="15">
        <v>2216</v>
      </c>
      <c r="D605" t="s">
        <v>21</v>
      </c>
      <c r="G605" s="13">
        <v>64547</v>
      </c>
      <c r="H605" s="4">
        <f t="shared" si="10"/>
        <v>2885</v>
      </c>
    </row>
    <row r="606" spans="1:8" x14ac:dyDescent="0.35">
      <c r="A606">
        <v>85010</v>
      </c>
      <c r="B606" s="16">
        <v>45317</v>
      </c>
      <c r="C606" s="15">
        <v>3177</v>
      </c>
      <c r="D606" t="s">
        <v>20</v>
      </c>
      <c r="G606" s="13">
        <v>78916</v>
      </c>
      <c r="H606" s="4">
        <f t="shared" si="10"/>
        <v>1192</v>
      </c>
    </row>
    <row r="607" spans="1:8" x14ac:dyDescent="0.35">
      <c r="A607">
        <v>41839</v>
      </c>
      <c r="B607" s="16">
        <v>45317</v>
      </c>
      <c r="C607" s="15">
        <v>699</v>
      </c>
      <c r="D607" t="s">
        <v>22</v>
      </c>
      <c r="G607" s="13">
        <v>30681</v>
      </c>
      <c r="H607" s="4">
        <f t="shared" si="10"/>
        <v>2216</v>
      </c>
    </row>
    <row r="608" spans="1:8" x14ac:dyDescent="0.35">
      <c r="A608">
        <v>36237</v>
      </c>
      <c r="B608" s="16">
        <v>45317</v>
      </c>
      <c r="C608" s="15">
        <v>353</v>
      </c>
      <c r="D608" t="s">
        <v>21</v>
      </c>
      <c r="G608" s="13">
        <v>85010</v>
      </c>
      <c r="H608" s="4">
        <f t="shared" si="10"/>
        <v>3177</v>
      </c>
    </row>
    <row r="609" spans="1:8" x14ac:dyDescent="0.35">
      <c r="A609">
        <v>41352</v>
      </c>
      <c r="B609" s="16">
        <v>45317</v>
      </c>
      <c r="C609" s="15">
        <v>2820</v>
      </c>
      <c r="D609" t="s">
        <v>20</v>
      </c>
      <c r="G609" s="13">
        <v>41839</v>
      </c>
      <c r="H609" s="4">
        <f t="shared" si="10"/>
        <v>699</v>
      </c>
    </row>
    <row r="610" spans="1:8" x14ac:dyDescent="0.35">
      <c r="A610">
        <v>49421</v>
      </c>
      <c r="B610" s="16">
        <v>45317</v>
      </c>
      <c r="C610" s="15">
        <v>2483</v>
      </c>
      <c r="D610" t="s">
        <v>20</v>
      </c>
      <c r="G610" s="13">
        <v>36237</v>
      </c>
      <c r="H610" s="4">
        <f t="shared" si="10"/>
        <v>353</v>
      </c>
    </row>
    <row r="611" spans="1:8" x14ac:dyDescent="0.35">
      <c r="A611">
        <v>28749</v>
      </c>
      <c r="B611" s="16">
        <v>45317</v>
      </c>
      <c r="C611" s="15">
        <v>4099</v>
      </c>
      <c r="D611" t="s">
        <v>20</v>
      </c>
      <c r="G611" s="13">
        <v>41352</v>
      </c>
      <c r="H611" s="4">
        <f t="shared" si="10"/>
        <v>2820</v>
      </c>
    </row>
    <row r="612" spans="1:8" x14ac:dyDescent="0.35">
      <c r="A612">
        <v>48451</v>
      </c>
      <c r="B612" s="16">
        <v>45317</v>
      </c>
      <c r="C612" s="15">
        <v>354</v>
      </c>
      <c r="D612" t="s">
        <v>22</v>
      </c>
      <c r="G612" s="13">
        <v>49421</v>
      </c>
      <c r="H612" s="4">
        <f t="shared" si="10"/>
        <v>2483</v>
      </c>
    </row>
    <row r="613" spans="1:8" x14ac:dyDescent="0.35">
      <c r="A613">
        <v>36004</v>
      </c>
      <c r="B613" s="16">
        <v>45317</v>
      </c>
      <c r="C613" s="15">
        <v>725</v>
      </c>
      <c r="D613" t="s">
        <v>20</v>
      </c>
      <c r="G613" s="13">
        <v>28749</v>
      </c>
      <c r="H613" s="4">
        <f t="shared" si="10"/>
        <v>4099</v>
      </c>
    </row>
    <row r="614" spans="1:8" x14ac:dyDescent="0.35">
      <c r="A614">
        <v>73948</v>
      </c>
      <c r="B614" s="16">
        <v>45317</v>
      </c>
      <c r="C614" s="15">
        <v>672</v>
      </c>
      <c r="D614" t="s">
        <v>22</v>
      </c>
      <c r="G614" s="13">
        <v>48451</v>
      </c>
      <c r="H614" s="4">
        <f t="shared" si="10"/>
        <v>354</v>
      </c>
    </row>
    <row r="615" spans="1:8" x14ac:dyDescent="0.35">
      <c r="A615">
        <v>72946</v>
      </c>
      <c r="B615" s="16">
        <v>45317</v>
      </c>
      <c r="C615" s="15">
        <v>4140</v>
      </c>
      <c r="D615" t="s">
        <v>21</v>
      </c>
      <c r="G615" s="13">
        <v>36004</v>
      </c>
      <c r="H615" s="4">
        <f t="shared" si="10"/>
        <v>725</v>
      </c>
    </row>
    <row r="616" spans="1:8" x14ac:dyDescent="0.35">
      <c r="A616">
        <v>16849</v>
      </c>
      <c r="B616" s="16">
        <v>45317</v>
      </c>
      <c r="C616" s="15">
        <v>3493</v>
      </c>
      <c r="D616" t="s">
        <v>22</v>
      </c>
      <c r="G616" s="13">
        <v>73948</v>
      </c>
      <c r="H616" s="4">
        <f t="shared" si="10"/>
        <v>672</v>
      </c>
    </row>
    <row r="617" spans="1:8" x14ac:dyDescent="0.35">
      <c r="A617">
        <v>62941</v>
      </c>
      <c r="B617" s="16">
        <v>45317</v>
      </c>
      <c r="C617" s="15">
        <v>3473</v>
      </c>
      <c r="D617" t="s">
        <v>21</v>
      </c>
      <c r="G617" s="13">
        <v>72946</v>
      </c>
      <c r="H617" s="4">
        <f t="shared" si="10"/>
        <v>4140</v>
      </c>
    </row>
    <row r="618" spans="1:8" x14ac:dyDescent="0.35">
      <c r="A618">
        <v>21207</v>
      </c>
      <c r="B618" s="16">
        <v>45317</v>
      </c>
      <c r="C618" s="15">
        <v>130</v>
      </c>
      <c r="D618" t="s">
        <v>20</v>
      </c>
      <c r="G618" s="13">
        <v>16849</v>
      </c>
      <c r="H618" s="4">
        <f t="shared" si="10"/>
        <v>3493</v>
      </c>
    </row>
    <row r="619" spans="1:8" x14ac:dyDescent="0.35">
      <c r="A619">
        <v>54008</v>
      </c>
      <c r="B619" s="16">
        <v>45317</v>
      </c>
      <c r="C619" s="15">
        <v>3754</v>
      </c>
      <c r="D619" t="s">
        <v>20</v>
      </c>
      <c r="G619" s="13">
        <v>62941</v>
      </c>
      <c r="H619" s="4">
        <f t="shared" si="10"/>
        <v>3473</v>
      </c>
    </row>
    <row r="620" spans="1:8" x14ac:dyDescent="0.35">
      <c r="A620">
        <v>82418</v>
      </c>
      <c r="B620" s="16">
        <v>45317</v>
      </c>
      <c r="C620" s="15">
        <v>1623</v>
      </c>
      <c r="D620" t="s">
        <v>21</v>
      </c>
      <c r="G620" s="13">
        <v>21207</v>
      </c>
      <c r="H620" s="4">
        <f t="shared" si="10"/>
        <v>130</v>
      </c>
    </row>
    <row r="621" spans="1:8" x14ac:dyDescent="0.35">
      <c r="A621">
        <v>85241</v>
      </c>
      <c r="B621" s="16">
        <v>45317</v>
      </c>
      <c r="C621" s="15">
        <v>3373</v>
      </c>
      <c r="D621" t="s">
        <v>22</v>
      </c>
      <c r="G621" s="13">
        <v>54008</v>
      </c>
      <c r="H621" s="4">
        <f t="shared" si="10"/>
        <v>3754</v>
      </c>
    </row>
    <row r="622" spans="1:8" x14ac:dyDescent="0.35">
      <c r="A622">
        <v>98955</v>
      </c>
      <c r="B622" s="16">
        <v>45317</v>
      </c>
      <c r="C622" s="15">
        <v>3322</v>
      </c>
      <c r="D622" t="s">
        <v>22</v>
      </c>
      <c r="G622" s="13">
        <v>82418</v>
      </c>
      <c r="H622" s="4">
        <f t="shared" si="10"/>
        <v>1623</v>
      </c>
    </row>
    <row r="623" spans="1:8" x14ac:dyDescent="0.35">
      <c r="A623">
        <v>96425</v>
      </c>
      <c r="B623" s="16">
        <v>45317</v>
      </c>
      <c r="C623" s="15">
        <v>4508</v>
      </c>
      <c r="D623" t="s">
        <v>20</v>
      </c>
      <c r="G623" s="13">
        <v>85241</v>
      </c>
      <c r="H623" s="4">
        <f t="shared" si="10"/>
        <v>3373</v>
      </c>
    </row>
    <row r="624" spans="1:8" x14ac:dyDescent="0.35">
      <c r="A624">
        <v>78358</v>
      </c>
      <c r="B624" s="16">
        <v>45317</v>
      </c>
      <c r="C624" s="15">
        <v>3133</v>
      </c>
      <c r="D624" t="s">
        <v>21</v>
      </c>
      <c r="G624" s="13">
        <v>98955</v>
      </c>
      <c r="H624" s="4">
        <f t="shared" si="10"/>
        <v>3322</v>
      </c>
    </row>
    <row r="625" spans="1:8" x14ac:dyDescent="0.35">
      <c r="A625">
        <v>32116</v>
      </c>
      <c r="B625" s="16">
        <v>45317</v>
      </c>
      <c r="C625" s="15">
        <v>1414</v>
      </c>
      <c r="D625" t="s">
        <v>22</v>
      </c>
      <c r="G625" s="13">
        <v>96425</v>
      </c>
      <c r="H625" s="4">
        <f t="shared" si="10"/>
        <v>4508</v>
      </c>
    </row>
    <row r="626" spans="1:8" x14ac:dyDescent="0.35">
      <c r="A626">
        <v>40231</v>
      </c>
      <c r="B626" s="16">
        <v>45318</v>
      </c>
      <c r="C626" s="15">
        <v>2451</v>
      </c>
      <c r="D626" t="s">
        <v>20</v>
      </c>
      <c r="G626" s="13">
        <v>78358</v>
      </c>
      <c r="H626" s="4">
        <f t="shared" si="10"/>
        <v>3133</v>
      </c>
    </row>
    <row r="627" spans="1:8" x14ac:dyDescent="0.35">
      <c r="A627">
        <v>89029</v>
      </c>
      <c r="B627" s="16">
        <v>45318</v>
      </c>
      <c r="C627" s="15">
        <v>2614</v>
      </c>
      <c r="D627" t="s">
        <v>21</v>
      </c>
      <c r="G627" s="13">
        <v>32116</v>
      </c>
      <c r="H627" s="4">
        <f t="shared" si="10"/>
        <v>1414</v>
      </c>
    </row>
    <row r="628" spans="1:8" x14ac:dyDescent="0.35">
      <c r="A628">
        <v>31185</v>
      </c>
      <c r="B628" s="16">
        <v>45318</v>
      </c>
      <c r="C628" s="15">
        <v>2760</v>
      </c>
      <c r="D628" t="s">
        <v>20</v>
      </c>
      <c r="G628" s="13">
        <v>40231</v>
      </c>
      <c r="H628" s="4">
        <f t="shared" si="10"/>
        <v>2451</v>
      </c>
    </row>
    <row r="629" spans="1:8" x14ac:dyDescent="0.35">
      <c r="A629">
        <v>79475</v>
      </c>
      <c r="B629" s="16">
        <v>45318</v>
      </c>
      <c r="C629" s="15">
        <v>2696</v>
      </c>
      <c r="D629" t="s">
        <v>20</v>
      </c>
      <c r="G629" s="13">
        <v>89029</v>
      </c>
      <c r="H629" s="4">
        <f t="shared" si="10"/>
        <v>2614</v>
      </c>
    </row>
    <row r="630" spans="1:8" x14ac:dyDescent="0.35">
      <c r="A630">
        <v>50966</v>
      </c>
      <c r="B630" s="16">
        <v>45318</v>
      </c>
      <c r="C630" s="15">
        <v>3730</v>
      </c>
      <c r="D630" t="s">
        <v>20</v>
      </c>
      <c r="G630" s="13">
        <v>31185</v>
      </c>
      <c r="H630" s="4">
        <f t="shared" si="10"/>
        <v>2760</v>
      </c>
    </row>
    <row r="631" spans="1:8" x14ac:dyDescent="0.35">
      <c r="A631">
        <v>11140</v>
      </c>
      <c r="B631" s="16">
        <v>45318</v>
      </c>
      <c r="C631" s="15">
        <v>1229</v>
      </c>
      <c r="D631" t="s">
        <v>22</v>
      </c>
      <c r="G631" s="13">
        <v>79475</v>
      </c>
      <c r="H631" s="4">
        <f t="shared" si="10"/>
        <v>2696</v>
      </c>
    </row>
    <row r="632" spans="1:8" x14ac:dyDescent="0.35">
      <c r="A632">
        <v>98055</v>
      </c>
      <c r="B632" s="16">
        <v>45318</v>
      </c>
      <c r="C632" s="15">
        <v>1163</v>
      </c>
      <c r="D632" t="s">
        <v>20</v>
      </c>
      <c r="G632" s="13">
        <v>50966</v>
      </c>
      <c r="H632" s="4">
        <f t="shared" si="10"/>
        <v>3730</v>
      </c>
    </row>
    <row r="633" spans="1:8" x14ac:dyDescent="0.35">
      <c r="A633">
        <v>19930</v>
      </c>
      <c r="B633" s="16">
        <v>45318</v>
      </c>
      <c r="C633" s="15">
        <v>3404</v>
      </c>
      <c r="D633" t="s">
        <v>21</v>
      </c>
      <c r="G633" s="13">
        <v>11140</v>
      </c>
      <c r="H633" s="4">
        <f t="shared" si="10"/>
        <v>1229</v>
      </c>
    </row>
    <row r="634" spans="1:8" x14ac:dyDescent="0.35">
      <c r="A634">
        <v>55008</v>
      </c>
      <c r="B634" s="16">
        <v>45318</v>
      </c>
      <c r="C634" s="15">
        <v>4440</v>
      </c>
      <c r="D634" t="s">
        <v>22</v>
      </c>
      <c r="G634" s="13">
        <v>19930</v>
      </c>
      <c r="H634" s="4">
        <f t="shared" si="10"/>
        <v>3404</v>
      </c>
    </row>
    <row r="635" spans="1:8" x14ac:dyDescent="0.35">
      <c r="A635">
        <v>49200</v>
      </c>
      <c r="B635" s="16">
        <v>45318</v>
      </c>
      <c r="C635" s="15">
        <v>2718</v>
      </c>
      <c r="D635" t="s">
        <v>21</v>
      </c>
      <c r="G635" s="13">
        <v>55008</v>
      </c>
      <c r="H635" s="4">
        <f t="shared" si="10"/>
        <v>4440</v>
      </c>
    </row>
    <row r="636" spans="1:8" x14ac:dyDescent="0.35">
      <c r="A636">
        <v>20750</v>
      </c>
      <c r="B636" s="16">
        <v>45318</v>
      </c>
      <c r="C636" s="15">
        <v>2506</v>
      </c>
      <c r="D636" t="s">
        <v>20</v>
      </c>
      <c r="G636" s="13">
        <v>49200</v>
      </c>
      <c r="H636" s="4">
        <f t="shared" si="10"/>
        <v>2718</v>
      </c>
    </row>
    <row r="637" spans="1:8" x14ac:dyDescent="0.35">
      <c r="A637">
        <v>33323</v>
      </c>
      <c r="B637" s="16">
        <v>45318</v>
      </c>
      <c r="C637" s="15">
        <v>332</v>
      </c>
      <c r="D637" t="s">
        <v>21</v>
      </c>
      <c r="G637" s="13">
        <v>20750</v>
      </c>
      <c r="H637" s="4">
        <f t="shared" si="10"/>
        <v>2506</v>
      </c>
    </row>
    <row r="638" spans="1:8" x14ac:dyDescent="0.35">
      <c r="A638">
        <v>44592</v>
      </c>
      <c r="B638" s="16">
        <v>45318</v>
      </c>
      <c r="C638" s="15">
        <v>3489</v>
      </c>
      <c r="D638" t="s">
        <v>21</v>
      </c>
      <c r="G638" s="13">
        <v>33323</v>
      </c>
      <c r="H638" s="4">
        <f t="shared" si="10"/>
        <v>332</v>
      </c>
    </row>
    <row r="639" spans="1:8" x14ac:dyDescent="0.35">
      <c r="A639">
        <v>65233</v>
      </c>
      <c r="B639" s="16">
        <v>45318</v>
      </c>
      <c r="C639" s="15">
        <v>1564</v>
      </c>
      <c r="D639" t="s">
        <v>20</v>
      </c>
      <c r="G639" s="13">
        <v>44592</v>
      </c>
      <c r="H639" s="4">
        <f t="shared" si="10"/>
        <v>3489</v>
      </c>
    </row>
    <row r="640" spans="1:8" x14ac:dyDescent="0.35">
      <c r="A640">
        <v>87929</v>
      </c>
      <c r="B640" s="16">
        <v>45318</v>
      </c>
      <c r="C640" s="15">
        <v>268</v>
      </c>
      <c r="D640" t="s">
        <v>20</v>
      </c>
      <c r="G640" s="13">
        <v>65233</v>
      </c>
      <c r="H640" s="4">
        <f t="shared" si="10"/>
        <v>1564</v>
      </c>
    </row>
    <row r="641" spans="1:8" x14ac:dyDescent="0.35">
      <c r="A641">
        <v>95232</v>
      </c>
      <c r="B641" s="16">
        <v>45318</v>
      </c>
      <c r="C641" s="15">
        <v>1834</v>
      </c>
      <c r="D641" t="s">
        <v>21</v>
      </c>
      <c r="G641" s="13">
        <v>87929</v>
      </c>
      <c r="H641" s="4">
        <f t="shared" si="10"/>
        <v>268</v>
      </c>
    </row>
    <row r="642" spans="1:8" x14ac:dyDescent="0.35">
      <c r="A642">
        <v>64825</v>
      </c>
      <c r="B642" s="16">
        <v>45318</v>
      </c>
      <c r="C642" s="15">
        <v>246</v>
      </c>
      <c r="D642" t="s">
        <v>20</v>
      </c>
      <c r="G642" s="13">
        <v>95232</v>
      </c>
      <c r="H642" s="4">
        <f t="shared" si="10"/>
        <v>1834</v>
      </c>
    </row>
    <row r="643" spans="1:8" x14ac:dyDescent="0.35">
      <c r="A643">
        <v>84278</v>
      </c>
      <c r="B643" s="16">
        <v>45318</v>
      </c>
      <c r="C643" s="15">
        <v>3810</v>
      </c>
      <c r="D643" t="s">
        <v>21</v>
      </c>
      <c r="G643" s="13">
        <v>64825</v>
      </c>
      <c r="H643" s="4">
        <f t="shared" si="10"/>
        <v>246</v>
      </c>
    </row>
    <row r="644" spans="1:8" x14ac:dyDescent="0.35">
      <c r="A644">
        <v>31292</v>
      </c>
      <c r="B644" s="16">
        <v>45318</v>
      </c>
      <c r="C644" s="15">
        <v>2000</v>
      </c>
      <c r="D644" t="s">
        <v>22</v>
      </c>
      <c r="G644" s="13">
        <v>84278</v>
      </c>
      <c r="H644" s="4">
        <f t="shared" si="10"/>
        <v>3810</v>
      </c>
    </row>
    <row r="645" spans="1:8" x14ac:dyDescent="0.35">
      <c r="A645">
        <v>67820</v>
      </c>
      <c r="B645" s="16">
        <v>45318</v>
      </c>
      <c r="C645" s="15">
        <v>1281</v>
      </c>
      <c r="D645" t="s">
        <v>20</v>
      </c>
      <c r="G645" s="13">
        <v>31292</v>
      </c>
      <c r="H645" s="4">
        <f t="shared" si="10"/>
        <v>2000</v>
      </c>
    </row>
    <row r="646" spans="1:8" x14ac:dyDescent="0.35">
      <c r="A646">
        <v>14938</v>
      </c>
      <c r="B646" s="16">
        <v>45318</v>
      </c>
      <c r="C646" s="15">
        <v>2198</v>
      </c>
      <c r="D646" t="s">
        <v>22</v>
      </c>
      <c r="G646" s="13">
        <v>67820</v>
      </c>
      <c r="H646" s="4">
        <f t="shared" ref="H646:H709" si="11">AVERAGEIF($A$2:$A$1501,"="&amp;G646,$C$2:$C$1501)</f>
        <v>1281</v>
      </c>
    </row>
    <row r="647" spans="1:8" x14ac:dyDescent="0.35">
      <c r="A647">
        <v>27050</v>
      </c>
      <c r="B647" s="16">
        <v>45318</v>
      </c>
      <c r="C647" s="15">
        <v>2972</v>
      </c>
      <c r="D647" t="s">
        <v>21</v>
      </c>
      <c r="G647" s="13">
        <v>14938</v>
      </c>
      <c r="H647" s="4">
        <f t="shared" si="11"/>
        <v>2198</v>
      </c>
    </row>
    <row r="648" spans="1:8" x14ac:dyDescent="0.35">
      <c r="A648">
        <v>30269</v>
      </c>
      <c r="B648" s="16">
        <v>45318</v>
      </c>
      <c r="C648" s="15">
        <v>981</v>
      </c>
      <c r="D648" t="s">
        <v>22</v>
      </c>
      <c r="G648" s="13">
        <v>27050</v>
      </c>
      <c r="H648" s="4">
        <f t="shared" si="11"/>
        <v>2972</v>
      </c>
    </row>
    <row r="649" spans="1:8" x14ac:dyDescent="0.35">
      <c r="A649">
        <v>83835</v>
      </c>
      <c r="B649" s="16">
        <v>45318</v>
      </c>
      <c r="C649" s="15">
        <v>3588</v>
      </c>
      <c r="D649" t="s">
        <v>20</v>
      </c>
      <c r="G649" s="13">
        <v>30269</v>
      </c>
      <c r="H649" s="4">
        <f t="shared" si="11"/>
        <v>981</v>
      </c>
    </row>
    <row r="650" spans="1:8" x14ac:dyDescent="0.35">
      <c r="A650">
        <v>26095</v>
      </c>
      <c r="B650" s="16">
        <v>45319</v>
      </c>
      <c r="C650" s="15">
        <v>1242</v>
      </c>
      <c r="D650" t="s">
        <v>22</v>
      </c>
      <c r="G650" s="13">
        <v>83835</v>
      </c>
      <c r="H650" s="4">
        <f t="shared" si="11"/>
        <v>3588</v>
      </c>
    </row>
    <row r="651" spans="1:8" x14ac:dyDescent="0.35">
      <c r="A651">
        <v>97185</v>
      </c>
      <c r="B651" s="16">
        <v>45319</v>
      </c>
      <c r="C651" s="15">
        <v>3169</v>
      </c>
      <c r="D651" t="s">
        <v>20</v>
      </c>
      <c r="G651" s="13">
        <v>26095</v>
      </c>
      <c r="H651" s="4">
        <f t="shared" si="11"/>
        <v>1242</v>
      </c>
    </row>
    <row r="652" spans="1:8" x14ac:dyDescent="0.35">
      <c r="A652">
        <v>74017</v>
      </c>
      <c r="B652" s="16">
        <v>45319</v>
      </c>
      <c r="C652" s="15">
        <v>387</v>
      </c>
      <c r="D652" t="s">
        <v>21</v>
      </c>
      <c r="G652" s="13">
        <v>97185</v>
      </c>
      <c r="H652" s="4">
        <f t="shared" si="11"/>
        <v>3169</v>
      </c>
    </row>
    <row r="653" spans="1:8" x14ac:dyDescent="0.35">
      <c r="A653">
        <v>35576</v>
      </c>
      <c r="B653" s="16">
        <v>45319</v>
      </c>
      <c r="C653" s="15">
        <v>1834</v>
      </c>
      <c r="D653" t="s">
        <v>20</v>
      </c>
      <c r="G653" s="13">
        <v>74017</v>
      </c>
      <c r="H653" s="4">
        <f t="shared" si="11"/>
        <v>387</v>
      </c>
    </row>
    <row r="654" spans="1:8" x14ac:dyDescent="0.35">
      <c r="A654">
        <v>51016</v>
      </c>
      <c r="B654" s="16">
        <v>45319</v>
      </c>
      <c r="C654" s="15">
        <v>4530</v>
      </c>
      <c r="D654" t="s">
        <v>22</v>
      </c>
      <c r="G654" s="13">
        <v>35576</v>
      </c>
      <c r="H654" s="4">
        <f t="shared" si="11"/>
        <v>1834</v>
      </c>
    </row>
    <row r="655" spans="1:8" x14ac:dyDescent="0.35">
      <c r="A655">
        <v>41343</v>
      </c>
      <c r="B655" s="16">
        <v>45319</v>
      </c>
      <c r="C655" s="15">
        <v>2421</v>
      </c>
      <c r="D655" t="s">
        <v>21</v>
      </c>
      <c r="G655" s="13">
        <v>51016</v>
      </c>
      <c r="H655" s="4">
        <f t="shared" si="11"/>
        <v>4530</v>
      </c>
    </row>
    <row r="656" spans="1:8" x14ac:dyDescent="0.35">
      <c r="A656">
        <v>94092</v>
      </c>
      <c r="B656" s="16">
        <v>45319</v>
      </c>
      <c r="C656" s="15">
        <v>4085</v>
      </c>
      <c r="D656" t="s">
        <v>21</v>
      </c>
      <c r="G656" s="13">
        <v>41343</v>
      </c>
      <c r="H656" s="4">
        <f t="shared" si="11"/>
        <v>2421</v>
      </c>
    </row>
    <row r="657" spans="1:8" x14ac:dyDescent="0.35">
      <c r="A657">
        <v>13312</v>
      </c>
      <c r="B657" s="16">
        <v>45319</v>
      </c>
      <c r="C657" s="15">
        <v>1588</v>
      </c>
      <c r="D657" t="s">
        <v>22</v>
      </c>
      <c r="G657" s="13">
        <v>94092</v>
      </c>
      <c r="H657" s="4">
        <f t="shared" si="11"/>
        <v>4085</v>
      </c>
    </row>
    <row r="658" spans="1:8" x14ac:dyDescent="0.35">
      <c r="A658">
        <v>79610</v>
      </c>
      <c r="B658" s="16">
        <v>45319</v>
      </c>
      <c r="C658" s="15">
        <v>4720</v>
      </c>
      <c r="D658" t="s">
        <v>21</v>
      </c>
      <c r="G658" s="13">
        <v>13312</v>
      </c>
      <c r="H658" s="4">
        <f t="shared" si="11"/>
        <v>1588</v>
      </c>
    </row>
    <row r="659" spans="1:8" x14ac:dyDescent="0.35">
      <c r="A659">
        <v>74070</v>
      </c>
      <c r="B659" s="16">
        <v>45319</v>
      </c>
      <c r="C659" s="15">
        <v>1431</v>
      </c>
      <c r="D659" t="s">
        <v>20</v>
      </c>
      <c r="G659" s="13">
        <v>79610</v>
      </c>
      <c r="H659" s="4">
        <f t="shared" si="11"/>
        <v>4720</v>
      </c>
    </row>
    <row r="660" spans="1:8" x14ac:dyDescent="0.35">
      <c r="A660">
        <v>87830</v>
      </c>
      <c r="B660" s="16">
        <v>45319</v>
      </c>
      <c r="C660" s="15">
        <v>4456</v>
      </c>
      <c r="D660" t="s">
        <v>21</v>
      </c>
      <c r="G660" s="13">
        <v>74070</v>
      </c>
      <c r="H660" s="4">
        <f t="shared" si="11"/>
        <v>1431</v>
      </c>
    </row>
    <row r="661" spans="1:8" x14ac:dyDescent="0.35">
      <c r="A661">
        <v>91969</v>
      </c>
      <c r="B661" s="16">
        <v>45319</v>
      </c>
      <c r="C661" s="15">
        <v>243</v>
      </c>
      <c r="D661" t="s">
        <v>20</v>
      </c>
      <c r="G661" s="13">
        <v>87830</v>
      </c>
      <c r="H661" s="4">
        <f t="shared" si="11"/>
        <v>4456</v>
      </c>
    </row>
    <row r="662" spans="1:8" x14ac:dyDescent="0.35">
      <c r="A662">
        <v>56852</v>
      </c>
      <c r="B662" s="16">
        <v>45319</v>
      </c>
      <c r="C662" s="15">
        <v>1971</v>
      </c>
      <c r="D662" t="s">
        <v>20</v>
      </c>
      <c r="G662" s="13">
        <v>91969</v>
      </c>
      <c r="H662" s="4">
        <f t="shared" si="11"/>
        <v>243</v>
      </c>
    </row>
    <row r="663" spans="1:8" x14ac:dyDescent="0.35">
      <c r="A663">
        <v>49499</v>
      </c>
      <c r="B663" s="16">
        <v>45319</v>
      </c>
      <c r="C663" s="15">
        <v>3446</v>
      </c>
      <c r="D663" t="s">
        <v>21</v>
      </c>
      <c r="G663" s="13">
        <v>56852</v>
      </c>
      <c r="H663" s="4">
        <f t="shared" si="11"/>
        <v>1971</v>
      </c>
    </row>
    <row r="664" spans="1:8" x14ac:dyDescent="0.35">
      <c r="A664">
        <v>88699</v>
      </c>
      <c r="B664" s="16">
        <v>45319</v>
      </c>
      <c r="C664" s="15">
        <v>996</v>
      </c>
      <c r="D664" t="s">
        <v>20</v>
      </c>
      <c r="G664" s="13">
        <v>49499</v>
      </c>
      <c r="H664" s="4">
        <f t="shared" si="11"/>
        <v>3446</v>
      </c>
    </row>
    <row r="665" spans="1:8" x14ac:dyDescent="0.35">
      <c r="A665">
        <v>31820</v>
      </c>
      <c r="B665" s="16">
        <v>45319</v>
      </c>
      <c r="C665" s="15">
        <v>782</v>
      </c>
      <c r="D665" t="s">
        <v>20</v>
      </c>
      <c r="G665" s="13">
        <v>88699</v>
      </c>
      <c r="H665" s="4">
        <f t="shared" si="11"/>
        <v>996</v>
      </c>
    </row>
    <row r="666" spans="1:8" x14ac:dyDescent="0.35">
      <c r="A666">
        <v>85530</v>
      </c>
      <c r="B666" s="16">
        <v>45319</v>
      </c>
      <c r="C666" s="15">
        <v>4334</v>
      </c>
      <c r="D666" t="s">
        <v>21</v>
      </c>
      <c r="G666" s="13">
        <v>31820</v>
      </c>
      <c r="H666" s="4">
        <f t="shared" si="11"/>
        <v>782</v>
      </c>
    </row>
    <row r="667" spans="1:8" x14ac:dyDescent="0.35">
      <c r="A667">
        <v>11789</v>
      </c>
      <c r="B667" s="16">
        <v>45319</v>
      </c>
      <c r="C667" s="15">
        <v>4413</v>
      </c>
      <c r="D667" t="s">
        <v>20</v>
      </c>
      <c r="G667" s="13">
        <v>85530</v>
      </c>
      <c r="H667" s="4">
        <f t="shared" si="11"/>
        <v>4334</v>
      </c>
    </row>
    <row r="668" spans="1:8" x14ac:dyDescent="0.35">
      <c r="A668">
        <v>31404</v>
      </c>
      <c r="B668" s="16">
        <v>45319</v>
      </c>
      <c r="C668" s="15">
        <v>2268</v>
      </c>
      <c r="D668" t="s">
        <v>21</v>
      </c>
      <c r="G668" s="13">
        <v>11789</v>
      </c>
      <c r="H668" s="4">
        <f t="shared" si="11"/>
        <v>4413</v>
      </c>
    </row>
    <row r="669" spans="1:8" x14ac:dyDescent="0.35">
      <c r="A669">
        <v>85293</v>
      </c>
      <c r="B669" s="16">
        <v>45319</v>
      </c>
      <c r="C669" s="15">
        <v>3379</v>
      </c>
      <c r="D669" t="s">
        <v>21</v>
      </c>
      <c r="G669" s="13">
        <v>31404</v>
      </c>
      <c r="H669" s="4">
        <f t="shared" si="11"/>
        <v>2268</v>
      </c>
    </row>
    <row r="670" spans="1:8" x14ac:dyDescent="0.35">
      <c r="A670">
        <v>36849</v>
      </c>
      <c r="B670" s="16">
        <v>45319</v>
      </c>
      <c r="C670" s="15">
        <v>4808</v>
      </c>
      <c r="D670" t="s">
        <v>21</v>
      </c>
      <c r="G670" s="13">
        <v>85293</v>
      </c>
      <c r="H670" s="4">
        <f t="shared" si="11"/>
        <v>3379</v>
      </c>
    </row>
    <row r="671" spans="1:8" x14ac:dyDescent="0.35">
      <c r="A671">
        <v>58326</v>
      </c>
      <c r="B671" s="16">
        <v>45319</v>
      </c>
      <c r="C671" s="15">
        <v>2862</v>
      </c>
      <c r="D671" t="s">
        <v>20</v>
      </c>
      <c r="G671" s="13">
        <v>36849</v>
      </c>
      <c r="H671" s="4">
        <f t="shared" si="11"/>
        <v>4808</v>
      </c>
    </row>
    <row r="672" spans="1:8" x14ac:dyDescent="0.35">
      <c r="A672">
        <v>12133</v>
      </c>
      <c r="B672" s="16">
        <v>45319</v>
      </c>
      <c r="C672" s="15">
        <v>775</v>
      </c>
      <c r="D672" t="s">
        <v>21</v>
      </c>
      <c r="G672" s="13">
        <v>58326</v>
      </c>
      <c r="H672" s="4">
        <f t="shared" si="11"/>
        <v>2862</v>
      </c>
    </row>
    <row r="673" spans="1:8" x14ac:dyDescent="0.35">
      <c r="A673">
        <v>15072</v>
      </c>
      <c r="B673" s="16">
        <v>45319</v>
      </c>
      <c r="C673" s="15">
        <v>3529</v>
      </c>
      <c r="D673" t="s">
        <v>21</v>
      </c>
      <c r="G673" s="13">
        <v>12133</v>
      </c>
      <c r="H673" s="4">
        <f t="shared" si="11"/>
        <v>775</v>
      </c>
    </row>
    <row r="674" spans="1:8" x14ac:dyDescent="0.35">
      <c r="A674">
        <v>93430</v>
      </c>
      <c r="B674" s="16">
        <v>45320</v>
      </c>
      <c r="C674" s="15">
        <v>629</v>
      </c>
      <c r="D674" t="s">
        <v>21</v>
      </c>
      <c r="G674" s="13">
        <v>15072</v>
      </c>
      <c r="H674" s="4">
        <f t="shared" si="11"/>
        <v>3529</v>
      </c>
    </row>
    <row r="675" spans="1:8" x14ac:dyDescent="0.35">
      <c r="A675">
        <v>51872</v>
      </c>
      <c r="B675" s="16">
        <v>45320</v>
      </c>
      <c r="C675" s="15">
        <v>4079</v>
      </c>
      <c r="D675" t="s">
        <v>20</v>
      </c>
      <c r="G675" s="13">
        <v>93430</v>
      </c>
      <c r="H675" s="4">
        <f t="shared" si="11"/>
        <v>629</v>
      </c>
    </row>
    <row r="676" spans="1:8" x14ac:dyDescent="0.35">
      <c r="A676">
        <v>26453</v>
      </c>
      <c r="B676" s="16">
        <v>45320</v>
      </c>
      <c r="C676" s="15">
        <v>2999</v>
      </c>
      <c r="D676" t="s">
        <v>21</v>
      </c>
      <c r="G676" s="13">
        <v>51872</v>
      </c>
      <c r="H676" s="4">
        <f t="shared" si="11"/>
        <v>4079</v>
      </c>
    </row>
    <row r="677" spans="1:8" x14ac:dyDescent="0.35">
      <c r="A677">
        <v>92629</v>
      </c>
      <c r="B677" s="16">
        <v>45320</v>
      </c>
      <c r="C677" s="15">
        <v>1082</v>
      </c>
      <c r="D677" t="s">
        <v>22</v>
      </c>
      <c r="G677" s="13">
        <v>26453</v>
      </c>
      <c r="H677" s="4">
        <f t="shared" si="11"/>
        <v>2999</v>
      </c>
    </row>
    <row r="678" spans="1:8" x14ac:dyDescent="0.35">
      <c r="A678">
        <v>60996</v>
      </c>
      <c r="B678" s="16">
        <v>45320</v>
      </c>
      <c r="C678" s="15">
        <v>1299</v>
      </c>
      <c r="D678" t="s">
        <v>22</v>
      </c>
      <c r="G678" s="13">
        <v>92629</v>
      </c>
      <c r="H678" s="4">
        <f t="shared" si="11"/>
        <v>1082</v>
      </c>
    </row>
    <row r="679" spans="1:8" x14ac:dyDescent="0.35">
      <c r="A679">
        <v>24535</v>
      </c>
      <c r="B679" s="16">
        <v>45320</v>
      </c>
      <c r="C679" s="15">
        <v>1331</v>
      </c>
      <c r="D679" t="s">
        <v>20</v>
      </c>
      <c r="G679" s="13">
        <v>60996</v>
      </c>
      <c r="H679" s="4">
        <f t="shared" si="11"/>
        <v>1299</v>
      </c>
    </row>
    <row r="680" spans="1:8" x14ac:dyDescent="0.35">
      <c r="A680">
        <v>46607</v>
      </c>
      <c r="B680" s="16">
        <v>45320</v>
      </c>
      <c r="C680" s="15">
        <v>1512</v>
      </c>
      <c r="D680" t="s">
        <v>21</v>
      </c>
      <c r="G680" s="13">
        <v>24535</v>
      </c>
      <c r="H680" s="4">
        <f t="shared" si="11"/>
        <v>1331</v>
      </c>
    </row>
    <row r="681" spans="1:8" x14ac:dyDescent="0.35">
      <c r="A681">
        <v>88290</v>
      </c>
      <c r="B681" s="16">
        <v>45320</v>
      </c>
      <c r="C681" s="15">
        <v>1610</v>
      </c>
      <c r="D681" t="s">
        <v>21</v>
      </c>
      <c r="G681" s="13">
        <v>46607</v>
      </c>
      <c r="H681" s="4">
        <f t="shared" si="11"/>
        <v>1512</v>
      </c>
    </row>
    <row r="682" spans="1:8" x14ac:dyDescent="0.35">
      <c r="A682">
        <v>93711</v>
      </c>
      <c r="B682" s="16">
        <v>45320</v>
      </c>
      <c r="C682" s="15">
        <v>1882</v>
      </c>
      <c r="D682" t="s">
        <v>22</v>
      </c>
      <c r="G682" s="13">
        <v>88290</v>
      </c>
      <c r="H682" s="4">
        <f t="shared" si="11"/>
        <v>1610</v>
      </c>
    </row>
    <row r="683" spans="1:8" x14ac:dyDescent="0.35">
      <c r="A683">
        <v>77614</v>
      </c>
      <c r="B683" s="16">
        <v>45320</v>
      </c>
      <c r="C683" s="15">
        <v>2627</v>
      </c>
      <c r="D683" t="s">
        <v>20</v>
      </c>
      <c r="G683" s="13">
        <v>93711</v>
      </c>
      <c r="H683" s="4">
        <f t="shared" si="11"/>
        <v>1882</v>
      </c>
    </row>
    <row r="684" spans="1:8" x14ac:dyDescent="0.35">
      <c r="A684">
        <v>99986</v>
      </c>
      <c r="B684" s="16">
        <v>45320</v>
      </c>
      <c r="C684" s="15">
        <v>3094</v>
      </c>
      <c r="D684" t="s">
        <v>22</v>
      </c>
      <c r="G684" s="13">
        <v>77614</v>
      </c>
      <c r="H684" s="4">
        <f t="shared" si="11"/>
        <v>2627</v>
      </c>
    </row>
    <row r="685" spans="1:8" x14ac:dyDescent="0.35">
      <c r="A685">
        <v>29483</v>
      </c>
      <c r="B685" s="16">
        <v>45320</v>
      </c>
      <c r="C685" s="15">
        <v>4391</v>
      </c>
      <c r="D685" t="s">
        <v>21</v>
      </c>
      <c r="G685" s="13">
        <v>99986</v>
      </c>
      <c r="H685" s="4">
        <f t="shared" si="11"/>
        <v>3094</v>
      </c>
    </row>
    <row r="686" spans="1:8" x14ac:dyDescent="0.35">
      <c r="A686">
        <v>59255</v>
      </c>
      <c r="B686" s="16">
        <v>45320</v>
      </c>
      <c r="C686" s="15">
        <v>527</v>
      </c>
      <c r="D686" t="s">
        <v>21</v>
      </c>
      <c r="G686" s="13">
        <v>59255</v>
      </c>
      <c r="H686" s="4">
        <f t="shared" si="11"/>
        <v>527</v>
      </c>
    </row>
    <row r="687" spans="1:8" x14ac:dyDescent="0.35">
      <c r="A687">
        <v>19153</v>
      </c>
      <c r="B687" s="16">
        <v>45320</v>
      </c>
      <c r="C687" s="15">
        <v>4450</v>
      </c>
      <c r="D687" t="s">
        <v>20</v>
      </c>
      <c r="G687" s="13">
        <v>19153</v>
      </c>
      <c r="H687" s="4">
        <f t="shared" si="11"/>
        <v>4450</v>
      </c>
    </row>
    <row r="688" spans="1:8" x14ac:dyDescent="0.35">
      <c r="A688">
        <v>42798</v>
      </c>
      <c r="B688" s="16">
        <v>45320</v>
      </c>
      <c r="C688" s="15">
        <v>3514</v>
      </c>
      <c r="D688" t="s">
        <v>20</v>
      </c>
      <c r="G688" s="13">
        <v>42798</v>
      </c>
      <c r="H688" s="4">
        <f t="shared" si="11"/>
        <v>3514</v>
      </c>
    </row>
    <row r="689" spans="1:8" x14ac:dyDescent="0.35">
      <c r="A689">
        <v>11654</v>
      </c>
      <c r="B689" s="16">
        <v>45320</v>
      </c>
      <c r="C689" s="15">
        <v>285</v>
      </c>
      <c r="D689" t="s">
        <v>20</v>
      </c>
      <c r="G689" s="13">
        <v>11654</v>
      </c>
      <c r="H689" s="4">
        <f t="shared" si="11"/>
        <v>285</v>
      </c>
    </row>
    <row r="690" spans="1:8" x14ac:dyDescent="0.35">
      <c r="A690">
        <v>21667</v>
      </c>
      <c r="B690" s="16">
        <v>45320</v>
      </c>
      <c r="C690" s="15">
        <v>793</v>
      </c>
      <c r="D690" t="s">
        <v>22</v>
      </c>
      <c r="G690" s="13">
        <v>21667</v>
      </c>
      <c r="H690" s="4">
        <f t="shared" si="11"/>
        <v>793</v>
      </c>
    </row>
    <row r="691" spans="1:8" x14ac:dyDescent="0.35">
      <c r="A691">
        <v>26748</v>
      </c>
      <c r="B691" s="16">
        <v>45320</v>
      </c>
      <c r="C691" s="15">
        <v>3681</v>
      </c>
      <c r="D691" t="s">
        <v>22</v>
      </c>
      <c r="G691" s="13">
        <v>26748</v>
      </c>
      <c r="H691" s="4">
        <f t="shared" si="11"/>
        <v>3681</v>
      </c>
    </row>
    <row r="692" spans="1:8" x14ac:dyDescent="0.35">
      <c r="A692">
        <v>24921</v>
      </c>
      <c r="B692" s="16">
        <v>45320</v>
      </c>
      <c r="C692" s="15">
        <v>560</v>
      </c>
      <c r="D692" t="s">
        <v>20</v>
      </c>
      <c r="G692" s="13">
        <v>24921</v>
      </c>
      <c r="H692" s="4">
        <f t="shared" si="11"/>
        <v>560</v>
      </c>
    </row>
    <row r="693" spans="1:8" x14ac:dyDescent="0.35">
      <c r="A693">
        <v>62876</v>
      </c>
      <c r="B693" s="16">
        <v>45320</v>
      </c>
      <c r="C693" s="15">
        <v>3535</v>
      </c>
      <c r="D693" t="s">
        <v>20</v>
      </c>
      <c r="G693" s="13">
        <v>62876</v>
      </c>
      <c r="H693" s="4">
        <f t="shared" si="11"/>
        <v>3535</v>
      </c>
    </row>
    <row r="694" spans="1:8" x14ac:dyDescent="0.35">
      <c r="A694">
        <v>74794</v>
      </c>
      <c r="B694" s="16">
        <v>45320</v>
      </c>
      <c r="C694" s="15">
        <v>1685</v>
      </c>
      <c r="D694" t="s">
        <v>21</v>
      </c>
      <c r="G694" s="13">
        <v>74794</v>
      </c>
      <c r="H694" s="4">
        <f t="shared" si="11"/>
        <v>1685</v>
      </c>
    </row>
    <row r="695" spans="1:8" x14ac:dyDescent="0.35">
      <c r="A695">
        <v>59248</v>
      </c>
      <c r="B695" s="16">
        <v>45320</v>
      </c>
      <c r="C695" s="15">
        <v>4555</v>
      </c>
      <c r="D695" t="s">
        <v>22</v>
      </c>
      <c r="G695" s="13">
        <v>59248</v>
      </c>
      <c r="H695" s="4">
        <f t="shared" si="11"/>
        <v>4555</v>
      </c>
    </row>
    <row r="696" spans="1:8" x14ac:dyDescent="0.35">
      <c r="A696">
        <v>77901</v>
      </c>
      <c r="B696" s="16">
        <v>45320</v>
      </c>
      <c r="C696" s="15">
        <v>4276</v>
      </c>
      <c r="D696" t="s">
        <v>20</v>
      </c>
      <c r="G696" s="13">
        <v>77901</v>
      </c>
      <c r="H696" s="4">
        <f t="shared" si="11"/>
        <v>4276</v>
      </c>
    </row>
    <row r="697" spans="1:8" x14ac:dyDescent="0.35">
      <c r="A697">
        <v>67775</v>
      </c>
      <c r="B697" s="16">
        <v>45320</v>
      </c>
      <c r="C697" s="15">
        <v>823</v>
      </c>
      <c r="D697" t="s">
        <v>22</v>
      </c>
      <c r="G697" s="13">
        <v>67775</v>
      </c>
      <c r="H697" s="4">
        <f t="shared" si="11"/>
        <v>823</v>
      </c>
    </row>
    <row r="698" spans="1:8" x14ac:dyDescent="0.35">
      <c r="A698">
        <v>76199</v>
      </c>
      <c r="B698" s="16">
        <v>45321</v>
      </c>
      <c r="C698" s="15">
        <v>1268</v>
      </c>
      <c r="D698" t="s">
        <v>21</v>
      </c>
      <c r="G698" s="13">
        <v>76199</v>
      </c>
      <c r="H698" s="4">
        <f t="shared" si="11"/>
        <v>1268</v>
      </c>
    </row>
    <row r="699" spans="1:8" x14ac:dyDescent="0.35">
      <c r="A699">
        <v>45124</v>
      </c>
      <c r="B699" s="16">
        <v>45321</v>
      </c>
      <c r="C699" s="15">
        <v>4636</v>
      </c>
      <c r="D699" t="s">
        <v>21</v>
      </c>
      <c r="G699" s="13">
        <v>45124</v>
      </c>
      <c r="H699" s="4">
        <f t="shared" si="11"/>
        <v>2420.5</v>
      </c>
    </row>
    <row r="700" spans="1:8" x14ac:dyDescent="0.35">
      <c r="A700">
        <v>49503</v>
      </c>
      <c r="B700" s="16">
        <v>45321</v>
      </c>
      <c r="C700" s="15">
        <v>1821</v>
      </c>
      <c r="D700" t="s">
        <v>20</v>
      </c>
      <c r="G700" s="13">
        <v>49503</v>
      </c>
      <c r="H700" s="4">
        <f t="shared" si="11"/>
        <v>1821</v>
      </c>
    </row>
    <row r="701" spans="1:8" x14ac:dyDescent="0.35">
      <c r="A701">
        <v>96241</v>
      </c>
      <c r="B701" s="16">
        <v>45321</v>
      </c>
      <c r="C701" s="15">
        <v>1010</v>
      </c>
      <c r="D701" t="s">
        <v>21</v>
      </c>
      <c r="G701" s="13">
        <v>96241</v>
      </c>
      <c r="H701" s="4">
        <f t="shared" si="11"/>
        <v>1010</v>
      </c>
    </row>
    <row r="702" spans="1:8" x14ac:dyDescent="0.35">
      <c r="A702">
        <v>30777</v>
      </c>
      <c r="B702" s="16">
        <v>45321</v>
      </c>
      <c r="C702" s="15">
        <v>705</v>
      </c>
      <c r="D702" t="s">
        <v>22</v>
      </c>
      <c r="G702" s="13">
        <v>30777</v>
      </c>
      <c r="H702" s="4">
        <f t="shared" si="11"/>
        <v>705</v>
      </c>
    </row>
    <row r="703" spans="1:8" x14ac:dyDescent="0.35">
      <c r="A703">
        <v>61894</v>
      </c>
      <c r="B703" s="16">
        <v>45321</v>
      </c>
      <c r="C703" s="15">
        <v>290</v>
      </c>
      <c r="D703" t="s">
        <v>22</v>
      </c>
      <c r="G703" s="13">
        <v>61894</v>
      </c>
      <c r="H703" s="4">
        <f t="shared" si="11"/>
        <v>290</v>
      </c>
    </row>
    <row r="704" spans="1:8" x14ac:dyDescent="0.35">
      <c r="A704">
        <v>12444</v>
      </c>
      <c r="B704" s="16">
        <v>45321</v>
      </c>
      <c r="C704" s="15">
        <v>2751</v>
      </c>
      <c r="D704" t="s">
        <v>21</v>
      </c>
      <c r="G704" s="13">
        <v>12444</v>
      </c>
      <c r="H704" s="4">
        <f t="shared" si="11"/>
        <v>2751</v>
      </c>
    </row>
    <row r="705" spans="1:8" x14ac:dyDescent="0.35">
      <c r="A705">
        <v>26186</v>
      </c>
      <c r="B705" s="16">
        <v>45321</v>
      </c>
      <c r="C705" s="15">
        <v>3917</v>
      </c>
      <c r="D705" t="s">
        <v>20</v>
      </c>
      <c r="G705" s="13">
        <v>26186</v>
      </c>
      <c r="H705" s="4">
        <f t="shared" si="11"/>
        <v>3917</v>
      </c>
    </row>
    <row r="706" spans="1:8" x14ac:dyDescent="0.35">
      <c r="A706">
        <v>88299</v>
      </c>
      <c r="B706" s="16">
        <v>45321</v>
      </c>
      <c r="C706" s="15">
        <v>1257</v>
      </c>
      <c r="D706" t="s">
        <v>20</v>
      </c>
      <c r="G706" s="13">
        <v>88299</v>
      </c>
      <c r="H706" s="4">
        <f t="shared" si="11"/>
        <v>1257</v>
      </c>
    </row>
    <row r="707" spans="1:8" x14ac:dyDescent="0.35">
      <c r="A707">
        <v>25845</v>
      </c>
      <c r="B707" s="16">
        <v>45321</v>
      </c>
      <c r="C707" s="15">
        <v>3543</v>
      </c>
      <c r="D707" t="s">
        <v>21</v>
      </c>
      <c r="G707" s="13">
        <v>25845</v>
      </c>
      <c r="H707" s="4">
        <f t="shared" si="11"/>
        <v>3543</v>
      </c>
    </row>
    <row r="708" spans="1:8" x14ac:dyDescent="0.35">
      <c r="A708">
        <v>26308</v>
      </c>
      <c r="B708" s="16">
        <v>45321</v>
      </c>
      <c r="C708" s="15">
        <v>4550</v>
      </c>
      <c r="D708" t="s">
        <v>22</v>
      </c>
      <c r="G708" s="13">
        <v>26308</v>
      </c>
      <c r="H708" s="4">
        <f t="shared" si="11"/>
        <v>4550</v>
      </c>
    </row>
    <row r="709" spans="1:8" x14ac:dyDescent="0.35">
      <c r="A709">
        <v>34029</v>
      </c>
      <c r="B709" s="16">
        <v>45321</v>
      </c>
      <c r="C709" s="15">
        <v>776</v>
      </c>
      <c r="D709" t="s">
        <v>20</v>
      </c>
      <c r="G709" s="13">
        <v>34029</v>
      </c>
      <c r="H709" s="4">
        <f t="shared" si="11"/>
        <v>776</v>
      </c>
    </row>
    <row r="710" spans="1:8" x14ac:dyDescent="0.35">
      <c r="A710">
        <v>10214</v>
      </c>
      <c r="B710" s="16">
        <v>45321</v>
      </c>
      <c r="C710" s="15">
        <v>4561</v>
      </c>
      <c r="D710" t="s">
        <v>22</v>
      </c>
      <c r="G710" s="13">
        <v>10214</v>
      </c>
      <c r="H710" s="4">
        <f t="shared" ref="H710:H773" si="12">AVERAGEIF($A$2:$A$1501,"="&amp;G710,$C$2:$C$1501)</f>
        <v>4561</v>
      </c>
    </row>
    <row r="711" spans="1:8" x14ac:dyDescent="0.35">
      <c r="A711">
        <v>52374</v>
      </c>
      <c r="B711" s="16">
        <v>45321</v>
      </c>
      <c r="C711" s="15">
        <v>3423</v>
      </c>
      <c r="D711" t="s">
        <v>20</v>
      </c>
      <c r="G711" s="13">
        <v>52374</v>
      </c>
      <c r="H711" s="4">
        <f t="shared" si="12"/>
        <v>3423</v>
      </c>
    </row>
    <row r="712" spans="1:8" x14ac:dyDescent="0.35">
      <c r="A712">
        <v>42664</v>
      </c>
      <c r="B712" s="16">
        <v>45321</v>
      </c>
      <c r="C712" s="15">
        <v>2467</v>
      </c>
      <c r="D712" t="s">
        <v>21</v>
      </c>
      <c r="G712" s="13">
        <v>42664</v>
      </c>
      <c r="H712" s="4">
        <f t="shared" si="12"/>
        <v>2467</v>
      </c>
    </row>
    <row r="713" spans="1:8" x14ac:dyDescent="0.35">
      <c r="A713">
        <v>74930</v>
      </c>
      <c r="B713" s="16">
        <v>45321</v>
      </c>
      <c r="C713" s="15">
        <v>417</v>
      </c>
      <c r="D713" t="s">
        <v>22</v>
      </c>
      <c r="G713" s="13">
        <v>74930</v>
      </c>
      <c r="H713" s="4">
        <f t="shared" si="12"/>
        <v>417</v>
      </c>
    </row>
    <row r="714" spans="1:8" x14ac:dyDescent="0.35">
      <c r="A714">
        <v>20353</v>
      </c>
      <c r="B714" s="16">
        <v>45321</v>
      </c>
      <c r="C714" s="15">
        <v>4981</v>
      </c>
      <c r="D714" t="s">
        <v>21</v>
      </c>
      <c r="G714" s="13">
        <v>20353</v>
      </c>
      <c r="H714" s="4">
        <f t="shared" si="12"/>
        <v>4981</v>
      </c>
    </row>
    <row r="715" spans="1:8" x14ac:dyDescent="0.35">
      <c r="A715">
        <v>36581</v>
      </c>
      <c r="B715" s="16">
        <v>45321</v>
      </c>
      <c r="C715" s="15">
        <v>99</v>
      </c>
      <c r="D715" t="s">
        <v>20</v>
      </c>
      <c r="G715" s="13">
        <v>36581</v>
      </c>
      <c r="H715" s="4">
        <f t="shared" si="12"/>
        <v>99</v>
      </c>
    </row>
    <row r="716" spans="1:8" x14ac:dyDescent="0.35">
      <c r="A716">
        <v>93172</v>
      </c>
      <c r="B716" s="16">
        <v>45321</v>
      </c>
      <c r="C716" s="15">
        <v>223</v>
      </c>
      <c r="D716" t="s">
        <v>22</v>
      </c>
      <c r="G716" s="13">
        <v>93172</v>
      </c>
      <c r="H716" s="4">
        <f t="shared" si="12"/>
        <v>223</v>
      </c>
    </row>
    <row r="717" spans="1:8" x14ac:dyDescent="0.35">
      <c r="A717">
        <v>22835</v>
      </c>
      <c r="B717" s="16">
        <v>45321</v>
      </c>
      <c r="C717" s="15">
        <v>737</v>
      </c>
      <c r="D717" t="s">
        <v>21</v>
      </c>
      <c r="G717" s="13">
        <v>22835</v>
      </c>
      <c r="H717" s="4">
        <f t="shared" si="12"/>
        <v>737</v>
      </c>
    </row>
    <row r="718" spans="1:8" x14ac:dyDescent="0.35">
      <c r="A718">
        <v>21617</v>
      </c>
      <c r="B718" s="16">
        <v>45321</v>
      </c>
      <c r="C718" s="15">
        <v>488</v>
      </c>
      <c r="D718" t="s">
        <v>22</v>
      </c>
      <c r="G718" s="13">
        <v>21617</v>
      </c>
      <c r="H718" s="4">
        <f t="shared" si="12"/>
        <v>488</v>
      </c>
    </row>
    <row r="719" spans="1:8" x14ac:dyDescent="0.35">
      <c r="A719">
        <v>71368</v>
      </c>
      <c r="B719" s="16">
        <v>45321</v>
      </c>
      <c r="C719" s="15">
        <v>996</v>
      </c>
      <c r="D719" t="s">
        <v>20</v>
      </c>
      <c r="G719" s="13">
        <v>71368</v>
      </c>
      <c r="H719" s="4">
        <f t="shared" si="12"/>
        <v>996</v>
      </c>
    </row>
    <row r="720" spans="1:8" x14ac:dyDescent="0.35">
      <c r="A720">
        <v>68499</v>
      </c>
      <c r="B720" s="16">
        <v>45321</v>
      </c>
      <c r="C720" s="15">
        <v>1862</v>
      </c>
      <c r="D720" t="s">
        <v>20</v>
      </c>
      <c r="G720" s="13">
        <v>68499</v>
      </c>
      <c r="H720" s="4">
        <f t="shared" si="12"/>
        <v>1862</v>
      </c>
    </row>
    <row r="721" spans="1:8" x14ac:dyDescent="0.35">
      <c r="A721">
        <v>59811</v>
      </c>
      <c r="B721" s="16">
        <v>45321</v>
      </c>
      <c r="C721" s="15">
        <v>351</v>
      </c>
      <c r="D721" t="s">
        <v>21</v>
      </c>
      <c r="G721" s="13">
        <v>59811</v>
      </c>
      <c r="H721" s="4">
        <f t="shared" si="12"/>
        <v>351</v>
      </c>
    </row>
    <row r="722" spans="1:8" x14ac:dyDescent="0.35">
      <c r="A722">
        <v>77113</v>
      </c>
      <c r="B722" s="16">
        <v>45322</v>
      </c>
      <c r="C722" s="15">
        <v>1874</v>
      </c>
      <c r="D722" t="s">
        <v>20</v>
      </c>
      <c r="G722" s="13">
        <v>77113</v>
      </c>
      <c r="H722" s="4">
        <f t="shared" si="12"/>
        <v>1874</v>
      </c>
    </row>
    <row r="723" spans="1:8" x14ac:dyDescent="0.35">
      <c r="A723">
        <v>22618</v>
      </c>
      <c r="B723" s="16">
        <v>45322</v>
      </c>
      <c r="C723" s="15">
        <v>270</v>
      </c>
      <c r="D723" t="s">
        <v>22</v>
      </c>
      <c r="G723" s="13">
        <v>22618</v>
      </c>
      <c r="H723" s="4">
        <f t="shared" si="12"/>
        <v>270</v>
      </c>
    </row>
    <row r="724" spans="1:8" x14ac:dyDescent="0.35">
      <c r="A724">
        <v>31538</v>
      </c>
      <c r="B724" s="16">
        <v>45322</v>
      </c>
      <c r="C724" s="15">
        <v>3631</v>
      </c>
      <c r="D724" t="s">
        <v>21</v>
      </c>
      <c r="G724" s="13">
        <v>31538</v>
      </c>
      <c r="H724" s="4">
        <f t="shared" si="12"/>
        <v>3631</v>
      </c>
    </row>
    <row r="725" spans="1:8" x14ac:dyDescent="0.35">
      <c r="A725">
        <v>59708</v>
      </c>
      <c r="B725" s="16">
        <v>45322</v>
      </c>
      <c r="C725" s="15">
        <v>1768</v>
      </c>
      <c r="D725" t="s">
        <v>22</v>
      </c>
      <c r="G725" s="13">
        <v>59708</v>
      </c>
      <c r="H725" s="4">
        <f t="shared" si="12"/>
        <v>1768</v>
      </c>
    </row>
    <row r="726" spans="1:8" x14ac:dyDescent="0.35">
      <c r="A726">
        <v>25882</v>
      </c>
      <c r="B726" s="16">
        <v>45322</v>
      </c>
      <c r="C726" s="15">
        <v>1838</v>
      </c>
      <c r="D726" t="s">
        <v>21</v>
      </c>
      <c r="G726" s="13">
        <v>25882</v>
      </c>
      <c r="H726" s="4">
        <f t="shared" si="12"/>
        <v>1838</v>
      </c>
    </row>
    <row r="727" spans="1:8" x14ac:dyDescent="0.35">
      <c r="A727">
        <v>29108</v>
      </c>
      <c r="B727" s="16">
        <v>45322</v>
      </c>
      <c r="C727" s="15">
        <v>4564</v>
      </c>
      <c r="D727" t="s">
        <v>22</v>
      </c>
      <c r="G727" s="13">
        <v>29108</v>
      </c>
      <c r="H727" s="4">
        <f t="shared" si="12"/>
        <v>4564</v>
      </c>
    </row>
    <row r="728" spans="1:8" x14ac:dyDescent="0.35">
      <c r="A728">
        <v>50243</v>
      </c>
      <c r="B728" s="16">
        <v>45322</v>
      </c>
      <c r="C728" s="15">
        <v>3839</v>
      </c>
      <c r="D728" t="s">
        <v>21</v>
      </c>
      <c r="G728" s="13">
        <v>50243</v>
      </c>
      <c r="H728" s="4">
        <f t="shared" si="12"/>
        <v>3839</v>
      </c>
    </row>
    <row r="729" spans="1:8" x14ac:dyDescent="0.35">
      <c r="A729">
        <v>24472</v>
      </c>
      <c r="B729" s="16">
        <v>45322</v>
      </c>
      <c r="C729" s="15">
        <v>883</v>
      </c>
      <c r="D729" t="s">
        <v>22</v>
      </c>
      <c r="G729" s="13">
        <v>24472</v>
      </c>
      <c r="H729" s="4">
        <f t="shared" si="12"/>
        <v>883</v>
      </c>
    </row>
    <row r="730" spans="1:8" x14ac:dyDescent="0.35">
      <c r="A730">
        <v>96832</v>
      </c>
      <c r="B730" s="16">
        <v>45322</v>
      </c>
      <c r="C730" s="15">
        <v>2975</v>
      </c>
      <c r="D730" t="s">
        <v>22</v>
      </c>
      <c r="G730" s="13">
        <v>96832</v>
      </c>
      <c r="H730" s="4">
        <f t="shared" si="12"/>
        <v>2975</v>
      </c>
    </row>
    <row r="731" spans="1:8" x14ac:dyDescent="0.35">
      <c r="A731">
        <v>48302</v>
      </c>
      <c r="B731" s="16">
        <v>45322</v>
      </c>
      <c r="C731" s="15">
        <v>2027</v>
      </c>
      <c r="D731" t="s">
        <v>22</v>
      </c>
      <c r="G731" s="13">
        <v>48302</v>
      </c>
      <c r="H731" s="4">
        <f t="shared" si="12"/>
        <v>2027</v>
      </c>
    </row>
    <row r="732" spans="1:8" x14ac:dyDescent="0.35">
      <c r="A732">
        <v>90700</v>
      </c>
      <c r="B732" s="16">
        <v>45322</v>
      </c>
      <c r="C732" s="15">
        <v>509</v>
      </c>
      <c r="D732" t="s">
        <v>20</v>
      </c>
      <c r="G732" s="13">
        <v>90700</v>
      </c>
      <c r="H732" s="4">
        <f t="shared" si="12"/>
        <v>509</v>
      </c>
    </row>
    <row r="733" spans="1:8" x14ac:dyDescent="0.35">
      <c r="A733">
        <v>11473</v>
      </c>
      <c r="B733" s="16">
        <v>45322</v>
      </c>
      <c r="C733" s="15">
        <v>1271</v>
      </c>
      <c r="D733" t="s">
        <v>22</v>
      </c>
      <c r="G733" s="13">
        <v>11473</v>
      </c>
      <c r="H733" s="4">
        <f t="shared" si="12"/>
        <v>1271</v>
      </c>
    </row>
    <row r="734" spans="1:8" x14ac:dyDescent="0.35">
      <c r="A734">
        <v>71867</v>
      </c>
      <c r="B734" s="16">
        <v>45322</v>
      </c>
      <c r="C734" s="15">
        <v>4458</v>
      </c>
      <c r="D734" t="s">
        <v>20</v>
      </c>
      <c r="G734" s="13">
        <v>71867</v>
      </c>
      <c r="H734" s="4">
        <f t="shared" si="12"/>
        <v>4458</v>
      </c>
    </row>
    <row r="735" spans="1:8" x14ac:dyDescent="0.35">
      <c r="A735">
        <v>19045</v>
      </c>
      <c r="B735" s="16">
        <v>45322</v>
      </c>
      <c r="C735" s="15">
        <v>3402</v>
      </c>
      <c r="D735" t="s">
        <v>21</v>
      </c>
      <c r="G735" s="13">
        <v>19045</v>
      </c>
      <c r="H735" s="4">
        <f t="shared" si="12"/>
        <v>3402</v>
      </c>
    </row>
    <row r="736" spans="1:8" x14ac:dyDescent="0.35">
      <c r="A736">
        <v>52339</v>
      </c>
      <c r="B736" s="16">
        <v>45322</v>
      </c>
      <c r="C736" s="15">
        <v>431</v>
      </c>
      <c r="D736" t="s">
        <v>21</v>
      </c>
      <c r="G736" s="13">
        <v>52339</v>
      </c>
      <c r="H736" s="4">
        <f t="shared" si="12"/>
        <v>431</v>
      </c>
    </row>
    <row r="737" spans="1:8" x14ac:dyDescent="0.35">
      <c r="A737">
        <v>62995</v>
      </c>
      <c r="B737" s="16">
        <v>45322</v>
      </c>
      <c r="C737" s="15">
        <v>4235</v>
      </c>
      <c r="D737" t="s">
        <v>22</v>
      </c>
      <c r="G737" s="13">
        <v>62995</v>
      </c>
      <c r="H737" s="4">
        <f t="shared" si="12"/>
        <v>4235</v>
      </c>
    </row>
    <row r="738" spans="1:8" x14ac:dyDescent="0.35">
      <c r="A738">
        <v>87198</v>
      </c>
      <c r="B738" s="16">
        <v>45322</v>
      </c>
      <c r="C738" s="15">
        <v>2461</v>
      </c>
      <c r="D738" t="s">
        <v>21</v>
      </c>
      <c r="G738" s="13">
        <v>87198</v>
      </c>
      <c r="H738" s="4">
        <f t="shared" si="12"/>
        <v>2461</v>
      </c>
    </row>
    <row r="739" spans="1:8" x14ac:dyDescent="0.35">
      <c r="A739">
        <v>31126</v>
      </c>
      <c r="B739" s="16">
        <v>45322</v>
      </c>
      <c r="C739" s="15">
        <v>2591</v>
      </c>
      <c r="D739" t="s">
        <v>21</v>
      </c>
      <c r="G739" s="13">
        <v>31126</v>
      </c>
      <c r="H739" s="4">
        <f t="shared" si="12"/>
        <v>2591</v>
      </c>
    </row>
    <row r="740" spans="1:8" x14ac:dyDescent="0.35">
      <c r="A740">
        <v>40411</v>
      </c>
      <c r="B740" s="16">
        <v>45322</v>
      </c>
      <c r="C740" s="15">
        <v>4313</v>
      </c>
      <c r="D740" t="s">
        <v>21</v>
      </c>
      <c r="G740" s="13">
        <v>40411</v>
      </c>
      <c r="H740" s="4">
        <f t="shared" si="12"/>
        <v>4313</v>
      </c>
    </row>
    <row r="741" spans="1:8" x14ac:dyDescent="0.35">
      <c r="A741">
        <v>82564</v>
      </c>
      <c r="B741" s="16">
        <v>45322</v>
      </c>
      <c r="C741" s="15">
        <v>2534</v>
      </c>
      <c r="D741" t="s">
        <v>21</v>
      </c>
      <c r="G741" s="13">
        <v>82564</v>
      </c>
      <c r="H741" s="4">
        <f t="shared" si="12"/>
        <v>2534</v>
      </c>
    </row>
    <row r="742" spans="1:8" x14ac:dyDescent="0.35">
      <c r="A742">
        <v>74118</v>
      </c>
      <c r="B742" s="16">
        <v>45322</v>
      </c>
      <c r="C742" s="15">
        <v>4383</v>
      </c>
      <c r="D742" t="s">
        <v>21</v>
      </c>
      <c r="G742" s="13">
        <v>74118</v>
      </c>
      <c r="H742" s="4">
        <f t="shared" si="12"/>
        <v>4383</v>
      </c>
    </row>
    <row r="743" spans="1:8" x14ac:dyDescent="0.35">
      <c r="A743">
        <v>15070</v>
      </c>
      <c r="B743" s="16">
        <v>45322</v>
      </c>
      <c r="C743" s="15">
        <v>1563</v>
      </c>
      <c r="D743" t="s">
        <v>20</v>
      </c>
      <c r="G743" s="13">
        <v>15070</v>
      </c>
      <c r="H743" s="4">
        <f t="shared" si="12"/>
        <v>1563</v>
      </c>
    </row>
    <row r="744" spans="1:8" x14ac:dyDescent="0.35">
      <c r="A744">
        <v>53063</v>
      </c>
      <c r="B744" s="16">
        <v>45322</v>
      </c>
      <c r="C744" s="15">
        <v>1406</v>
      </c>
      <c r="D744" t="s">
        <v>21</v>
      </c>
      <c r="G744" s="13">
        <v>53063</v>
      </c>
      <c r="H744" s="4">
        <f t="shared" si="12"/>
        <v>1406</v>
      </c>
    </row>
    <row r="745" spans="1:8" x14ac:dyDescent="0.35">
      <c r="A745">
        <v>27723</v>
      </c>
      <c r="B745" s="16">
        <v>45322</v>
      </c>
      <c r="C745" s="15">
        <v>809</v>
      </c>
      <c r="D745" t="s">
        <v>21</v>
      </c>
      <c r="G745" s="13">
        <v>27723</v>
      </c>
      <c r="H745" s="4">
        <f t="shared" si="12"/>
        <v>809</v>
      </c>
    </row>
    <row r="746" spans="1:8" x14ac:dyDescent="0.35">
      <c r="A746">
        <v>53606</v>
      </c>
      <c r="B746" s="16">
        <v>45323</v>
      </c>
      <c r="C746" s="15">
        <v>1817</v>
      </c>
      <c r="D746" t="s">
        <v>20</v>
      </c>
      <c r="G746" s="13">
        <v>53606</v>
      </c>
      <c r="H746" s="4">
        <f t="shared" si="12"/>
        <v>1817</v>
      </c>
    </row>
    <row r="747" spans="1:8" x14ac:dyDescent="0.35">
      <c r="A747">
        <v>30334</v>
      </c>
      <c r="B747" s="16">
        <v>45323</v>
      </c>
      <c r="C747" s="15">
        <v>2471</v>
      </c>
      <c r="D747" t="s">
        <v>22</v>
      </c>
      <c r="G747" s="13">
        <v>30334</v>
      </c>
      <c r="H747" s="4">
        <f t="shared" si="12"/>
        <v>2471</v>
      </c>
    </row>
    <row r="748" spans="1:8" x14ac:dyDescent="0.35">
      <c r="A748">
        <v>83080</v>
      </c>
      <c r="B748" s="16">
        <v>45323</v>
      </c>
      <c r="C748" s="15">
        <v>3572</v>
      </c>
      <c r="D748" t="s">
        <v>20</v>
      </c>
      <c r="G748" s="13">
        <v>83080</v>
      </c>
      <c r="H748" s="4">
        <f t="shared" si="12"/>
        <v>3572</v>
      </c>
    </row>
    <row r="749" spans="1:8" x14ac:dyDescent="0.35">
      <c r="A749">
        <v>68412</v>
      </c>
      <c r="B749" s="16">
        <v>45323</v>
      </c>
      <c r="C749" s="15">
        <v>2393</v>
      </c>
      <c r="D749" t="s">
        <v>20</v>
      </c>
      <c r="G749" s="13">
        <v>68412</v>
      </c>
      <c r="H749" s="4">
        <f t="shared" si="12"/>
        <v>2393</v>
      </c>
    </row>
    <row r="750" spans="1:8" x14ac:dyDescent="0.35">
      <c r="A750">
        <v>45307</v>
      </c>
      <c r="B750" s="16">
        <v>45323</v>
      </c>
      <c r="C750" s="15">
        <v>4575</v>
      </c>
      <c r="D750" t="s">
        <v>21</v>
      </c>
      <c r="G750" s="13">
        <v>45307</v>
      </c>
      <c r="H750" s="4">
        <f t="shared" si="12"/>
        <v>4575</v>
      </c>
    </row>
    <row r="751" spans="1:8" x14ac:dyDescent="0.35">
      <c r="A751">
        <v>38351</v>
      </c>
      <c r="B751" s="16">
        <v>45323</v>
      </c>
      <c r="C751" s="15">
        <v>3468</v>
      </c>
      <c r="D751" t="s">
        <v>21</v>
      </c>
      <c r="G751" s="13">
        <v>38351</v>
      </c>
      <c r="H751" s="4">
        <f t="shared" si="12"/>
        <v>3468</v>
      </c>
    </row>
    <row r="752" spans="1:8" x14ac:dyDescent="0.35">
      <c r="A752">
        <v>56528</v>
      </c>
      <c r="B752" s="16">
        <v>45323</v>
      </c>
      <c r="C752" s="15">
        <v>3947</v>
      </c>
      <c r="D752" t="s">
        <v>21</v>
      </c>
      <c r="G752" s="13">
        <v>56528</v>
      </c>
      <c r="H752" s="4">
        <f t="shared" si="12"/>
        <v>3947</v>
      </c>
    </row>
    <row r="753" spans="1:8" x14ac:dyDescent="0.35">
      <c r="A753">
        <v>16275</v>
      </c>
      <c r="B753" s="16">
        <v>45323</v>
      </c>
      <c r="C753" s="15">
        <v>535</v>
      </c>
      <c r="D753" t="s">
        <v>21</v>
      </c>
      <c r="G753" s="13">
        <v>16275</v>
      </c>
      <c r="H753" s="4">
        <f t="shared" si="12"/>
        <v>535</v>
      </c>
    </row>
    <row r="754" spans="1:8" x14ac:dyDescent="0.35">
      <c r="A754">
        <v>93681</v>
      </c>
      <c r="B754" s="16">
        <v>45323</v>
      </c>
      <c r="C754" s="15">
        <v>840</v>
      </c>
      <c r="D754" t="s">
        <v>21</v>
      </c>
      <c r="G754" s="13">
        <v>93681</v>
      </c>
      <c r="H754" s="4">
        <f t="shared" si="12"/>
        <v>840</v>
      </c>
    </row>
    <row r="755" spans="1:8" x14ac:dyDescent="0.35">
      <c r="A755">
        <v>77869</v>
      </c>
      <c r="B755" s="16">
        <v>45323</v>
      </c>
      <c r="C755" s="15">
        <v>309</v>
      </c>
      <c r="D755" t="s">
        <v>22</v>
      </c>
      <c r="G755" s="13">
        <v>77869</v>
      </c>
      <c r="H755" s="4">
        <f t="shared" si="12"/>
        <v>309</v>
      </c>
    </row>
    <row r="756" spans="1:8" x14ac:dyDescent="0.35">
      <c r="A756">
        <v>34093</v>
      </c>
      <c r="B756" s="16">
        <v>45323</v>
      </c>
      <c r="C756" s="15">
        <v>4114</v>
      </c>
      <c r="D756" t="s">
        <v>20</v>
      </c>
      <c r="G756" s="13">
        <v>34093</v>
      </c>
      <c r="H756" s="4">
        <f t="shared" si="12"/>
        <v>4114</v>
      </c>
    </row>
    <row r="757" spans="1:8" x14ac:dyDescent="0.35">
      <c r="A757">
        <v>86501</v>
      </c>
      <c r="B757" s="16">
        <v>45323</v>
      </c>
      <c r="C757" s="15">
        <v>1504</v>
      </c>
      <c r="D757" t="s">
        <v>20</v>
      </c>
      <c r="G757" s="13">
        <v>86501</v>
      </c>
      <c r="H757" s="4">
        <f t="shared" si="12"/>
        <v>1504</v>
      </c>
    </row>
    <row r="758" spans="1:8" x14ac:dyDescent="0.35">
      <c r="A758">
        <v>75059</v>
      </c>
      <c r="B758" s="16">
        <v>45323</v>
      </c>
      <c r="C758" s="15">
        <v>3083</v>
      </c>
      <c r="D758" t="s">
        <v>22</v>
      </c>
      <c r="G758" s="13">
        <v>75059</v>
      </c>
      <c r="H758" s="4">
        <f t="shared" si="12"/>
        <v>3083</v>
      </c>
    </row>
    <row r="759" spans="1:8" x14ac:dyDescent="0.35">
      <c r="A759">
        <v>71742</v>
      </c>
      <c r="B759" s="16">
        <v>45323</v>
      </c>
      <c r="C759" s="15">
        <v>1821</v>
      </c>
      <c r="D759" t="s">
        <v>20</v>
      </c>
      <c r="G759" s="13">
        <v>71742</v>
      </c>
      <c r="H759" s="4">
        <f t="shared" si="12"/>
        <v>1821</v>
      </c>
    </row>
    <row r="760" spans="1:8" x14ac:dyDescent="0.35">
      <c r="A760">
        <v>45538</v>
      </c>
      <c r="B760" s="16">
        <v>45323</v>
      </c>
      <c r="C760" s="15">
        <v>3590</v>
      </c>
      <c r="D760" t="s">
        <v>22</v>
      </c>
      <c r="G760" s="13">
        <v>45538</v>
      </c>
      <c r="H760" s="4">
        <f t="shared" si="12"/>
        <v>3590</v>
      </c>
    </row>
    <row r="761" spans="1:8" x14ac:dyDescent="0.35">
      <c r="A761">
        <v>81862</v>
      </c>
      <c r="B761" s="16">
        <v>45323</v>
      </c>
      <c r="C761" s="15">
        <v>4677</v>
      </c>
      <c r="D761" t="s">
        <v>20</v>
      </c>
      <c r="G761" s="13">
        <v>81862</v>
      </c>
      <c r="H761" s="4">
        <f t="shared" si="12"/>
        <v>4677</v>
      </c>
    </row>
    <row r="762" spans="1:8" x14ac:dyDescent="0.35">
      <c r="A762">
        <v>30163</v>
      </c>
      <c r="B762" s="16">
        <v>45323</v>
      </c>
      <c r="C762" s="15">
        <v>2344</v>
      </c>
      <c r="D762" t="s">
        <v>22</v>
      </c>
      <c r="G762" s="13">
        <v>30163</v>
      </c>
      <c r="H762" s="4">
        <f t="shared" si="12"/>
        <v>2344</v>
      </c>
    </row>
    <row r="763" spans="1:8" x14ac:dyDescent="0.35">
      <c r="A763">
        <v>39241</v>
      </c>
      <c r="B763" s="16">
        <v>45323</v>
      </c>
      <c r="C763" s="15">
        <v>3761</v>
      </c>
      <c r="D763" t="s">
        <v>20</v>
      </c>
      <c r="G763" s="13">
        <v>39241</v>
      </c>
      <c r="H763" s="4">
        <f t="shared" si="12"/>
        <v>3761</v>
      </c>
    </row>
    <row r="764" spans="1:8" x14ac:dyDescent="0.35">
      <c r="A764">
        <v>28456</v>
      </c>
      <c r="B764" s="16">
        <v>45323</v>
      </c>
      <c r="C764" s="15">
        <v>384</v>
      </c>
      <c r="D764" t="s">
        <v>20</v>
      </c>
      <c r="G764" s="13">
        <v>28456</v>
      </c>
      <c r="H764" s="4">
        <f t="shared" si="12"/>
        <v>384</v>
      </c>
    </row>
    <row r="765" spans="1:8" x14ac:dyDescent="0.35">
      <c r="A765">
        <v>18907</v>
      </c>
      <c r="B765" s="16">
        <v>45323</v>
      </c>
      <c r="C765" s="15">
        <v>251</v>
      </c>
      <c r="D765" t="s">
        <v>21</v>
      </c>
      <c r="G765" s="13">
        <v>18907</v>
      </c>
      <c r="H765" s="4">
        <f t="shared" si="12"/>
        <v>251</v>
      </c>
    </row>
    <row r="766" spans="1:8" x14ac:dyDescent="0.35">
      <c r="A766">
        <v>85533</v>
      </c>
      <c r="B766" s="16">
        <v>45323</v>
      </c>
      <c r="C766" s="15">
        <v>3238</v>
      </c>
      <c r="D766" t="s">
        <v>22</v>
      </c>
      <c r="G766" s="13">
        <v>85533</v>
      </c>
      <c r="H766" s="4">
        <f t="shared" si="12"/>
        <v>3238</v>
      </c>
    </row>
    <row r="767" spans="1:8" x14ac:dyDescent="0.35">
      <c r="A767">
        <v>17288</v>
      </c>
      <c r="B767" s="16">
        <v>45323</v>
      </c>
      <c r="C767" s="15">
        <v>4527</v>
      </c>
      <c r="D767" t="s">
        <v>20</v>
      </c>
      <c r="G767" s="13">
        <v>17288</v>
      </c>
      <c r="H767" s="4">
        <f t="shared" si="12"/>
        <v>4527</v>
      </c>
    </row>
    <row r="768" spans="1:8" x14ac:dyDescent="0.35">
      <c r="A768">
        <v>66414</v>
      </c>
      <c r="B768" s="16">
        <v>45323</v>
      </c>
      <c r="C768" s="15">
        <v>2380</v>
      </c>
      <c r="D768" t="s">
        <v>21</v>
      </c>
      <c r="G768" s="13">
        <v>66414</v>
      </c>
      <c r="H768" s="4">
        <f t="shared" si="12"/>
        <v>2380</v>
      </c>
    </row>
    <row r="769" spans="1:8" x14ac:dyDescent="0.35">
      <c r="A769">
        <v>63889</v>
      </c>
      <c r="B769" s="16">
        <v>45323</v>
      </c>
      <c r="C769" s="15">
        <v>3190</v>
      </c>
      <c r="D769" t="s">
        <v>20</v>
      </c>
      <c r="G769" s="13">
        <v>63889</v>
      </c>
      <c r="H769" s="4">
        <f t="shared" si="12"/>
        <v>3190</v>
      </c>
    </row>
    <row r="770" spans="1:8" x14ac:dyDescent="0.35">
      <c r="A770">
        <v>30606</v>
      </c>
      <c r="B770" s="16">
        <v>45324</v>
      </c>
      <c r="C770" s="15">
        <v>3702</v>
      </c>
      <c r="D770" t="s">
        <v>21</v>
      </c>
      <c r="G770" s="13">
        <v>30606</v>
      </c>
      <c r="H770" s="4">
        <f t="shared" si="12"/>
        <v>3702</v>
      </c>
    </row>
    <row r="771" spans="1:8" x14ac:dyDescent="0.35">
      <c r="A771">
        <v>81385</v>
      </c>
      <c r="B771" s="16">
        <v>45324</v>
      </c>
      <c r="C771" s="15">
        <v>3559</v>
      </c>
      <c r="D771" t="s">
        <v>21</v>
      </c>
      <c r="G771" s="13">
        <v>81385</v>
      </c>
      <c r="H771" s="4">
        <f t="shared" si="12"/>
        <v>3559</v>
      </c>
    </row>
    <row r="772" spans="1:8" x14ac:dyDescent="0.35">
      <c r="A772">
        <v>11808</v>
      </c>
      <c r="B772" s="16">
        <v>45324</v>
      </c>
      <c r="C772" s="15">
        <v>276</v>
      </c>
      <c r="D772" t="s">
        <v>22</v>
      </c>
      <c r="G772" s="13">
        <v>11808</v>
      </c>
      <c r="H772" s="4">
        <f t="shared" si="12"/>
        <v>276</v>
      </c>
    </row>
    <row r="773" spans="1:8" x14ac:dyDescent="0.35">
      <c r="A773">
        <v>69683</v>
      </c>
      <c r="B773" s="16">
        <v>45324</v>
      </c>
      <c r="C773" s="15">
        <v>928</v>
      </c>
      <c r="D773" t="s">
        <v>20</v>
      </c>
      <c r="G773" s="13">
        <v>69683</v>
      </c>
      <c r="H773" s="4">
        <f t="shared" si="12"/>
        <v>928</v>
      </c>
    </row>
    <row r="774" spans="1:8" x14ac:dyDescent="0.35">
      <c r="A774">
        <v>91246</v>
      </c>
      <c r="B774" s="16">
        <v>45324</v>
      </c>
      <c r="C774" s="15">
        <v>4035</v>
      </c>
      <c r="D774" t="s">
        <v>22</v>
      </c>
      <c r="G774" s="13">
        <v>91246</v>
      </c>
      <c r="H774" s="4">
        <f t="shared" ref="H774:H837" si="13">AVERAGEIF($A$2:$A$1501,"="&amp;G774,$C$2:$C$1501)</f>
        <v>4035</v>
      </c>
    </row>
    <row r="775" spans="1:8" x14ac:dyDescent="0.35">
      <c r="A775">
        <v>85906</v>
      </c>
      <c r="B775" s="16">
        <v>45324</v>
      </c>
      <c r="C775" s="15">
        <v>1730</v>
      </c>
      <c r="D775" t="s">
        <v>20</v>
      </c>
      <c r="G775" s="13">
        <v>85906</v>
      </c>
      <c r="H775" s="4">
        <f t="shared" si="13"/>
        <v>1730</v>
      </c>
    </row>
    <row r="776" spans="1:8" x14ac:dyDescent="0.35">
      <c r="A776">
        <v>13674</v>
      </c>
      <c r="B776" s="16">
        <v>45324</v>
      </c>
      <c r="C776" s="15">
        <v>3676</v>
      </c>
      <c r="D776" t="s">
        <v>20</v>
      </c>
      <c r="G776" s="13">
        <v>13674</v>
      </c>
      <c r="H776" s="4">
        <f t="shared" si="13"/>
        <v>3676</v>
      </c>
    </row>
    <row r="777" spans="1:8" x14ac:dyDescent="0.35">
      <c r="A777">
        <v>76886</v>
      </c>
      <c r="B777" s="16">
        <v>45324</v>
      </c>
      <c r="C777" s="15">
        <v>4442</v>
      </c>
      <c r="D777" t="s">
        <v>21</v>
      </c>
      <c r="G777" s="13">
        <v>76886</v>
      </c>
      <c r="H777" s="4">
        <f t="shared" si="13"/>
        <v>4442</v>
      </c>
    </row>
    <row r="778" spans="1:8" x14ac:dyDescent="0.35">
      <c r="A778">
        <v>74875</v>
      </c>
      <c r="B778" s="16">
        <v>45324</v>
      </c>
      <c r="C778" s="15">
        <v>4244</v>
      </c>
      <c r="D778" t="s">
        <v>20</v>
      </c>
      <c r="G778" s="13">
        <v>74875</v>
      </c>
      <c r="H778" s="4">
        <f t="shared" si="13"/>
        <v>4244</v>
      </c>
    </row>
    <row r="779" spans="1:8" x14ac:dyDescent="0.35">
      <c r="A779">
        <v>72229</v>
      </c>
      <c r="B779" s="16">
        <v>45324</v>
      </c>
      <c r="C779" s="15">
        <v>1143</v>
      </c>
      <c r="D779" t="s">
        <v>21</v>
      </c>
      <c r="G779" s="13">
        <v>72229</v>
      </c>
      <c r="H779" s="4">
        <f t="shared" si="13"/>
        <v>1143</v>
      </c>
    </row>
    <row r="780" spans="1:8" x14ac:dyDescent="0.35">
      <c r="A780">
        <v>45124</v>
      </c>
      <c r="B780" s="16">
        <v>45324</v>
      </c>
      <c r="C780" s="15">
        <v>205</v>
      </c>
      <c r="D780" t="s">
        <v>20</v>
      </c>
      <c r="G780" s="13">
        <v>78125</v>
      </c>
      <c r="H780" s="4">
        <f t="shared" si="13"/>
        <v>785</v>
      </c>
    </row>
    <row r="781" spans="1:8" x14ac:dyDescent="0.35">
      <c r="A781">
        <v>78125</v>
      </c>
      <c r="B781" s="16">
        <v>45324</v>
      </c>
      <c r="C781" s="15">
        <v>785</v>
      </c>
      <c r="D781" t="s">
        <v>22</v>
      </c>
      <c r="G781" s="13">
        <v>62804</v>
      </c>
      <c r="H781" s="4">
        <f t="shared" si="13"/>
        <v>2251</v>
      </c>
    </row>
    <row r="782" spans="1:8" x14ac:dyDescent="0.35">
      <c r="A782">
        <v>62804</v>
      </c>
      <c r="B782" s="16">
        <v>45324</v>
      </c>
      <c r="C782" s="15">
        <v>2251</v>
      </c>
      <c r="D782" t="s">
        <v>21</v>
      </c>
      <c r="G782" s="13">
        <v>22634</v>
      </c>
      <c r="H782" s="4">
        <f t="shared" si="13"/>
        <v>175</v>
      </c>
    </row>
    <row r="783" spans="1:8" x14ac:dyDescent="0.35">
      <c r="A783">
        <v>22634</v>
      </c>
      <c r="B783" s="16">
        <v>45324</v>
      </c>
      <c r="C783" s="15">
        <v>175</v>
      </c>
      <c r="D783" t="s">
        <v>22</v>
      </c>
      <c r="G783" s="13">
        <v>37392</v>
      </c>
      <c r="H783" s="4">
        <f t="shared" si="13"/>
        <v>4084</v>
      </c>
    </row>
    <row r="784" spans="1:8" x14ac:dyDescent="0.35">
      <c r="A784">
        <v>37392</v>
      </c>
      <c r="B784" s="16">
        <v>45324</v>
      </c>
      <c r="C784" s="15">
        <v>4084</v>
      </c>
      <c r="D784" t="s">
        <v>20</v>
      </c>
      <c r="G784" s="13">
        <v>81192</v>
      </c>
      <c r="H784" s="4">
        <f t="shared" si="13"/>
        <v>263</v>
      </c>
    </row>
    <row r="785" spans="1:8" x14ac:dyDescent="0.35">
      <c r="A785">
        <v>81192</v>
      </c>
      <c r="B785" s="16">
        <v>45324</v>
      </c>
      <c r="C785" s="15">
        <v>263</v>
      </c>
      <c r="D785" t="s">
        <v>21</v>
      </c>
      <c r="G785" s="13">
        <v>99282</v>
      </c>
      <c r="H785" s="4">
        <f t="shared" si="13"/>
        <v>1950</v>
      </c>
    </row>
    <row r="786" spans="1:8" x14ac:dyDescent="0.35">
      <c r="A786">
        <v>99282</v>
      </c>
      <c r="B786" s="16">
        <v>45324</v>
      </c>
      <c r="C786" s="15">
        <v>1950</v>
      </c>
      <c r="D786" t="s">
        <v>22</v>
      </c>
      <c r="G786" s="13">
        <v>15425</v>
      </c>
      <c r="H786" s="4">
        <f t="shared" si="13"/>
        <v>3470</v>
      </c>
    </row>
    <row r="787" spans="1:8" x14ac:dyDescent="0.35">
      <c r="A787">
        <v>15425</v>
      </c>
      <c r="B787" s="16">
        <v>45324</v>
      </c>
      <c r="C787" s="15">
        <v>3470</v>
      </c>
      <c r="D787" t="s">
        <v>21</v>
      </c>
      <c r="G787" s="13">
        <v>72798</v>
      </c>
      <c r="H787" s="4">
        <f t="shared" si="13"/>
        <v>78</v>
      </c>
    </row>
    <row r="788" spans="1:8" x14ac:dyDescent="0.35">
      <c r="A788">
        <v>72798</v>
      </c>
      <c r="B788" s="16">
        <v>45324</v>
      </c>
      <c r="C788" s="15">
        <v>78</v>
      </c>
      <c r="D788" t="s">
        <v>22</v>
      </c>
      <c r="G788" s="13">
        <v>82767</v>
      </c>
      <c r="H788" s="4">
        <f t="shared" si="13"/>
        <v>4662</v>
      </c>
    </row>
    <row r="789" spans="1:8" x14ac:dyDescent="0.35">
      <c r="A789">
        <v>46763</v>
      </c>
      <c r="B789" s="16">
        <v>45324</v>
      </c>
      <c r="C789" s="15">
        <v>2199</v>
      </c>
      <c r="D789" t="s">
        <v>22</v>
      </c>
      <c r="G789" s="13">
        <v>96585</v>
      </c>
      <c r="H789" s="4">
        <f t="shared" si="13"/>
        <v>1249</v>
      </c>
    </row>
    <row r="790" spans="1:8" x14ac:dyDescent="0.35">
      <c r="A790">
        <v>82767</v>
      </c>
      <c r="B790" s="16">
        <v>45324</v>
      </c>
      <c r="C790" s="15">
        <v>4662</v>
      </c>
      <c r="D790" t="s">
        <v>20</v>
      </c>
      <c r="G790" s="13">
        <v>70434</v>
      </c>
      <c r="H790" s="4">
        <f t="shared" si="13"/>
        <v>4347</v>
      </c>
    </row>
    <row r="791" spans="1:8" x14ac:dyDescent="0.35">
      <c r="A791">
        <v>96585</v>
      </c>
      <c r="B791" s="16">
        <v>45324</v>
      </c>
      <c r="C791" s="15">
        <v>1249</v>
      </c>
      <c r="D791" t="s">
        <v>21</v>
      </c>
      <c r="G791" s="13">
        <v>46053</v>
      </c>
      <c r="H791" s="4">
        <f t="shared" si="13"/>
        <v>644</v>
      </c>
    </row>
    <row r="792" spans="1:8" x14ac:dyDescent="0.35">
      <c r="A792">
        <v>70434</v>
      </c>
      <c r="B792" s="16">
        <v>45324</v>
      </c>
      <c r="C792" s="15">
        <v>4347</v>
      </c>
      <c r="D792" t="s">
        <v>21</v>
      </c>
      <c r="G792" s="13">
        <v>82199</v>
      </c>
      <c r="H792" s="4">
        <f t="shared" si="13"/>
        <v>1038</v>
      </c>
    </row>
    <row r="793" spans="1:8" x14ac:dyDescent="0.35">
      <c r="A793">
        <v>46053</v>
      </c>
      <c r="B793" s="16">
        <v>45324</v>
      </c>
      <c r="C793" s="15">
        <v>644</v>
      </c>
      <c r="D793" t="s">
        <v>21</v>
      </c>
      <c r="G793" s="13">
        <v>61784</v>
      </c>
      <c r="H793" s="4">
        <f t="shared" si="13"/>
        <v>3921</v>
      </c>
    </row>
    <row r="794" spans="1:8" x14ac:dyDescent="0.35">
      <c r="A794">
        <v>82199</v>
      </c>
      <c r="B794" s="16">
        <v>45325</v>
      </c>
      <c r="C794" s="15">
        <v>1038</v>
      </c>
      <c r="D794" t="s">
        <v>20</v>
      </c>
      <c r="G794" s="13">
        <v>71895</v>
      </c>
      <c r="H794" s="4">
        <f t="shared" si="13"/>
        <v>4309</v>
      </c>
    </row>
    <row r="795" spans="1:8" x14ac:dyDescent="0.35">
      <c r="A795">
        <v>13491</v>
      </c>
      <c r="B795" s="16">
        <v>45325</v>
      </c>
      <c r="C795" s="15">
        <v>159</v>
      </c>
      <c r="D795" t="s">
        <v>20</v>
      </c>
      <c r="G795" s="13">
        <v>65843</v>
      </c>
      <c r="H795" s="4">
        <f t="shared" si="13"/>
        <v>479</v>
      </c>
    </row>
    <row r="796" spans="1:8" x14ac:dyDescent="0.35">
      <c r="A796">
        <v>61784</v>
      </c>
      <c r="B796" s="16">
        <v>45325</v>
      </c>
      <c r="C796" s="15">
        <v>3921</v>
      </c>
      <c r="D796" t="s">
        <v>20</v>
      </c>
      <c r="G796" s="13">
        <v>60902</v>
      </c>
      <c r="H796" s="4">
        <f t="shared" si="13"/>
        <v>893</v>
      </c>
    </row>
    <row r="797" spans="1:8" x14ac:dyDescent="0.35">
      <c r="A797">
        <v>71895</v>
      </c>
      <c r="B797" s="16">
        <v>45325</v>
      </c>
      <c r="C797" s="15">
        <v>4309</v>
      </c>
      <c r="D797" t="s">
        <v>22</v>
      </c>
      <c r="G797" s="13">
        <v>83962</v>
      </c>
      <c r="H797" s="4">
        <f t="shared" si="13"/>
        <v>1381</v>
      </c>
    </row>
    <row r="798" spans="1:8" x14ac:dyDescent="0.35">
      <c r="A798">
        <v>65843</v>
      </c>
      <c r="B798" s="16">
        <v>45325</v>
      </c>
      <c r="C798" s="15">
        <v>479</v>
      </c>
      <c r="D798" t="s">
        <v>22</v>
      </c>
      <c r="G798" s="13">
        <v>40260</v>
      </c>
      <c r="H798" s="4">
        <f t="shared" si="13"/>
        <v>3001</v>
      </c>
    </row>
    <row r="799" spans="1:8" x14ac:dyDescent="0.35">
      <c r="A799">
        <v>60902</v>
      </c>
      <c r="B799" s="16">
        <v>45325</v>
      </c>
      <c r="C799" s="15">
        <v>893</v>
      </c>
      <c r="D799" t="s">
        <v>22</v>
      </c>
      <c r="G799" s="13">
        <v>37387</v>
      </c>
      <c r="H799" s="4">
        <f t="shared" si="13"/>
        <v>1553</v>
      </c>
    </row>
    <row r="800" spans="1:8" x14ac:dyDescent="0.35">
      <c r="A800">
        <v>83962</v>
      </c>
      <c r="B800" s="16">
        <v>45325</v>
      </c>
      <c r="C800" s="15">
        <v>1381</v>
      </c>
      <c r="D800" t="s">
        <v>22</v>
      </c>
      <c r="G800" s="13">
        <v>72817</v>
      </c>
      <c r="H800" s="4">
        <f t="shared" si="13"/>
        <v>208</v>
      </c>
    </row>
    <row r="801" spans="1:8" x14ac:dyDescent="0.35">
      <c r="A801">
        <v>40260</v>
      </c>
      <c r="B801" s="16">
        <v>45325</v>
      </c>
      <c r="C801" s="15">
        <v>3001</v>
      </c>
      <c r="D801" t="s">
        <v>22</v>
      </c>
      <c r="G801" s="13">
        <v>83457</v>
      </c>
      <c r="H801" s="4">
        <f t="shared" si="13"/>
        <v>3854</v>
      </c>
    </row>
    <row r="802" spans="1:8" x14ac:dyDescent="0.35">
      <c r="A802">
        <v>37387</v>
      </c>
      <c r="B802" s="16">
        <v>45325</v>
      </c>
      <c r="C802" s="15">
        <v>1553</v>
      </c>
      <c r="D802" t="s">
        <v>22</v>
      </c>
      <c r="G802" s="13">
        <v>42253</v>
      </c>
      <c r="H802" s="4">
        <f t="shared" si="13"/>
        <v>839</v>
      </c>
    </row>
    <row r="803" spans="1:8" x14ac:dyDescent="0.35">
      <c r="A803">
        <v>72817</v>
      </c>
      <c r="B803" s="16">
        <v>45325</v>
      </c>
      <c r="C803" s="15">
        <v>208</v>
      </c>
      <c r="D803" t="s">
        <v>20</v>
      </c>
      <c r="G803" s="13">
        <v>79693</v>
      </c>
      <c r="H803" s="4">
        <f t="shared" si="13"/>
        <v>3266</v>
      </c>
    </row>
    <row r="804" spans="1:8" x14ac:dyDescent="0.35">
      <c r="A804">
        <v>83457</v>
      </c>
      <c r="B804" s="16">
        <v>45325</v>
      </c>
      <c r="C804" s="15">
        <v>3854</v>
      </c>
      <c r="D804" t="s">
        <v>20</v>
      </c>
      <c r="G804" s="13">
        <v>34137</v>
      </c>
      <c r="H804" s="4">
        <f t="shared" si="13"/>
        <v>3767</v>
      </c>
    </row>
    <row r="805" spans="1:8" x14ac:dyDescent="0.35">
      <c r="A805">
        <v>42253</v>
      </c>
      <c r="B805" s="16">
        <v>45325</v>
      </c>
      <c r="C805" s="15">
        <v>839</v>
      </c>
      <c r="D805" t="s">
        <v>21</v>
      </c>
      <c r="G805" s="13">
        <v>74308</v>
      </c>
      <c r="H805" s="4">
        <f t="shared" si="13"/>
        <v>3248</v>
      </c>
    </row>
    <row r="806" spans="1:8" x14ac:dyDescent="0.35">
      <c r="A806">
        <v>79693</v>
      </c>
      <c r="B806" s="16">
        <v>45325</v>
      </c>
      <c r="C806" s="15">
        <v>3266</v>
      </c>
      <c r="D806" t="s">
        <v>20</v>
      </c>
      <c r="G806" s="13">
        <v>69174</v>
      </c>
      <c r="H806" s="4">
        <f t="shared" si="13"/>
        <v>1824</v>
      </c>
    </row>
    <row r="807" spans="1:8" x14ac:dyDescent="0.35">
      <c r="A807">
        <v>34137</v>
      </c>
      <c r="B807" s="16">
        <v>45325</v>
      </c>
      <c r="C807" s="15">
        <v>3767</v>
      </c>
      <c r="D807" t="s">
        <v>21</v>
      </c>
      <c r="G807" s="13">
        <v>27672</v>
      </c>
      <c r="H807" s="4">
        <f t="shared" si="13"/>
        <v>4519</v>
      </c>
    </row>
    <row r="808" spans="1:8" x14ac:dyDescent="0.35">
      <c r="A808">
        <v>74308</v>
      </c>
      <c r="B808" s="16">
        <v>45325</v>
      </c>
      <c r="C808" s="15">
        <v>3248</v>
      </c>
      <c r="D808" t="s">
        <v>21</v>
      </c>
      <c r="G808" s="13">
        <v>90028</v>
      </c>
      <c r="H808" s="4">
        <f t="shared" si="13"/>
        <v>2440</v>
      </c>
    </row>
    <row r="809" spans="1:8" x14ac:dyDescent="0.35">
      <c r="A809">
        <v>69174</v>
      </c>
      <c r="B809" s="16">
        <v>45325</v>
      </c>
      <c r="C809" s="15">
        <v>1824</v>
      </c>
      <c r="D809" t="s">
        <v>20</v>
      </c>
      <c r="G809" s="13">
        <v>88444</v>
      </c>
      <c r="H809" s="4">
        <f t="shared" si="13"/>
        <v>2991</v>
      </c>
    </row>
    <row r="810" spans="1:8" x14ac:dyDescent="0.35">
      <c r="A810">
        <v>27672</v>
      </c>
      <c r="B810" s="16">
        <v>45325</v>
      </c>
      <c r="C810" s="15">
        <v>4519</v>
      </c>
      <c r="D810" t="s">
        <v>20</v>
      </c>
      <c r="G810" s="13">
        <v>48207</v>
      </c>
      <c r="H810" s="4">
        <f t="shared" si="13"/>
        <v>4223</v>
      </c>
    </row>
    <row r="811" spans="1:8" x14ac:dyDescent="0.35">
      <c r="A811">
        <v>90028</v>
      </c>
      <c r="B811" s="16">
        <v>45325</v>
      </c>
      <c r="C811" s="15">
        <v>2440</v>
      </c>
      <c r="D811" t="s">
        <v>22</v>
      </c>
      <c r="G811" s="13">
        <v>46288</v>
      </c>
      <c r="H811" s="4">
        <f t="shared" si="13"/>
        <v>1119</v>
      </c>
    </row>
    <row r="812" spans="1:8" x14ac:dyDescent="0.35">
      <c r="A812">
        <v>88444</v>
      </c>
      <c r="B812" s="16">
        <v>45325</v>
      </c>
      <c r="C812" s="15">
        <v>2991</v>
      </c>
      <c r="D812" t="s">
        <v>22</v>
      </c>
      <c r="G812" s="13">
        <v>86277</v>
      </c>
      <c r="H812" s="4">
        <f t="shared" si="13"/>
        <v>2426</v>
      </c>
    </row>
    <row r="813" spans="1:8" x14ac:dyDescent="0.35">
      <c r="A813">
        <v>48207</v>
      </c>
      <c r="B813" s="16">
        <v>45325</v>
      </c>
      <c r="C813" s="15">
        <v>4223</v>
      </c>
      <c r="D813" t="s">
        <v>22</v>
      </c>
      <c r="G813" s="13">
        <v>59668</v>
      </c>
      <c r="H813" s="4">
        <f t="shared" si="13"/>
        <v>405</v>
      </c>
    </row>
    <row r="814" spans="1:8" x14ac:dyDescent="0.35">
      <c r="A814">
        <v>46288</v>
      </c>
      <c r="B814" s="16">
        <v>45325</v>
      </c>
      <c r="C814" s="15">
        <v>1119</v>
      </c>
      <c r="D814" t="s">
        <v>21</v>
      </c>
      <c r="G814" s="13">
        <v>16520</v>
      </c>
      <c r="H814" s="4">
        <f t="shared" si="13"/>
        <v>2499</v>
      </c>
    </row>
    <row r="815" spans="1:8" x14ac:dyDescent="0.35">
      <c r="A815">
        <v>86277</v>
      </c>
      <c r="B815" s="16">
        <v>45325</v>
      </c>
      <c r="C815" s="15">
        <v>2426</v>
      </c>
      <c r="D815" t="s">
        <v>20</v>
      </c>
      <c r="G815" s="13">
        <v>98088</v>
      </c>
      <c r="H815" s="4">
        <f t="shared" si="13"/>
        <v>1973</v>
      </c>
    </row>
    <row r="816" spans="1:8" x14ac:dyDescent="0.35">
      <c r="A816">
        <v>59668</v>
      </c>
      <c r="B816" s="16">
        <v>45325</v>
      </c>
      <c r="C816" s="15">
        <v>405</v>
      </c>
      <c r="D816" t="s">
        <v>20</v>
      </c>
      <c r="G816" s="13">
        <v>88872</v>
      </c>
      <c r="H816" s="4">
        <f t="shared" si="13"/>
        <v>1245</v>
      </c>
    </row>
    <row r="817" spans="1:8" x14ac:dyDescent="0.35">
      <c r="A817">
        <v>16520</v>
      </c>
      <c r="B817" s="16">
        <v>45325</v>
      </c>
      <c r="C817" s="15">
        <v>2499</v>
      </c>
      <c r="D817" t="s">
        <v>21</v>
      </c>
      <c r="G817" s="13">
        <v>35619</v>
      </c>
      <c r="H817" s="4">
        <f t="shared" si="13"/>
        <v>321</v>
      </c>
    </row>
    <row r="818" spans="1:8" x14ac:dyDescent="0.35">
      <c r="A818">
        <v>98088</v>
      </c>
      <c r="B818" s="16">
        <v>45326</v>
      </c>
      <c r="C818" s="15">
        <v>1973</v>
      </c>
      <c r="D818" t="s">
        <v>21</v>
      </c>
      <c r="G818" s="13">
        <v>75441</v>
      </c>
      <c r="H818" s="4">
        <f t="shared" si="13"/>
        <v>2465</v>
      </c>
    </row>
    <row r="819" spans="1:8" x14ac:dyDescent="0.35">
      <c r="A819">
        <v>88872</v>
      </c>
      <c r="B819" s="16">
        <v>45326</v>
      </c>
      <c r="C819" s="15">
        <v>1245</v>
      </c>
      <c r="D819" t="s">
        <v>21</v>
      </c>
      <c r="G819" s="13">
        <v>74530</v>
      </c>
      <c r="H819" s="4">
        <f t="shared" si="13"/>
        <v>4700</v>
      </c>
    </row>
    <row r="820" spans="1:8" x14ac:dyDescent="0.35">
      <c r="A820">
        <v>35619</v>
      </c>
      <c r="B820" s="16">
        <v>45326</v>
      </c>
      <c r="C820" s="15">
        <v>321</v>
      </c>
      <c r="D820" t="s">
        <v>21</v>
      </c>
      <c r="G820" s="13">
        <v>91447</v>
      </c>
      <c r="H820" s="4">
        <f t="shared" si="13"/>
        <v>2007</v>
      </c>
    </row>
    <row r="821" spans="1:8" x14ac:dyDescent="0.35">
      <c r="A821">
        <v>75441</v>
      </c>
      <c r="B821" s="16">
        <v>45326</v>
      </c>
      <c r="C821" s="15">
        <v>2465</v>
      </c>
      <c r="D821" t="s">
        <v>21</v>
      </c>
      <c r="G821" s="13">
        <v>46672</v>
      </c>
      <c r="H821" s="4">
        <f t="shared" si="13"/>
        <v>1057</v>
      </c>
    </row>
    <row r="822" spans="1:8" x14ac:dyDescent="0.35">
      <c r="A822">
        <v>74530</v>
      </c>
      <c r="B822" s="16">
        <v>45326</v>
      </c>
      <c r="C822" s="15">
        <v>4700</v>
      </c>
      <c r="D822" t="s">
        <v>21</v>
      </c>
      <c r="G822" s="13">
        <v>16982</v>
      </c>
      <c r="H822" s="4">
        <f t="shared" si="13"/>
        <v>255</v>
      </c>
    </row>
    <row r="823" spans="1:8" x14ac:dyDescent="0.35">
      <c r="A823">
        <v>91447</v>
      </c>
      <c r="B823" s="16">
        <v>45326</v>
      </c>
      <c r="C823" s="15">
        <v>2007</v>
      </c>
      <c r="D823" t="s">
        <v>21</v>
      </c>
      <c r="G823" s="13">
        <v>96050</v>
      </c>
      <c r="H823" s="4">
        <f t="shared" si="13"/>
        <v>853</v>
      </c>
    </row>
    <row r="824" spans="1:8" x14ac:dyDescent="0.35">
      <c r="A824">
        <v>46672</v>
      </c>
      <c r="B824" s="16">
        <v>45326</v>
      </c>
      <c r="C824" s="15">
        <v>1057</v>
      </c>
      <c r="D824" t="s">
        <v>20</v>
      </c>
      <c r="G824" s="13">
        <v>39749</v>
      </c>
      <c r="H824" s="4">
        <f t="shared" si="13"/>
        <v>2591</v>
      </c>
    </row>
    <row r="825" spans="1:8" x14ac:dyDescent="0.35">
      <c r="A825">
        <v>16982</v>
      </c>
      <c r="B825" s="16">
        <v>45326</v>
      </c>
      <c r="C825" s="15">
        <v>255</v>
      </c>
      <c r="D825" t="s">
        <v>20</v>
      </c>
      <c r="G825" s="13">
        <v>90138</v>
      </c>
      <c r="H825" s="4">
        <f t="shared" si="13"/>
        <v>1793</v>
      </c>
    </row>
    <row r="826" spans="1:8" x14ac:dyDescent="0.35">
      <c r="A826">
        <v>96050</v>
      </c>
      <c r="B826" s="16">
        <v>45326</v>
      </c>
      <c r="C826" s="15">
        <v>853</v>
      </c>
      <c r="D826" t="s">
        <v>22</v>
      </c>
      <c r="G826" s="13">
        <v>11940</v>
      </c>
      <c r="H826" s="4">
        <f t="shared" si="13"/>
        <v>2289</v>
      </c>
    </row>
    <row r="827" spans="1:8" x14ac:dyDescent="0.35">
      <c r="A827">
        <v>39749</v>
      </c>
      <c r="B827" s="16">
        <v>45326</v>
      </c>
      <c r="C827" s="15">
        <v>2591</v>
      </c>
      <c r="D827" t="s">
        <v>20</v>
      </c>
      <c r="G827" s="13">
        <v>64713</v>
      </c>
      <c r="H827" s="4">
        <f t="shared" si="13"/>
        <v>521</v>
      </c>
    </row>
    <row r="828" spans="1:8" x14ac:dyDescent="0.35">
      <c r="A828">
        <v>90138</v>
      </c>
      <c r="B828" s="16">
        <v>45326</v>
      </c>
      <c r="C828" s="15">
        <v>1793</v>
      </c>
      <c r="D828" t="s">
        <v>22</v>
      </c>
      <c r="G828" s="13">
        <v>95756</v>
      </c>
      <c r="H828" s="4">
        <f t="shared" si="13"/>
        <v>2049</v>
      </c>
    </row>
    <row r="829" spans="1:8" x14ac:dyDescent="0.35">
      <c r="A829">
        <v>11940</v>
      </c>
      <c r="B829" s="16">
        <v>45326</v>
      </c>
      <c r="C829" s="15">
        <v>2289</v>
      </c>
      <c r="D829" t="s">
        <v>21</v>
      </c>
      <c r="G829" s="13">
        <v>65937</v>
      </c>
      <c r="H829" s="4">
        <f t="shared" si="13"/>
        <v>2917</v>
      </c>
    </row>
    <row r="830" spans="1:8" x14ac:dyDescent="0.35">
      <c r="A830">
        <v>64713</v>
      </c>
      <c r="B830" s="16">
        <v>45326</v>
      </c>
      <c r="C830" s="15">
        <v>521</v>
      </c>
      <c r="D830" t="s">
        <v>22</v>
      </c>
      <c r="G830" s="13">
        <v>76144</v>
      </c>
      <c r="H830" s="4">
        <f t="shared" si="13"/>
        <v>4123</v>
      </c>
    </row>
    <row r="831" spans="1:8" x14ac:dyDescent="0.35">
      <c r="A831">
        <v>95756</v>
      </c>
      <c r="B831" s="16">
        <v>45326</v>
      </c>
      <c r="C831" s="15">
        <v>2049</v>
      </c>
      <c r="D831" t="s">
        <v>20</v>
      </c>
      <c r="G831" s="13">
        <v>74925</v>
      </c>
      <c r="H831" s="4">
        <f t="shared" si="13"/>
        <v>1624</v>
      </c>
    </row>
    <row r="832" spans="1:8" x14ac:dyDescent="0.35">
      <c r="A832">
        <v>65937</v>
      </c>
      <c r="B832" s="16">
        <v>45326</v>
      </c>
      <c r="C832" s="15">
        <v>2917</v>
      </c>
      <c r="D832" t="s">
        <v>20</v>
      </c>
      <c r="G832" s="13">
        <v>32854</v>
      </c>
      <c r="H832" s="4">
        <f t="shared" si="13"/>
        <v>1263</v>
      </c>
    </row>
    <row r="833" spans="1:8" x14ac:dyDescent="0.35">
      <c r="A833">
        <v>76144</v>
      </c>
      <c r="B833" s="16">
        <v>45326</v>
      </c>
      <c r="C833" s="15">
        <v>4123</v>
      </c>
      <c r="D833" t="s">
        <v>20</v>
      </c>
      <c r="G833" s="13">
        <v>50089</v>
      </c>
      <c r="H833" s="4">
        <f t="shared" si="13"/>
        <v>1715</v>
      </c>
    </row>
    <row r="834" spans="1:8" x14ac:dyDescent="0.35">
      <c r="A834">
        <v>74925</v>
      </c>
      <c r="B834" s="16">
        <v>45326</v>
      </c>
      <c r="C834" s="15">
        <v>1624</v>
      </c>
      <c r="D834" t="s">
        <v>22</v>
      </c>
      <c r="G834" s="13">
        <v>65300</v>
      </c>
      <c r="H834" s="4">
        <f t="shared" si="13"/>
        <v>2527</v>
      </c>
    </row>
    <row r="835" spans="1:8" x14ac:dyDescent="0.35">
      <c r="A835">
        <v>32854</v>
      </c>
      <c r="B835" s="16">
        <v>45326</v>
      </c>
      <c r="C835" s="15">
        <v>1263</v>
      </c>
      <c r="D835" t="s">
        <v>22</v>
      </c>
      <c r="G835" s="13">
        <v>18909</v>
      </c>
      <c r="H835" s="4">
        <f t="shared" si="13"/>
        <v>166</v>
      </c>
    </row>
    <row r="836" spans="1:8" x14ac:dyDescent="0.35">
      <c r="A836">
        <v>50089</v>
      </c>
      <c r="B836" s="16">
        <v>45326</v>
      </c>
      <c r="C836" s="15">
        <v>1715</v>
      </c>
      <c r="D836" t="s">
        <v>21</v>
      </c>
      <c r="G836" s="13">
        <v>46461</v>
      </c>
      <c r="H836" s="4">
        <f t="shared" si="13"/>
        <v>3213</v>
      </c>
    </row>
    <row r="837" spans="1:8" x14ac:dyDescent="0.35">
      <c r="A837">
        <v>65300</v>
      </c>
      <c r="B837" s="16">
        <v>45326</v>
      </c>
      <c r="C837" s="15">
        <v>2527</v>
      </c>
      <c r="D837" t="s">
        <v>22</v>
      </c>
      <c r="G837" s="13">
        <v>91710</v>
      </c>
      <c r="H837" s="4">
        <f t="shared" si="13"/>
        <v>52</v>
      </c>
    </row>
    <row r="838" spans="1:8" x14ac:dyDescent="0.35">
      <c r="A838">
        <v>18909</v>
      </c>
      <c r="B838" s="16">
        <v>45326</v>
      </c>
      <c r="C838" s="15">
        <v>166</v>
      </c>
      <c r="D838" t="s">
        <v>21</v>
      </c>
      <c r="G838" s="13">
        <v>70774</v>
      </c>
      <c r="H838" s="4">
        <f t="shared" ref="H838:H901" si="14">AVERAGEIF($A$2:$A$1501,"="&amp;G838,$C$2:$C$1501)</f>
        <v>2805</v>
      </c>
    </row>
    <row r="839" spans="1:8" x14ac:dyDescent="0.35">
      <c r="A839">
        <v>46461</v>
      </c>
      <c r="B839" s="16">
        <v>45326</v>
      </c>
      <c r="C839" s="15">
        <v>3213</v>
      </c>
      <c r="D839" t="s">
        <v>21</v>
      </c>
      <c r="G839" s="13">
        <v>79386</v>
      </c>
      <c r="H839" s="4">
        <f t="shared" si="14"/>
        <v>2198</v>
      </c>
    </row>
    <row r="840" spans="1:8" x14ac:dyDescent="0.35">
      <c r="A840">
        <v>91710</v>
      </c>
      <c r="B840" s="16">
        <v>45326</v>
      </c>
      <c r="C840" s="15">
        <v>52</v>
      </c>
      <c r="D840" t="s">
        <v>21</v>
      </c>
      <c r="G840" s="13">
        <v>28507</v>
      </c>
      <c r="H840" s="4">
        <f t="shared" si="14"/>
        <v>2098</v>
      </c>
    </row>
    <row r="841" spans="1:8" x14ac:dyDescent="0.35">
      <c r="A841">
        <v>70774</v>
      </c>
      <c r="B841" s="16">
        <v>45326</v>
      </c>
      <c r="C841" s="15">
        <v>2805</v>
      </c>
      <c r="D841" t="s">
        <v>22</v>
      </c>
      <c r="G841" s="13">
        <v>86085</v>
      </c>
      <c r="H841" s="4">
        <f t="shared" si="14"/>
        <v>4939</v>
      </c>
    </row>
    <row r="842" spans="1:8" x14ac:dyDescent="0.35">
      <c r="A842">
        <v>79386</v>
      </c>
      <c r="B842" s="16">
        <v>45327</v>
      </c>
      <c r="C842" s="15">
        <v>2198</v>
      </c>
      <c r="D842" t="s">
        <v>21</v>
      </c>
      <c r="G842" s="13">
        <v>64635</v>
      </c>
      <c r="H842" s="4">
        <f t="shared" si="14"/>
        <v>1722</v>
      </c>
    </row>
    <row r="843" spans="1:8" x14ac:dyDescent="0.35">
      <c r="A843">
        <v>28507</v>
      </c>
      <c r="B843" s="16">
        <v>45327</v>
      </c>
      <c r="C843" s="15">
        <v>2098</v>
      </c>
      <c r="D843" t="s">
        <v>21</v>
      </c>
      <c r="G843" s="13">
        <v>56620</v>
      </c>
      <c r="H843" s="4">
        <f t="shared" si="14"/>
        <v>1787</v>
      </c>
    </row>
    <row r="844" spans="1:8" x14ac:dyDescent="0.35">
      <c r="A844">
        <v>86085</v>
      </c>
      <c r="B844" s="16">
        <v>45327</v>
      </c>
      <c r="C844" s="15">
        <v>4939</v>
      </c>
      <c r="D844" t="s">
        <v>21</v>
      </c>
      <c r="G844" s="13">
        <v>26738</v>
      </c>
      <c r="H844" s="4">
        <f t="shared" si="14"/>
        <v>2983</v>
      </c>
    </row>
    <row r="845" spans="1:8" x14ac:dyDescent="0.35">
      <c r="A845">
        <v>64635</v>
      </c>
      <c r="B845" s="16">
        <v>45327</v>
      </c>
      <c r="C845" s="15">
        <v>1722</v>
      </c>
      <c r="D845" t="s">
        <v>20</v>
      </c>
      <c r="G845" s="13">
        <v>26117</v>
      </c>
      <c r="H845" s="4">
        <f t="shared" si="14"/>
        <v>3476</v>
      </c>
    </row>
    <row r="846" spans="1:8" x14ac:dyDescent="0.35">
      <c r="A846">
        <v>56620</v>
      </c>
      <c r="B846" s="16">
        <v>45327</v>
      </c>
      <c r="C846" s="15">
        <v>1787</v>
      </c>
      <c r="D846" t="s">
        <v>20</v>
      </c>
      <c r="G846" s="13">
        <v>76079</v>
      </c>
      <c r="H846" s="4">
        <f t="shared" si="14"/>
        <v>2191</v>
      </c>
    </row>
    <row r="847" spans="1:8" x14ac:dyDescent="0.35">
      <c r="A847">
        <v>26738</v>
      </c>
      <c r="B847" s="16">
        <v>45327</v>
      </c>
      <c r="C847" s="15">
        <v>2983</v>
      </c>
      <c r="D847" t="s">
        <v>20</v>
      </c>
      <c r="G847" s="13">
        <v>22054</v>
      </c>
      <c r="H847" s="4">
        <f t="shared" si="14"/>
        <v>2037</v>
      </c>
    </row>
    <row r="848" spans="1:8" x14ac:dyDescent="0.35">
      <c r="A848">
        <v>26117</v>
      </c>
      <c r="B848" s="16">
        <v>45327</v>
      </c>
      <c r="C848" s="15">
        <v>3476</v>
      </c>
      <c r="D848" t="s">
        <v>20</v>
      </c>
      <c r="G848" s="13">
        <v>15887</v>
      </c>
      <c r="H848" s="4">
        <f t="shared" si="14"/>
        <v>4547</v>
      </c>
    </row>
    <row r="849" spans="1:8" x14ac:dyDescent="0.35">
      <c r="A849">
        <v>76079</v>
      </c>
      <c r="B849" s="16">
        <v>45327</v>
      </c>
      <c r="C849" s="15">
        <v>2191</v>
      </c>
      <c r="D849" t="s">
        <v>21</v>
      </c>
      <c r="G849" s="13">
        <v>49752</v>
      </c>
      <c r="H849" s="4">
        <f t="shared" si="14"/>
        <v>1742</v>
      </c>
    </row>
    <row r="850" spans="1:8" x14ac:dyDescent="0.35">
      <c r="A850">
        <v>22054</v>
      </c>
      <c r="B850" s="16">
        <v>45327</v>
      </c>
      <c r="C850" s="15">
        <v>2037</v>
      </c>
      <c r="D850" t="s">
        <v>20</v>
      </c>
      <c r="G850" s="13">
        <v>60148</v>
      </c>
      <c r="H850" s="4">
        <f t="shared" si="14"/>
        <v>3351</v>
      </c>
    </row>
    <row r="851" spans="1:8" x14ac:dyDescent="0.35">
      <c r="A851">
        <v>15887</v>
      </c>
      <c r="B851" s="16">
        <v>45327</v>
      </c>
      <c r="C851" s="15">
        <v>4547</v>
      </c>
      <c r="D851" t="s">
        <v>21</v>
      </c>
      <c r="G851" s="13">
        <v>46426</v>
      </c>
      <c r="H851" s="4">
        <f t="shared" si="14"/>
        <v>3746</v>
      </c>
    </row>
    <row r="852" spans="1:8" x14ac:dyDescent="0.35">
      <c r="A852">
        <v>49752</v>
      </c>
      <c r="B852" s="16">
        <v>45327</v>
      </c>
      <c r="C852" s="15">
        <v>1742</v>
      </c>
      <c r="D852" t="s">
        <v>20</v>
      </c>
      <c r="G852" s="13">
        <v>94023</v>
      </c>
      <c r="H852" s="4">
        <f t="shared" si="14"/>
        <v>3748</v>
      </c>
    </row>
    <row r="853" spans="1:8" x14ac:dyDescent="0.35">
      <c r="A853">
        <v>60148</v>
      </c>
      <c r="B853" s="16">
        <v>45327</v>
      </c>
      <c r="C853" s="15">
        <v>3351</v>
      </c>
      <c r="D853" t="s">
        <v>21</v>
      </c>
      <c r="G853" s="13">
        <v>69585</v>
      </c>
      <c r="H853" s="4">
        <f t="shared" si="14"/>
        <v>4905</v>
      </c>
    </row>
    <row r="854" spans="1:8" x14ac:dyDescent="0.35">
      <c r="A854">
        <v>46426</v>
      </c>
      <c r="B854" s="16">
        <v>45327</v>
      </c>
      <c r="C854" s="15">
        <v>3746</v>
      </c>
      <c r="D854" t="s">
        <v>21</v>
      </c>
      <c r="G854" s="13">
        <v>71569</v>
      </c>
      <c r="H854" s="4">
        <f t="shared" si="14"/>
        <v>1761</v>
      </c>
    </row>
    <row r="855" spans="1:8" x14ac:dyDescent="0.35">
      <c r="A855">
        <v>94023</v>
      </c>
      <c r="B855" s="16">
        <v>45327</v>
      </c>
      <c r="C855" s="15">
        <v>3748</v>
      </c>
      <c r="D855" t="s">
        <v>20</v>
      </c>
      <c r="G855" s="13">
        <v>86560</v>
      </c>
      <c r="H855" s="4">
        <f t="shared" si="14"/>
        <v>4675</v>
      </c>
    </row>
    <row r="856" spans="1:8" x14ac:dyDescent="0.35">
      <c r="A856">
        <v>69585</v>
      </c>
      <c r="B856" s="16">
        <v>45327</v>
      </c>
      <c r="C856" s="15">
        <v>4905</v>
      </c>
      <c r="D856" t="s">
        <v>21</v>
      </c>
      <c r="G856" s="13">
        <v>38645</v>
      </c>
      <c r="H856" s="4">
        <f t="shared" si="14"/>
        <v>2245</v>
      </c>
    </row>
    <row r="857" spans="1:8" x14ac:dyDescent="0.35">
      <c r="A857">
        <v>71569</v>
      </c>
      <c r="B857" s="16">
        <v>45327</v>
      </c>
      <c r="C857" s="15">
        <v>1761</v>
      </c>
      <c r="D857" t="s">
        <v>21</v>
      </c>
      <c r="G857" s="13">
        <v>66274</v>
      </c>
      <c r="H857" s="4">
        <f t="shared" si="14"/>
        <v>387</v>
      </c>
    </row>
    <row r="858" spans="1:8" x14ac:dyDescent="0.35">
      <c r="A858">
        <v>86560</v>
      </c>
      <c r="B858" s="16">
        <v>45327</v>
      </c>
      <c r="C858" s="15">
        <v>4675</v>
      </c>
      <c r="D858" t="s">
        <v>20</v>
      </c>
      <c r="G858" s="13">
        <v>43542</v>
      </c>
      <c r="H858" s="4">
        <f t="shared" si="14"/>
        <v>1515</v>
      </c>
    </row>
    <row r="859" spans="1:8" x14ac:dyDescent="0.35">
      <c r="A859">
        <v>38645</v>
      </c>
      <c r="B859" s="16">
        <v>45327</v>
      </c>
      <c r="C859" s="15">
        <v>2245</v>
      </c>
      <c r="D859" t="s">
        <v>21</v>
      </c>
      <c r="G859" s="13">
        <v>70247</v>
      </c>
      <c r="H859" s="4">
        <f t="shared" si="14"/>
        <v>2863</v>
      </c>
    </row>
    <row r="860" spans="1:8" x14ac:dyDescent="0.35">
      <c r="A860">
        <v>66274</v>
      </c>
      <c r="B860" s="16">
        <v>45327</v>
      </c>
      <c r="C860" s="15">
        <v>387</v>
      </c>
      <c r="D860" t="s">
        <v>20</v>
      </c>
      <c r="G860" s="13">
        <v>97032</v>
      </c>
      <c r="H860" s="4">
        <f t="shared" si="14"/>
        <v>2432</v>
      </c>
    </row>
    <row r="861" spans="1:8" x14ac:dyDescent="0.35">
      <c r="A861">
        <v>43542</v>
      </c>
      <c r="B861" s="16">
        <v>45327</v>
      </c>
      <c r="C861" s="15">
        <v>1515</v>
      </c>
      <c r="D861" t="s">
        <v>20</v>
      </c>
      <c r="G861" s="13">
        <v>57010</v>
      </c>
      <c r="H861" s="4">
        <f t="shared" si="14"/>
        <v>4070</v>
      </c>
    </row>
    <row r="862" spans="1:8" x14ac:dyDescent="0.35">
      <c r="A862">
        <v>70247</v>
      </c>
      <c r="B862" s="16">
        <v>45327</v>
      </c>
      <c r="C862" s="15">
        <v>2863</v>
      </c>
      <c r="D862" t="s">
        <v>20</v>
      </c>
      <c r="G862" s="13">
        <v>22384</v>
      </c>
      <c r="H862" s="4">
        <f t="shared" si="14"/>
        <v>1530</v>
      </c>
    </row>
    <row r="863" spans="1:8" x14ac:dyDescent="0.35">
      <c r="A863">
        <v>97032</v>
      </c>
      <c r="B863" s="16">
        <v>45327</v>
      </c>
      <c r="C863" s="15">
        <v>2432</v>
      </c>
      <c r="D863" t="s">
        <v>22</v>
      </c>
      <c r="G863" s="13">
        <v>72834</v>
      </c>
      <c r="H863" s="4">
        <f t="shared" si="14"/>
        <v>2172</v>
      </c>
    </row>
    <row r="864" spans="1:8" x14ac:dyDescent="0.35">
      <c r="A864">
        <v>57010</v>
      </c>
      <c r="B864" s="16">
        <v>45327</v>
      </c>
      <c r="C864" s="15">
        <v>4070</v>
      </c>
      <c r="D864" t="s">
        <v>20</v>
      </c>
      <c r="G864" s="13">
        <v>53812</v>
      </c>
      <c r="H864" s="4">
        <f t="shared" si="14"/>
        <v>1423</v>
      </c>
    </row>
    <row r="865" spans="1:8" x14ac:dyDescent="0.35">
      <c r="A865">
        <v>22384</v>
      </c>
      <c r="B865" s="16">
        <v>45327</v>
      </c>
      <c r="C865" s="15">
        <v>1530</v>
      </c>
      <c r="D865" t="s">
        <v>22</v>
      </c>
      <c r="G865" s="13">
        <v>24261</v>
      </c>
      <c r="H865" s="4">
        <f t="shared" si="14"/>
        <v>3411</v>
      </c>
    </row>
    <row r="866" spans="1:8" x14ac:dyDescent="0.35">
      <c r="A866">
        <v>72834</v>
      </c>
      <c r="B866" s="16">
        <v>45328</v>
      </c>
      <c r="C866" s="15">
        <v>2172</v>
      </c>
      <c r="D866" t="s">
        <v>20</v>
      </c>
      <c r="G866" s="13">
        <v>77999</v>
      </c>
      <c r="H866" s="4">
        <f t="shared" si="14"/>
        <v>2074</v>
      </c>
    </row>
    <row r="867" spans="1:8" x14ac:dyDescent="0.35">
      <c r="A867">
        <v>53812</v>
      </c>
      <c r="B867" s="16">
        <v>45328</v>
      </c>
      <c r="C867" s="15">
        <v>1423</v>
      </c>
      <c r="D867" t="s">
        <v>20</v>
      </c>
      <c r="G867" s="13">
        <v>48114</v>
      </c>
      <c r="H867" s="4">
        <f t="shared" si="14"/>
        <v>4063</v>
      </c>
    </row>
    <row r="868" spans="1:8" x14ac:dyDescent="0.35">
      <c r="A868">
        <v>24261</v>
      </c>
      <c r="B868" s="16">
        <v>45328</v>
      </c>
      <c r="C868" s="15">
        <v>3411</v>
      </c>
      <c r="D868" t="s">
        <v>22</v>
      </c>
      <c r="G868" s="13">
        <v>80630</v>
      </c>
      <c r="H868" s="4">
        <f t="shared" si="14"/>
        <v>1839</v>
      </c>
    </row>
    <row r="869" spans="1:8" x14ac:dyDescent="0.35">
      <c r="A869">
        <v>77999</v>
      </c>
      <c r="B869" s="16">
        <v>45328</v>
      </c>
      <c r="C869" s="15">
        <v>2074</v>
      </c>
      <c r="D869" t="s">
        <v>22</v>
      </c>
      <c r="G869" s="13">
        <v>43848</v>
      </c>
      <c r="H869" s="4">
        <f t="shared" si="14"/>
        <v>1412</v>
      </c>
    </row>
    <row r="870" spans="1:8" x14ac:dyDescent="0.35">
      <c r="A870">
        <v>48114</v>
      </c>
      <c r="B870" s="16">
        <v>45328</v>
      </c>
      <c r="C870" s="15">
        <v>4063</v>
      </c>
      <c r="D870" t="s">
        <v>22</v>
      </c>
      <c r="G870" s="13">
        <v>64616</v>
      </c>
      <c r="H870" s="4">
        <f t="shared" si="14"/>
        <v>234</v>
      </c>
    </row>
    <row r="871" spans="1:8" x14ac:dyDescent="0.35">
      <c r="A871">
        <v>80630</v>
      </c>
      <c r="B871" s="16">
        <v>45328</v>
      </c>
      <c r="C871" s="15">
        <v>1839</v>
      </c>
      <c r="D871" t="s">
        <v>22</v>
      </c>
      <c r="G871" s="13">
        <v>72431</v>
      </c>
      <c r="H871" s="4">
        <f t="shared" si="14"/>
        <v>4279</v>
      </c>
    </row>
    <row r="872" spans="1:8" x14ac:dyDescent="0.35">
      <c r="A872">
        <v>43848</v>
      </c>
      <c r="B872" s="16">
        <v>45328</v>
      </c>
      <c r="C872" s="15">
        <v>1412</v>
      </c>
      <c r="D872" t="s">
        <v>20</v>
      </c>
      <c r="G872" s="13">
        <v>86675</v>
      </c>
      <c r="H872" s="4">
        <f t="shared" si="14"/>
        <v>571</v>
      </c>
    </row>
    <row r="873" spans="1:8" x14ac:dyDescent="0.35">
      <c r="A873">
        <v>64616</v>
      </c>
      <c r="B873" s="16">
        <v>45328</v>
      </c>
      <c r="C873" s="15">
        <v>234</v>
      </c>
      <c r="D873" t="s">
        <v>21</v>
      </c>
      <c r="G873" s="13">
        <v>65060</v>
      </c>
      <c r="H873" s="4">
        <f t="shared" si="14"/>
        <v>656</v>
      </c>
    </row>
    <row r="874" spans="1:8" x14ac:dyDescent="0.35">
      <c r="A874">
        <v>72431</v>
      </c>
      <c r="B874" s="16">
        <v>45328</v>
      </c>
      <c r="C874" s="15">
        <v>4279</v>
      </c>
      <c r="D874" t="s">
        <v>22</v>
      </c>
      <c r="G874" s="13">
        <v>56105</v>
      </c>
      <c r="H874" s="4">
        <f t="shared" si="14"/>
        <v>2477</v>
      </c>
    </row>
    <row r="875" spans="1:8" x14ac:dyDescent="0.35">
      <c r="A875">
        <v>86675</v>
      </c>
      <c r="B875" s="16">
        <v>45328</v>
      </c>
      <c r="C875" s="15">
        <v>571</v>
      </c>
      <c r="D875" t="s">
        <v>21</v>
      </c>
      <c r="G875" s="13">
        <v>97826</v>
      </c>
      <c r="H875" s="4">
        <f t="shared" si="14"/>
        <v>1492</v>
      </c>
    </row>
    <row r="876" spans="1:8" x14ac:dyDescent="0.35">
      <c r="A876">
        <v>65060</v>
      </c>
      <c r="B876" s="16">
        <v>45328</v>
      </c>
      <c r="C876" s="15">
        <v>656</v>
      </c>
      <c r="D876" t="s">
        <v>21</v>
      </c>
      <c r="G876" s="13">
        <v>29753</v>
      </c>
      <c r="H876" s="4">
        <f t="shared" si="14"/>
        <v>2831</v>
      </c>
    </row>
    <row r="877" spans="1:8" x14ac:dyDescent="0.35">
      <c r="A877">
        <v>56105</v>
      </c>
      <c r="B877" s="16">
        <v>45328</v>
      </c>
      <c r="C877" s="15">
        <v>2477</v>
      </c>
      <c r="D877" t="s">
        <v>20</v>
      </c>
      <c r="G877" s="13">
        <v>11317</v>
      </c>
      <c r="H877" s="4">
        <f t="shared" si="14"/>
        <v>2916</v>
      </c>
    </row>
    <row r="878" spans="1:8" x14ac:dyDescent="0.35">
      <c r="A878">
        <v>97826</v>
      </c>
      <c r="B878" s="16">
        <v>45328</v>
      </c>
      <c r="C878" s="15">
        <v>1492</v>
      </c>
      <c r="D878" t="s">
        <v>21</v>
      </c>
      <c r="G878" s="13">
        <v>12384</v>
      </c>
      <c r="H878" s="4">
        <f t="shared" si="14"/>
        <v>412</v>
      </c>
    </row>
    <row r="879" spans="1:8" x14ac:dyDescent="0.35">
      <c r="A879">
        <v>29753</v>
      </c>
      <c r="B879" s="16">
        <v>45328</v>
      </c>
      <c r="C879" s="15">
        <v>2831</v>
      </c>
      <c r="D879" t="s">
        <v>21</v>
      </c>
      <c r="G879" s="13">
        <v>73600</v>
      </c>
      <c r="H879" s="4">
        <f t="shared" si="14"/>
        <v>4925</v>
      </c>
    </row>
    <row r="880" spans="1:8" x14ac:dyDescent="0.35">
      <c r="A880">
        <v>11317</v>
      </c>
      <c r="B880" s="16">
        <v>45328</v>
      </c>
      <c r="C880" s="15">
        <v>2916</v>
      </c>
      <c r="D880" t="s">
        <v>20</v>
      </c>
      <c r="G880" s="13">
        <v>86229</v>
      </c>
      <c r="H880" s="4">
        <f t="shared" si="14"/>
        <v>3705</v>
      </c>
    </row>
    <row r="881" spans="1:8" x14ac:dyDescent="0.35">
      <c r="A881">
        <v>12384</v>
      </c>
      <c r="B881" s="16">
        <v>45328</v>
      </c>
      <c r="C881" s="15">
        <v>412</v>
      </c>
      <c r="D881" t="s">
        <v>20</v>
      </c>
      <c r="G881" s="13">
        <v>63663</v>
      </c>
      <c r="H881" s="4">
        <f t="shared" si="14"/>
        <v>4167</v>
      </c>
    </row>
    <row r="882" spans="1:8" x14ac:dyDescent="0.35">
      <c r="A882">
        <v>73600</v>
      </c>
      <c r="B882" s="16">
        <v>45328</v>
      </c>
      <c r="C882" s="15">
        <v>4925</v>
      </c>
      <c r="D882" t="s">
        <v>22</v>
      </c>
      <c r="G882" s="13">
        <v>68488</v>
      </c>
      <c r="H882" s="4">
        <f t="shared" si="14"/>
        <v>2501</v>
      </c>
    </row>
    <row r="883" spans="1:8" x14ac:dyDescent="0.35">
      <c r="A883">
        <v>86229</v>
      </c>
      <c r="B883" s="16">
        <v>45328</v>
      </c>
      <c r="C883" s="15">
        <v>3705</v>
      </c>
      <c r="D883" t="s">
        <v>21</v>
      </c>
      <c r="G883" s="13">
        <v>40203</v>
      </c>
      <c r="H883" s="4">
        <f t="shared" si="14"/>
        <v>4286</v>
      </c>
    </row>
    <row r="884" spans="1:8" x14ac:dyDescent="0.35">
      <c r="A884">
        <v>63663</v>
      </c>
      <c r="B884" s="16">
        <v>45328</v>
      </c>
      <c r="C884" s="15">
        <v>4167</v>
      </c>
      <c r="D884" t="s">
        <v>20</v>
      </c>
      <c r="G884" s="13">
        <v>36332</v>
      </c>
      <c r="H884" s="4">
        <f t="shared" si="14"/>
        <v>2639</v>
      </c>
    </row>
    <row r="885" spans="1:8" x14ac:dyDescent="0.35">
      <c r="A885">
        <v>68488</v>
      </c>
      <c r="B885" s="16">
        <v>45328</v>
      </c>
      <c r="C885" s="15">
        <v>2501</v>
      </c>
      <c r="D885" t="s">
        <v>21</v>
      </c>
      <c r="G885" s="13">
        <v>60203</v>
      </c>
      <c r="H885" s="4">
        <f t="shared" si="14"/>
        <v>4808</v>
      </c>
    </row>
    <row r="886" spans="1:8" x14ac:dyDescent="0.35">
      <c r="A886">
        <v>40203</v>
      </c>
      <c r="B886" s="16">
        <v>45328</v>
      </c>
      <c r="C886" s="15">
        <v>4286</v>
      </c>
      <c r="D886" t="s">
        <v>21</v>
      </c>
      <c r="G886" s="13">
        <v>38893</v>
      </c>
      <c r="H886" s="4">
        <f t="shared" si="14"/>
        <v>1113</v>
      </c>
    </row>
    <row r="887" spans="1:8" x14ac:dyDescent="0.35">
      <c r="A887">
        <v>36332</v>
      </c>
      <c r="B887" s="16">
        <v>45328</v>
      </c>
      <c r="C887" s="15">
        <v>2639</v>
      </c>
      <c r="D887" t="s">
        <v>20</v>
      </c>
      <c r="G887" s="13">
        <v>66936</v>
      </c>
      <c r="H887" s="4">
        <f t="shared" si="14"/>
        <v>3289</v>
      </c>
    </row>
    <row r="888" spans="1:8" x14ac:dyDescent="0.35">
      <c r="A888">
        <v>60203</v>
      </c>
      <c r="B888" s="16">
        <v>45328</v>
      </c>
      <c r="C888" s="15">
        <v>4808</v>
      </c>
      <c r="D888" t="s">
        <v>21</v>
      </c>
      <c r="G888" s="13">
        <v>77100</v>
      </c>
      <c r="H888" s="4">
        <f t="shared" si="14"/>
        <v>2599</v>
      </c>
    </row>
    <row r="889" spans="1:8" x14ac:dyDescent="0.35">
      <c r="A889">
        <v>38893</v>
      </c>
      <c r="B889" s="16">
        <v>45328</v>
      </c>
      <c r="C889" s="15">
        <v>1113</v>
      </c>
      <c r="D889" t="s">
        <v>20</v>
      </c>
      <c r="G889" s="13">
        <v>65406</v>
      </c>
      <c r="H889" s="4">
        <f t="shared" si="14"/>
        <v>4504</v>
      </c>
    </row>
    <row r="890" spans="1:8" x14ac:dyDescent="0.35">
      <c r="A890">
        <v>66936</v>
      </c>
      <c r="B890" s="16">
        <v>45329</v>
      </c>
      <c r="C890" s="15">
        <v>3289</v>
      </c>
      <c r="D890" t="s">
        <v>22</v>
      </c>
      <c r="G890" s="13">
        <v>29155</v>
      </c>
      <c r="H890" s="4">
        <f t="shared" si="14"/>
        <v>3660</v>
      </c>
    </row>
    <row r="891" spans="1:8" x14ac:dyDescent="0.35">
      <c r="A891">
        <v>77100</v>
      </c>
      <c r="B891" s="16">
        <v>45329</v>
      </c>
      <c r="C891" s="15">
        <v>2599</v>
      </c>
      <c r="D891" t="s">
        <v>21</v>
      </c>
      <c r="G891" s="13">
        <v>42443</v>
      </c>
      <c r="H891" s="4">
        <f t="shared" si="14"/>
        <v>2004</v>
      </c>
    </row>
    <row r="892" spans="1:8" x14ac:dyDescent="0.35">
      <c r="A892">
        <v>65406</v>
      </c>
      <c r="B892" s="16">
        <v>45329</v>
      </c>
      <c r="C892" s="15">
        <v>4504</v>
      </c>
      <c r="D892" t="s">
        <v>21</v>
      </c>
      <c r="G892" s="13">
        <v>14414</v>
      </c>
      <c r="H892" s="4">
        <f t="shared" si="14"/>
        <v>4871</v>
      </c>
    </row>
    <row r="893" spans="1:8" x14ac:dyDescent="0.35">
      <c r="A893">
        <v>29155</v>
      </c>
      <c r="B893" s="16">
        <v>45329</v>
      </c>
      <c r="C893" s="15">
        <v>3660</v>
      </c>
      <c r="D893" t="s">
        <v>20</v>
      </c>
      <c r="G893" s="13">
        <v>95383</v>
      </c>
      <c r="H893" s="4">
        <f t="shared" si="14"/>
        <v>2405</v>
      </c>
    </row>
    <row r="894" spans="1:8" x14ac:dyDescent="0.35">
      <c r="A894">
        <v>42443</v>
      </c>
      <c r="B894" s="16">
        <v>45329</v>
      </c>
      <c r="C894" s="15">
        <v>2004</v>
      </c>
      <c r="D894" t="s">
        <v>20</v>
      </c>
      <c r="G894" s="13">
        <v>44016</v>
      </c>
      <c r="H894" s="4">
        <f t="shared" si="14"/>
        <v>1586.5</v>
      </c>
    </row>
    <row r="895" spans="1:8" x14ac:dyDescent="0.35">
      <c r="A895">
        <v>14414</v>
      </c>
      <c r="B895" s="16">
        <v>45329</v>
      </c>
      <c r="C895" s="15">
        <v>4871</v>
      </c>
      <c r="D895" t="s">
        <v>22</v>
      </c>
      <c r="G895" s="13">
        <v>46801</v>
      </c>
      <c r="H895" s="4">
        <f t="shared" si="14"/>
        <v>4167</v>
      </c>
    </row>
    <row r="896" spans="1:8" x14ac:dyDescent="0.35">
      <c r="A896">
        <v>95383</v>
      </c>
      <c r="B896" s="16">
        <v>45329</v>
      </c>
      <c r="C896" s="15">
        <v>2405</v>
      </c>
      <c r="D896" t="s">
        <v>22</v>
      </c>
      <c r="G896" s="13">
        <v>11665</v>
      </c>
      <c r="H896" s="4">
        <f t="shared" si="14"/>
        <v>391</v>
      </c>
    </row>
    <row r="897" spans="1:8" x14ac:dyDescent="0.35">
      <c r="A897">
        <v>44016</v>
      </c>
      <c r="B897" s="16">
        <v>45329</v>
      </c>
      <c r="C897" s="15">
        <v>2802</v>
      </c>
      <c r="D897" t="s">
        <v>21</v>
      </c>
      <c r="G897" s="13">
        <v>16083</v>
      </c>
      <c r="H897" s="4">
        <f t="shared" si="14"/>
        <v>358</v>
      </c>
    </row>
    <row r="898" spans="1:8" x14ac:dyDescent="0.35">
      <c r="A898">
        <v>46801</v>
      </c>
      <c r="B898" s="16">
        <v>45329</v>
      </c>
      <c r="C898" s="15">
        <v>4167</v>
      </c>
      <c r="D898" t="s">
        <v>22</v>
      </c>
      <c r="G898" s="13">
        <v>18914</v>
      </c>
      <c r="H898" s="4">
        <f t="shared" si="14"/>
        <v>1916</v>
      </c>
    </row>
    <row r="899" spans="1:8" x14ac:dyDescent="0.35">
      <c r="A899">
        <v>11665</v>
      </c>
      <c r="B899" s="16">
        <v>45329</v>
      </c>
      <c r="C899" s="15">
        <v>391</v>
      </c>
      <c r="D899" t="s">
        <v>21</v>
      </c>
      <c r="G899" s="13">
        <v>25949</v>
      </c>
      <c r="H899" s="4">
        <f t="shared" si="14"/>
        <v>1370</v>
      </c>
    </row>
    <row r="900" spans="1:8" x14ac:dyDescent="0.35">
      <c r="A900">
        <v>16083</v>
      </c>
      <c r="B900" s="16">
        <v>45329</v>
      </c>
      <c r="C900" s="15">
        <v>358</v>
      </c>
      <c r="D900" t="s">
        <v>21</v>
      </c>
      <c r="G900" s="13">
        <v>93272</v>
      </c>
      <c r="H900" s="4">
        <f t="shared" si="14"/>
        <v>825</v>
      </c>
    </row>
    <row r="901" spans="1:8" x14ac:dyDescent="0.35">
      <c r="A901">
        <v>18914</v>
      </c>
      <c r="B901" s="16">
        <v>45329</v>
      </c>
      <c r="C901" s="15">
        <v>1916</v>
      </c>
      <c r="D901" t="s">
        <v>22</v>
      </c>
      <c r="G901" s="13">
        <v>78796</v>
      </c>
      <c r="H901" s="4">
        <f t="shared" si="14"/>
        <v>4760</v>
      </c>
    </row>
    <row r="902" spans="1:8" x14ac:dyDescent="0.35">
      <c r="A902">
        <v>25949</v>
      </c>
      <c r="B902" s="16">
        <v>45329</v>
      </c>
      <c r="C902" s="15">
        <v>1370</v>
      </c>
      <c r="D902" t="s">
        <v>20</v>
      </c>
      <c r="G902" s="13">
        <v>68604</v>
      </c>
      <c r="H902" s="4">
        <f t="shared" ref="H902:H965" si="15">AVERAGEIF($A$2:$A$1501,"="&amp;G902,$C$2:$C$1501)</f>
        <v>507</v>
      </c>
    </row>
    <row r="903" spans="1:8" x14ac:dyDescent="0.35">
      <c r="A903">
        <v>93272</v>
      </c>
      <c r="B903" s="16">
        <v>45329</v>
      </c>
      <c r="C903" s="15">
        <v>825</v>
      </c>
      <c r="D903" t="s">
        <v>21</v>
      </c>
      <c r="G903" s="13">
        <v>51781</v>
      </c>
      <c r="H903" s="4">
        <f t="shared" si="15"/>
        <v>4255</v>
      </c>
    </row>
    <row r="904" spans="1:8" x14ac:dyDescent="0.35">
      <c r="A904">
        <v>78796</v>
      </c>
      <c r="B904" s="16">
        <v>45329</v>
      </c>
      <c r="C904" s="15">
        <v>4760</v>
      </c>
      <c r="D904" t="s">
        <v>22</v>
      </c>
      <c r="G904" s="13">
        <v>62247</v>
      </c>
      <c r="H904" s="4">
        <f t="shared" si="15"/>
        <v>2004</v>
      </c>
    </row>
    <row r="905" spans="1:8" x14ac:dyDescent="0.35">
      <c r="A905">
        <v>68604</v>
      </c>
      <c r="B905" s="16">
        <v>45329</v>
      </c>
      <c r="C905" s="15">
        <v>507</v>
      </c>
      <c r="D905" t="s">
        <v>22</v>
      </c>
      <c r="G905" s="13">
        <v>23275</v>
      </c>
      <c r="H905" s="4">
        <f t="shared" si="15"/>
        <v>905</v>
      </c>
    </row>
    <row r="906" spans="1:8" x14ac:dyDescent="0.35">
      <c r="A906">
        <v>51781</v>
      </c>
      <c r="B906" s="16">
        <v>45329</v>
      </c>
      <c r="C906" s="15">
        <v>4255</v>
      </c>
      <c r="D906" t="s">
        <v>21</v>
      </c>
      <c r="G906" s="13">
        <v>32998</v>
      </c>
      <c r="H906" s="4">
        <f t="shared" si="15"/>
        <v>2294</v>
      </c>
    </row>
    <row r="907" spans="1:8" x14ac:dyDescent="0.35">
      <c r="A907">
        <v>62247</v>
      </c>
      <c r="B907" s="16">
        <v>45329</v>
      </c>
      <c r="C907" s="15">
        <v>2004</v>
      </c>
      <c r="D907" t="s">
        <v>22</v>
      </c>
      <c r="G907" s="13">
        <v>73723</v>
      </c>
      <c r="H907" s="4">
        <f t="shared" si="15"/>
        <v>4615</v>
      </c>
    </row>
    <row r="908" spans="1:8" x14ac:dyDescent="0.35">
      <c r="A908">
        <v>23275</v>
      </c>
      <c r="B908" s="16">
        <v>45329</v>
      </c>
      <c r="C908" s="15">
        <v>905</v>
      </c>
      <c r="D908" t="s">
        <v>21</v>
      </c>
      <c r="G908" s="13">
        <v>84141</v>
      </c>
      <c r="H908" s="4">
        <f t="shared" si="15"/>
        <v>2155</v>
      </c>
    </row>
    <row r="909" spans="1:8" x14ac:dyDescent="0.35">
      <c r="A909">
        <v>32998</v>
      </c>
      <c r="B909" s="16">
        <v>45329</v>
      </c>
      <c r="C909" s="15">
        <v>2294</v>
      </c>
      <c r="D909" t="s">
        <v>20</v>
      </c>
      <c r="G909" s="13">
        <v>72697</v>
      </c>
      <c r="H909" s="4">
        <f t="shared" si="15"/>
        <v>2746</v>
      </c>
    </row>
    <row r="910" spans="1:8" x14ac:dyDescent="0.35">
      <c r="A910">
        <v>73723</v>
      </c>
      <c r="B910" s="16">
        <v>45329</v>
      </c>
      <c r="C910" s="15">
        <v>4615</v>
      </c>
      <c r="D910" t="s">
        <v>21</v>
      </c>
      <c r="G910" s="13">
        <v>94715</v>
      </c>
      <c r="H910" s="4">
        <f t="shared" si="15"/>
        <v>245</v>
      </c>
    </row>
    <row r="911" spans="1:8" x14ac:dyDescent="0.35">
      <c r="A911">
        <v>84141</v>
      </c>
      <c r="B911" s="16">
        <v>45329</v>
      </c>
      <c r="C911" s="15">
        <v>2155</v>
      </c>
      <c r="D911" t="s">
        <v>20</v>
      </c>
      <c r="G911" s="13">
        <v>82110</v>
      </c>
      <c r="H911" s="4">
        <f t="shared" si="15"/>
        <v>1719</v>
      </c>
    </row>
    <row r="912" spans="1:8" x14ac:dyDescent="0.35">
      <c r="A912">
        <v>72697</v>
      </c>
      <c r="B912" s="16">
        <v>45329</v>
      </c>
      <c r="C912" s="15">
        <v>2746</v>
      </c>
      <c r="D912" t="s">
        <v>22</v>
      </c>
      <c r="G912" s="13">
        <v>59849</v>
      </c>
      <c r="H912" s="4">
        <f t="shared" si="15"/>
        <v>1450</v>
      </c>
    </row>
    <row r="913" spans="1:8" x14ac:dyDescent="0.35">
      <c r="A913">
        <v>94715</v>
      </c>
      <c r="B913" s="16">
        <v>45329</v>
      </c>
      <c r="C913" s="15">
        <v>245</v>
      </c>
      <c r="D913" t="s">
        <v>20</v>
      </c>
      <c r="G913" s="13">
        <v>27261</v>
      </c>
      <c r="H913" s="4">
        <f t="shared" si="15"/>
        <v>4674</v>
      </c>
    </row>
    <row r="914" spans="1:8" x14ac:dyDescent="0.35">
      <c r="A914">
        <v>82110</v>
      </c>
      <c r="B914" s="16">
        <v>45330</v>
      </c>
      <c r="C914" s="15">
        <v>1719</v>
      </c>
      <c r="D914" t="s">
        <v>21</v>
      </c>
      <c r="G914" s="13">
        <v>76668</v>
      </c>
      <c r="H914" s="4">
        <f t="shared" si="15"/>
        <v>3717</v>
      </c>
    </row>
    <row r="915" spans="1:8" x14ac:dyDescent="0.35">
      <c r="A915">
        <v>59849</v>
      </c>
      <c r="B915" s="16">
        <v>45330</v>
      </c>
      <c r="C915" s="15">
        <v>1450</v>
      </c>
      <c r="D915" t="s">
        <v>21</v>
      </c>
      <c r="G915" s="13">
        <v>15185</v>
      </c>
      <c r="H915" s="4">
        <f t="shared" si="15"/>
        <v>4670</v>
      </c>
    </row>
    <row r="916" spans="1:8" x14ac:dyDescent="0.35">
      <c r="A916">
        <v>27261</v>
      </c>
      <c r="B916" s="16">
        <v>45330</v>
      </c>
      <c r="C916" s="15">
        <v>4674</v>
      </c>
      <c r="D916" t="s">
        <v>22</v>
      </c>
      <c r="G916" s="13">
        <v>60362</v>
      </c>
      <c r="H916" s="4">
        <f t="shared" si="15"/>
        <v>4886</v>
      </c>
    </row>
    <row r="917" spans="1:8" x14ac:dyDescent="0.35">
      <c r="A917">
        <v>76668</v>
      </c>
      <c r="B917" s="16">
        <v>45330</v>
      </c>
      <c r="C917" s="15">
        <v>3717</v>
      </c>
      <c r="D917" t="s">
        <v>22</v>
      </c>
      <c r="G917" s="13">
        <v>75021</v>
      </c>
      <c r="H917" s="4">
        <f t="shared" si="15"/>
        <v>4704</v>
      </c>
    </row>
    <row r="918" spans="1:8" x14ac:dyDescent="0.35">
      <c r="A918">
        <v>15185</v>
      </c>
      <c r="B918" s="16">
        <v>45330</v>
      </c>
      <c r="C918" s="15">
        <v>4670</v>
      </c>
      <c r="D918" t="s">
        <v>20</v>
      </c>
      <c r="G918" s="13">
        <v>12502</v>
      </c>
      <c r="H918" s="4">
        <f t="shared" si="15"/>
        <v>3470</v>
      </c>
    </row>
    <row r="919" spans="1:8" x14ac:dyDescent="0.35">
      <c r="A919">
        <v>60362</v>
      </c>
      <c r="B919" s="16">
        <v>45330</v>
      </c>
      <c r="C919" s="15">
        <v>4886</v>
      </c>
      <c r="D919" t="s">
        <v>22</v>
      </c>
      <c r="G919" s="13">
        <v>92020</v>
      </c>
      <c r="H919" s="4">
        <f t="shared" si="15"/>
        <v>2513</v>
      </c>
    </row>
    <row r="920" spans="1:8" x14ac:dyDescent="0.35">
      <c r="A920">
        <v>75021</v>
      </c>
      <c r="B920" s="16">
        <v>45330</v>
      </c>
      <c r="C920" s="15">
        <v>4704</v>
      </c>
      <c r="D920" t="s">
        <v>22</v>
      </c>
      <c r="G920" s="13">
        <v>80811</v>
      </c>
      <c r="H920" s="4">
        <f t="shared" si="15"/>
        <v>549</v>
      </c>
    </row>
    <row r="921" spans="1:8" x14ac:dyDescent="0.35">
      <c r="A921">
        <v>12502</v>
      </c>
      <c r="B921" s="16">
        <v>45330</v>
      </c>
      <c r="C921" s="15">
        <v>3470</v>
      </c>
      <c r="D921" t="s">
        <v>22</v>
      </c>
      <c r="G921" s="13">
        <v>14021</v>
      </c>
      <c r="H921" s="4">
        <f t="shared" si="15"/>
        <v>2108</v>
      </c>
    </row>
    <row r="922" spans="1:8" x14ac:dyDescent="0.35">
      <c r="A922">
        <v>92020</v>
      </c>
      <c r="B922" s="16">
        <v>45330</v>
      </c>
      <c r="C922" s="15">
        <v>2513</v>
      </c>
      <c r="D922" t="s">
        <v>22</v>
      </c>
      <c r="G922" s="13">
        <v>47215</v>
      </c>
      <c r="H922" s="4">
        <f t="shared" si="15"/>
        <v>2460</v>
      </c>
    </row>
    <row r="923" spans="1:8" x14ac:dyDescent="0.35">
      <c r="A923">
        <v>80811</v>
      </c>
      <c r="B923" s="16">
        <v>45330</v>
      </c>
      <c r="C923" s="15">
        <v>549</v>
      </c>
      <c r="D923" t="s">
        <v>20</v>
      </c>
      <c r="G923" s="13">
        <v>29550</v>
      </c>
      <c r="H923" s="4">
        <f t="shared" si="15"/>
        <v>1151</v>
      </c>
    </row>
    <row r="924" spans="1:8" x14ac:dyDescent="0.35">
      <c r="A924">
        <v>14021</v>
      </c>
      <c r="B924" s="16">
        <v>45330</v>
      </c>
      <c r="C924" s="15">
        <v>2108</v>
      </c>
      <c r="D924" t="s">
        <v>20</v>
      </c>
      <c r="G924" s="13">
        <v>59552</v>
      </c>
      <c r="H924" s="4">
        <f t="shared" si="15"/>
        <v>3141</v>
      </c>
    </row>
    <row r="925" spans="1:8" x14ac:dyDescent="0.35">
      <c r="A925">
        <v>47215</v>
      </c>
      <c r="B925" s="16">
        <v>45330</v>
      </c>
      <c r="C925" s="15">
        <v>2460</v>
      </c>
      <c r="D925" t="s">
        <v>22</v>
      </c>
      <c r="G925" s="13">
        <v>13649</v>
      </c>
      <c r="H925" s="4">
        <f t="shared" si="15"/>
        <v>2779</v>
      </c>
    </row>
    <row r="926" spans="1:8" x14ac:dyDescent="0.35">
      <c r="A926">
        <v>29550</v>
      </c>
      <c r="B926" s="16">
        <v>45330</v>
      </c>
      <c r="C926" s="15">
        <v>1151</v>
      </c>
      <c r="D926" t="s">
        <v>22</v>
      </c>
      <c r="G926" s="13">
        <v>80725</v>
      </c>
      <c r="H926" s="4">
        <f t="shared" si="15"/>
        <v>531</v>
      </c>
    </row>
    <row r="927" spans="1:8" x14ac:dyDescent="0.35">
      <c r="A927">
        <v>59552</v>
      </c>
      <c r="B927" s="16">
        <v>45330</v>
      </c>
      <c r="C927" s="15">
        <v>3141</v>
      </c>
      <c r="D927" t="s">
        <v>21</v>
      </c>
      <c r="G927" s="13">
        <v>70544</v>
      </c>
      <c r="H927" s="4">
        <f t="shared" si="15"/>
        <v>2016</v>
      </c>
    </row>
    <row r="928" spans="1:8" x14ac:dyDescent="0.35">
      <c r="A928">
        <v>13649</v>
      </c>
      <c r="B928" s="16">
        <v>45330</v>
      </c>
      <c r="C928" s="15">
        <v>2779</v>
      </c>
      <c r="D928" t="s">
        <v>20</v>
      </c>
      <c r="G928" s="13">
        <v>94861</v>
      </c>
      <c r="H928" s="4">
        <f t="shared" si="15"/>
        <v>4542</v>
      </c>
    </row>
    <row r="929" spans="1:8" x14ac:dyDescent="0.35">
      <c r="A929">
        <v>80725</v>
      </c>
      <c r="B929" s="16">
        <v>45330</v>
      </c>
      <c r="C929" s="15">
        <v>531</v>
      </c>
      <c r="D929" t="s">
        <v>21</v>
      </c>
      <c r="G929" s="13">
        <v>59013</v>
      </c>
      <c r="H929" s="4">
        <f t="shared" si="15"/>
        <v>2784</v>
      </c>
    </row>
    <row r="930" spans="1:8" x14ac:dyDescent="0.35">
      <c r="A930">
        <v>70544</v>
      </c>
      <c r="B930" s="16">
        <v>45330</v>
      </c>
      <c r="C930" s="15">
        <v>2016</v>
      </c>
      <c r="D930" t="s">
        <v>20</v>
      </c>
      <c r="G930" s="13">
        <v>85619</v>
      </c>
      <c r="H930" s="4">
        <f t="shared" si="15"/>
        <v>3807</v>
      </c>
    </row>
    <row r="931" spans="1:8" x14ac:dyDescent="0.35">
      <c r="A931">
        <v>94861</v>
      </c>
      <c r="B931" s="16">
        <v>45330</v>
      </c>
      <c r="C931" s="15">
        <v>4542</v>
      </c>
      <c r="D931" t="s">
        <v>22</v>
      </c>
      <c r="G931" s="13">
        <v>47290</v>
      </c>
      <c r="H931" s="4">
        <f t="shared" si="15"/>
        <v>3206</v>
      </c>
    </row>
    <row r="932" spans="1:8" x14ac:dyDescent="0.35">
      <c r="A932">
        <v>59013</v>
      </c>
      <c r="B932" s="16">
        <v>45330</v>
      </c>
      <c r="C932" s="15">
        <v>2784</v>
      </c>
      <c r="D932" t="s">
        <v>21</v>
      </c>
      <c r="G932" s="13">
        <v>56684</v>
      </c>
      <c r="H932" s="4">
        <f t="shared" si="15"/>
        <v>4084</v>
      </c>
    </row>
    <row r="933" spans="1:8" x14ac:dyDescent="0.35">
      <c r="A933">
        <v>85619</v>
      </c>
      <c r="B933" s="16">
        <v>45330</v>
      </c>
      <c r="C933" s="15">
        <v>3807</v>
      </c>
      <c r="D933" t="s">
        <v>21</v>
      </c>
      <c r="G933" s="13">
        <v>22585</v>
      </c>
      <c r="H933" s="4">
        <f t="shared" si="15"/>
        <v>4894</v>
      </c>
    </row>
    <row r="934" spans="1:8" x14ac:dyDescent="0.35">
      <c r="A934">
        <v>47290</v>
      </c>
      <c r="B934" s="16">
        <v>45330</v>
      </c>
      <c r="C934" s="15">
        <v>3206</v>
      </c>
      <c r="D934" t="s">
        <v>21</v>
      </c>
      <c r="G934" s="13">
        <v>99049</v>
      </c>
      <c r="H934" s="4">
        <f t="shared" si="15"/>
        <v>1670</v>
      </c>
    </row>
    <row r="935" spans="1:8" x14ac:dyDescent="0.35">
      <c r="A935">
        <v>56684</v>
      </c>
      <c r="B935" s="16">
        <v>45330</v>
      </c>
      <c r="C935" s="15">
        <v>4084</v>
      </c>
      <c r="D935" t="s">
        <v>21</v>
      </c>
      <c r="G935" s="13">
        <v>41146</v>
      </c>
      <c r="H935" s="4">
        <f t="shared" si="15"/>
        <v>253</v>
      </c>
    </row>
    <row r="936" spans="1:8" x14ac:dyDescent="0.35">
      <c r="A936">
        <v>22585</v>
      </c>
      <c r="B936" s="16">
        <v>45330</v>
      </c>
      <c r="C936" s="15">
        <v>4894</v>
      </c>
      <c r="D936" t="s">
        <v>20</v>
      </c>
      <c r="G936" s="13">
        <v>60851</v>
      </c>
      <c r="H936" s="4">
        <f t="shared" si="15"/>
        <v>1012</v>
      </c>
    </row>
    <row r="937" spans="1:8" x14ac:dyDescent="0.35">
      <c r="A937">
        <v>99049</v>
      </c>
      <c r="B937" s="16">
        <v>45330</v>
      </c>
      <c r="C937" s="15">
        <v>1670</v>
      </c>
      <c r="D937" t="s">
        <v>21</v>
      </c>
      <c r="G937" s="13">
        <v>38982</v>
      </c>
      <c r="H937" s="4">
        <f t="shared" si="15"/>
        <v>585</v>
      </c>
    </row>
    <row r="938" spans="1:8" x14ac:dyDescent="0.35">
      <c r="A938">
        <v>41146</v>
      </c>
      <c r="B938" s="16">
        <v>45331</v>
      </c>
      <c r="C938" s="15">
        <v>253</v>
      </c>
      <c r="D938" t="s">
        <v>22</v>
      </c>
      <c r="G938" s="13">
        <v>72734</v>
      </c>
      <c r="H938" s="4">
        <f t="shared" si="15"/>
        <v>4937</v>
      </c>
    </row>
    <row r="939" spans="1:8" x14ac:dyDescent="0.35">
      <c r="A939">
        <v>60851</v>
      </c>
      <c r="B939" s="16">
        <v>45331</v>
      </c>
      <c r="C939" s="15">
        <v>1012</v>
      </c>
      <c r="D939" t="s">
        <v>21</v>
      </c>
      <c r="G939" s="13">
        <v>30214</v>
      </c>
      <c r="H939" s="4">
        <f t="shared" si="15"/>
        <v>1558</v>
      </c>
    </row>
    <row r="940" spans="1:8" x14ac:dyDescent="0.35">
      <c r="A940">
        <v>38982</v>
      </c>
      <c r="B940" s="16">
        <v>45331</v>
      </c>
      <c r="C940" s="15">
        <v>585</v>
      </c>
      <c r="D940" t="s">
        <v>21</v>
      </c>
      <c r="G940" s="13">
        <v>76158</v>
      </c>
      <c r="H940" s="4">
        <f t="shared" si="15"/>
        <v>4387</v>
      </c>
    </row>
    <row r="941" spans="1:8" x14ac:dyDescent="0.35">
      <c r="A941">
        <v>72734</v>
      </c>
      <c r="B941" s="16">
        <v>45331</v>
      </c>
      <c r="C941" s="15">
        <v>4937</v>
      </c>
      <c r="D941" t="s">
        <v>21</v>
      </c>
      <c r="G941" s="13">
        <v>83204</v>
      </c>
      <c r="H941" s="4">
        <f t="shared" si="15"/>
        <v>3788</v>
      </c>
    </row>
    <row r="942" spans="1:8" x14ac:dyDescent="0.35">
      <c r="A942">
        <v>30214</v>
      </c>
      <c r="B942" s="16">
        <v>45331</v>
      </c>
      <c r="C942" s="15">
        <v>1558</v>
      </c>
      <c r="D942" t="s">
        <v>22</v>
      </c>
      <c r="G942" s="13">
        <v>52944</v>
      </c>
      <c r="H942" s="4">
        <f t="shared" si="15"/>
        <v>1151</v>
      </c>
    </row>
    <row r="943" spans="1:8" x14ac:dyDescent="0.35">
      <c r="A943">
        <v>76158</v>
      </c>
      <c r="B943" s="16">
        <v>45331</v>
      </c>
      <c r="C943" s="15">
        <v>4387</v>
      </c>
      <c r="D943" t="s">
        <v>20</v>
      </c>
      <c r="G943" s="13">
        <v>78342</v>
      </c>
      <c r="H943" s="4">
        <f t="shared" si="15"/>
        <v>2870</v>
      </c>
    </row>
    <row r="944" spans="1:8" x14ac:dyDescent="0.35">
      <c r="A944">
        <v>83204</v>
      </c>
      <c r="B944" s="16">
        <v>45331</v>
      </c>
      <c r="C944" s="15">
        <v>3788</v>
      </c>
      <c r="D944" t="s">
        <v>21</v>
      </c>
      <c r="G944" s="13">
        <v>50326</v>
      </c>
      <c r="H944" s="4">
        <f t="shared" si="15"/>
        <v>3566</v>
      </c>
    </row>
    <row r="945" spans="1:8" x14ac:dyDescent="0.35">
      <c r="A945">
        <v>52944</v>
      </c>
      <c r="B945" s="16">
        <v>45331</v>
      </c>
      <c r="C945" s="15">
        <v>1151</v>
      </c>
      <c r="D945" t="s">
        <v>20</v>
      </c>
      <c r="G945" s="13">
        <v>45063</v>
      </c>
      <c r="H945" s="4">
        <f t="shared" si="15"/>
        <v>2753</v>
      </c>
    </row>
    <row r="946" spans="1:8" x14ac:dyDescent="0.35">
      <c r="A946">
        <v>78342</v>
      </c>
      <c r="B946" s="16">
        <v>45331</v>
      </c>
      <c r="C946" s="15">
        <v>2870</v>
      </c>
      <c r="D946" t="s">
        <v>21</v>
      </c>
      <c r="G946" s="13">
        <v>98026</v>
      </c>
      <c r="H946" s="4">
        <f t="shared" si="15"/>
        <v>1664</v>
      </c>
    </row>
    <row r="947" spans="1:8" x14ac:dyDescent="0.35">
      <c r="A947">
        <v>50326</v>
      </c>
      <c r="B947" s="16">
        <v>45331</v>
      </c>
      <c r="C947" s="15">
        <v>3566</v>
      </c>
      <c r="D947" t="s">
        <v>22</v>
      </c>
      <c r="G947" s="13">
        <v>38752</v>
      </c>
      <c r="H947" s="4">
        <f t="shared" si="15"/>
        <v>2289</v>
      </c>
    </row>
    <row r="948" spans="1:8" x14ac:dyDescent="0.35">
      <c r="A948">
        <v>45063</v>
      </c>
      <c r="B948" s="16">
        <v>45331</v>
      </c>
      <c r="C948" s="15">
        <v>2753</v>
      </c>
      <c r="D948" t="s">
        <v>22</v>
      </c>
      <c r="G948" s="13">
        <v>61639</v>
      </c>
      <c r="H948" s="4">
        <f t="shared" si="15"/>
        <v>2914</v>
      </c>
    </row>
    <row r="949" spans="1:8" x14ac:dyDescent="0.35">
      <c r="A949">
        <v>98026</v>
      </c>
      <c r="B949" s="16">
        <v>45331</v>
      </c>
      <c r="C949" s="15">
        <v>1664</v>
      </c>
      <c r="D949" t="s">
        <v>22</v>
      </c>
      <c r="G949" s="13">
        <v>84382</v>
      </c>
      <c r="H949" s="4">
        <f t="shared" si="15"/>
        <v>4525</v>
      </c>
    </row>
    <row r="950" spans="1:8" x14ac:dyDescent="0.35">
      <c r="A950">
        <v>38752</v>
      </c>
      <c r="B950" s="16">
        <v>45331</v>
      </c>
      <c r="C950" s="15">
        <v>2289</v>
      </c>
      <c r="D950" t="s">
        <v>22</v>
      </c>
      <c r="G950" s="13">
        <v>54825</v>
      </c>
      <c r="H950" s="4">
        <f t="shared" si="15"/>
        <v>4050</v>
      </c>
    </row>
    <row r="951" spans="1:8" x14ac:dyDescent="0.35">
      <c r="A951">
        <v>61639</v>
      </c>
      <c r="B951" s="16">
        <v>45331</v>
      </c>
      <c r="C951" s="15">
        <v>2914</v>
      </c>
      <c r="D951" t="s">
        <v>22</v>
      </c>
      <c r="G951" s="13">
        <v>64781</v>
      </c>
      <c r="H951" s="4">
        <f t="shared" si="15"/>
        <v>2207</v>
      </c>
    </row>
    <row r="952" spans="1:8" x14ac:dyDescent="0.35">
      <c r="A952">
        <v>84382</v>
      </c>
      <c r="B952" s="16">
        <v>45331</v>
      </c>
      <c r="C952" s="15">
        <v>4525</v>
      </c>
      <c r="D952" t="s">
        <v>20</v>
      </c>
      <c r="G952" s="13">
        <v>62272</v>
      </c>
      <c r="H952" s="4">
        <f t="shared" si="15"/>
        <v>4360</v>
      </c>
    </row>
    <row r="953" spans="1:8" x14ac:dyDescent="0.35">
      <c r="A953">
        <v>54825</v>
      </c>
      <c r="B953" s="16">
        <v>45331</v>
      </c>
      <c r="C953" s="15">
        <v>4050</v>
      </c>
      <c r="D953" t="s">
        <v>22</v>
      </c>
      <c r="G953" s="13">
        <v>23128</v>
      </c>
      <c r="H953" s="4">
        <f t="shared" si="15"/>
        <v>3469</v>
      </c>
    </row>
    <row r="954" spans="1:8" x14ac:dyDescent="0.35">
      <c r="A954">
        <v>64781</v>
      </c>
      <c r="B954" s="16">
        <v>45331</v>
      </c>
      <c r="C954" s="15">
        <v>2207</v>
      </c>
      <c r="D954" t="s">
        <v>21</v>
      </c>
      <c r="G954" s="13">
        <v>44949</v>
      </c>
      <c r="H954" s="4">
        <f t="shared" si="15"/>
        <v>4918</v>
      </c>
    </row>
    <row r="955" spans="1:8" x14ac:dyDescent="0.35">
      <c r="A955">
        <v>62272</v>
      </c>
      <c r="B955" s="16">
        <v>45331</v>
      </c>
      <c r="C955" s="15">
        <v>4360</v>
      </c>
      <c r="D955" t="s">
        <v>20</v>
      </c>
      <c r="G955" s="13">
        <v>25248</v>
      </c>
      <c r="H955" s="4">
        <f t="shared" si="15"/>
        <v>2166</v>
      </c>
    </row>
    <row r="956" spans="1:8" x14ac:dyDescent="0.35">
      <c r="A956">
        <v>23128</v>
      </c>
      <c r="B956" s="16">
        <v>45331</v>
      </c>
      <c r="C956" s="15">
        <v>3469</v>
      </c>
      <c r="D956" t="s">
        <v>22</v>
      </c>
      <c r="G956" s="13">
        <v>61631</v>
      </c>
      <c r="H956" s="4">
        <f t="shared" si="15"/>
        <v>3688</v>
      </c>
    </row>
    <row r="957" spans="1:8" x14ac:dyDescent="0.35">
      <c r="A957">
        <v>44949</v>
      </c>
      <c r="B957" s="16">
        <v>45331</v>
      </c>
      <c r="C957" s="15">
        <v>4918</v>
      </c>
      <c r="D957" t="s">
        <v>20</v>
      </c>
      <c r="G957" s="13">
        <v>85443</v>
      </c>
      <c r="H957" s="4">
        <f t="shared" si="15"/>
        <v>3653</v>
      </c>
    </row>
    <row r="958" spans="1:8" x14ac:dyDescent="0.35">
      <c r="A958">
        <v>25248</v>
      </c>
      <c r="B958" s="16">
        <v>45331</v>
      </c>
      <c r="C958" s="15">
        <v>2166</v>
      </c>
      <c r="D958" t="s">
        <v>20</v>
      </c>
      <c r="G958" s="13">
        <v>45068</v>
      </c>
      <c r="H958" s="4">
        <f t="shared" si="15"/>
        <v>4867</v>
      </c>
    </row>
    <row r="959" spans="1:8" x14ac:dyDescent="0.35">
      <c r="A959">
        <v>61631</v>
      </c>
      <c r="B959" s="16">
        <v>45331</v>
      </c>
      <c r="C959" s="15">
        <v>3688</v>
      </c>
      <c r="D959" t="s">
        <v>22</v>
      </c>
      <c r="G959" s="13">
        <v>80043</v>
      </c>
      <c r="H959" s="4">
        <f t="shared" si="15"/>
        <v>1756</v>
      </c>
    </row>
    <row r="960" spans="1:8" x14ac:dyDescent="0.35">
      <c r="A960">
        <v>85443</v>
      </c>
      <c r="B960" s="16">
        <v>45331</v>
      </c>
      <c r="C960" s="15">
        <v>3653</v>
      </c>
      <c r="D960" t="s">
        <v>20</v>
      </c>
      <c r="G960" s="13">
        <v>65134</v>
      </c>
      <c r="H960" s="4">
        <f t="shared" si="15"/>
        <v>1718</v>
      </c>
    </row>
    <row r="961" spans="1:8" x14ac:dyDescent="0.35">
      <c r="A961">
        <v>45068</v>
      </c>
      <c r="B961" s="16">
        <v>45331</v>
      </c>
      <c r="C961" s="15">
        <v>4867</v>
      </c>
      <c r="D961" t="s">
        <v>22</v>
      </c>
      <c r="G961" s="13">
        <v>65885</v>
      </c>
      <c r="H961" s="4">
        <f t="shared" si="15"/>
        <v>429</v>
      </c>
    </row>
    <row r="962" spans="1:8" x14ac:dyDescent="0.35">
      <c r="A962">
        <v>80043</v>
      </c>
      <c r="B962" s="16">
        <v>45332</v>
      </c>
      <c r="C962" s="15">
        <v>1756</v>
      </c>
      <c r="D962" t="s">
        <v>22</v>
      </c>
      <c r="G962" s="13">
        <v>57328</v>
      </c>
      <c r="H962" s="4">
        <f t="shared" si="15"/>
        <v>1788</v>
      </c>
    </row>
    <row r="963" spans="1:8" x14ac:dyDescent="0.35">
      <c r="A963">
        <v>65134</v>
      </c>
      <c r="B963" s="16">
        <v>45332</v>
      </c>
      <c r="C963" s="15">
        <v>1718</v>
      </c>
      <c r="D963" t="s">
        <v>22</v>
      </c>
      <c r="G963" s="13">
        <v>51003</v>
      </c>
      <c r="H963" s="4">
        <f t="shared" si="15"/>
        <v>3749</v>
      </c>
    </row>
    <row r="964" spans="1:8" x14ac:dyDescent="0.35">
      <c r="A964">
        <v>65885</v>
      </c>
      <c r="B964" s="16">
        <v>45332</v>
      </c>
      <c r="C964" s="15">
        <v>429</v>
      </c>
      <c r="D964" t="s">
        <v>21</v>
      </c>
      <c r="G964" s="13">
        <v>52709</v>
      </c>
      <c r="H964" s="4">
        <f t="shared" si="15"/>
        <v>4715</v>
      </c>
    </row>
    <row r="965" spans="1:8" x14ac:dyDescent="0.35">
      <c r="A965">
        <v>57328</v>
      </c>
      <c r="B965" s="16">
        <v>45332</v>
      </c>
      <c r="C965" s="15">
        <v>1788</v>
      </c>
      <c r="D965" t="s">
        <v>21</v>
      </c>
      <c r="G965" s="13">
        <v>24897</v>
      </c>
      <c r="H965" s="4">
        <f t="shared" si="15"/>
        <v>460</v>
      </c>
    </row>
    <row r="966" spans="1:8" x14ac:dyDescent="0.35">
      <c r="A966">
        <v>51003</v>
      </c>
      <c r="B966" s="16">
        <v>45332</v>
      </c>
      <c r="C966" s="15">
        <v>3749</v>
      </c>
      <c r="D966" t="s">
        <v>22</v>
      </c>
      <c r="G966" s="13">
        <v>94303</v>
      </c>
      <c r="H966" s="4">
        <f t="shared" ref="H966:H1029" si="16">AVERAGEIF($A$2:$A$1501,"="&amp;G966,$C$2:$C$1501)</f>
        <v>309</v>
      </c>
    </row>
    <row r="967" spans="1:8" x14ac:dyDescent="0.35">
      <c r="A967">
        <v>52709</v>
      </c>
      <c r="B967" s="16">
        <v>45332</v>
      </c>
      <c r="C967" s="15">
        <v>4715</v>
      </c>
      <c r="D967" t="s">
        <v>22</v>
      </c>
      <c r="G967" s="13">
        <v>22252</v>
      </c>
      <c r="H967" s="4">
        <f t="shared" si="16"/>
        <v>3270</v>
      </c>
    </row>
    <row r="968" spans="1:8" x14ac:dyDescent="0.35">
      <c r="A968">
        <v>24897</v>
      </c>
      <c r="B968" s="16">
        <v>45332</v>
      </c>
      <c r="C968" s="15">
        <v>460</v>
      </c>
      <c r="D968" t="s">
        <v>20</v>
      </c>
      <c r="G968" s="13">
        <v>26508</v>
      </c>
      <c r="H968" s="4">
        <f t="shared" si="16"/>
        <v>4345</v>
      </c>
    </row>
    <row r="969" spans="1:8" x14ac:dyDescent="0.35">
      <c r="A969">
        <v>94303</v>
      </c>
      <c r="B969" s="16">
        <v>45332</v>
      </c>
      <c r="C969" s="15">
        <v>309</v>
      </c>
      <c r="D969" t="s">
        <v>22</v>
      </c>
      <c r="G969" s="13">
        <v>68971</v>
      </c>
      <c r="H969" s="4">
        <f t="shared" si="16"/>
        <v>1541</v>
      </c>
    </row>
    <row r="970" spans="1:8" x14ac:dyDescent="0.35">
      <c r="A970">
        <v>22252</v>
      </c>
      <c r="B970" s="16">
        <v>45332</v>
      </c>
      <c r="C970" s="15">
        <v>3270</v>
      </c>
      <c r="D970" t="s">
        <v>20</v>
      </c>
      <c r="G970" s="13">
        <v>74412</v>
      </c>
      <c r="H970" s="4">
        <f t="shared" si="16"/>
        <v>1703</v>
      </c>
    </row>
    <row r="971" spans="1:8" x14ac:dyDescent="0.35">
      <c r="A971">
        <v>26508</v>
      </c>
      <c r="B971" s="16">
        <v>45332</v>
      </c>
      <c r="C971" s="15">
        <v>4345</v>
      </c>
      <c r="D971" t="s">
        <v>22</v>
      </c>
      <c r="G971" s="13">
        <v>36308</v>
      </c>
      <c r="H971" s="4">
        <f t="shared" si="16"/>
        <v>1634</v>
      </c>
    </row>
    <row r="972" spans="1:8" x14ac:dyDescent="0.35">
      <c r="A972">
        <v>68971</v>
      </c>
      <c r="B972" s="16">
        <v>45332</v>
      </c>
      <c r="C972" s="15">
        <v>1541</v>
      </c>
      <c r="D972" t="s">
        <v>22</v>
      </c>
      <c r="G972" s="13">
        <v>53804</v>
      </c>
      <c r="H972" s="4">
        <f t="shared" si="16"/>
        <v>1349</v>
      </c>
    </row>
    <row r="973" spans="1:8" x14ac:dyDescent="0.35">
      <c r="A973">
        <v>71497</v>
      </c>
      <c r="B973" s="16">
        <v>45332</v>
      </c>
      <c r="C973" s="15">
        <v>3646</v>
      </c>
      <c r="D973" t="s">
        <v>20</v>
      </c>
      <c r="G973" s="13">
        <v>53060</v>
      </c>
      <c r="H973" s="4">
        <f t="shared" si="16"/>
        <v>2706</v>
      </c>
    </row>
    <row r="974" spans="1:8" x14ac:dyDescent="0.35">
      <c r="A974">
        <v>74412</v>
      </c>
      <c r="B974" s="16">
        <v>45332</v>
      </c>
      <c r="C974" s="15">
        <v>1703</v>
      </c>
      <c r="D974" t="s">
        <v>20</v>
      </c>
      <c r="G974" s="13">
        <v>70043</v>
      </c>
      <c r="H974" s="4">
        <f t="shared" si="16"/>
        <v>1659</v>
      </c>
    </row>
    <row r="975" spans="1:8" x14ac:dyDescent="0.35">
      <c r="A975">
        <v>36308</v>
      </c>
      <c r="B975" s="16">
        <v>45332</v>
      </c>
      <c r="C975" s="15">
        <v>1634</v>
      </c>
      <c r="D975" t="s">
        <v>22</v>
      </c>
      <c r="G975" s="13">
        <v>86635</v>
      </c>
      <c r="H975" s="4">
        <f t="shared" si="16"/>
        <v>255</v>
      </c>
    </row>
    <row r="976" spans="1:8" x14ac:dyDescent="0.35">
      <c r="A976">
        <v>53804</v>
      </c>
      <c r="B976" s="16">
        <v>45332</v>
      </c>
      <c r="C976" s="15">
        <v>1349</v>
      </c>
      <c r="D976" t="s">
        <v>22</v>
      </c>
      <c r="G976" s="13">
        <v>22196</v>
      </c>
      <c r="H976" s="4">
        <f t="shared" si="16"/>
        <v>659</v>
      </c>
    </row>
    <row r="977" spans="1:8" x14ac:dyDescent="0.35">
      <c r="A977">
        <v>53060</v>
      </c>
      <c r="B977" s="16">
        <v>45332</v>
      </c>
      <c r="C977" s="15">
        <v>2706</v>
      </c>
      <c r="D977" t="s">
        <v>21</v>
      </c>
      <c r="G977" s="13">
        <v>27122</v>
      </c>
      <c r="H977" s="4">
        <f t="shared" si="16"/>
        <v>4479</v>
      </c>
    </row>
    <row r="978" spans="1:8" x14ac:dyDescent="0.35">
      <c r="A978">
        <v>70043</v>
      </c>
      <c r="B978" s="16">
        <v>45332</v>
      </c>
      <c r="C978" s="15">
        <v>1659</v>
      </c>
      <c r="D978" t="s">
        <v>22</v>
      </c>
      <c r="G978" s="13">
        <v>69338</v>
      </c>
      <c r="H978" s="4">
        <f t="shared" si="16"/>
        <v>4582</v>
      </c>
    </row>
    <row r="979" spans="1:8" x14ac:dyDescent="0.35">
      <c r="A979">
        <v>86635</v>
      </c>
      <c r="B979" s="16">
        <v>45332</v>
      </c>
      <c r="C979" s="15">
        <v>255</v>
      </c>
      <c r="D979" t="s">
        <v>22</v>
      </c>
      <c r="G979" s="13">
        <v>85811</v>
      </c>
      <c r="H979" s="4">
        <f t="shared" si="16"/>
        <v>4689</v>
      </c>
    </row>
    <row r="980" spans="1:8" x14ac:dyDescent="0.35">
      <c r="A980">
        <v>22196</v>
      </c>
      <c r="B980" s="16">
        <v>45332</v>
      </c>
      <c r="C980" s="15">
        <v>659</v>
      </c>
      <c r="D980" t="s">
        <v>22</v>
      </c>
      <c r="G980" s="13">
        <v>59732</v>
      </c>
      <c r="H980" s="4">
        <f t="shared" si="16"/>
        <v>837</v>
      </c>
    </row>
    <row r="981" spans="1:8" x14ac:dyDescent="0.35">
      <c r="A981">
        <v>27122</v>
      </c>
      <c r="B981" s="16">
        <v>45332</v>
      </c>
      <c r="C981" s="15">
        <v>4479</v>
      </c>
      <c r="D981" t="s">
        <v>21</v>
      </c>
      <c r="G981" s="13">
        <v>79003</v>
      </c>
      <c r="H981" s="4">
        <f t="shared" si="16"/>
        <v>3803</v>
      </c>
    </row>
    <row r="982" spans="1:8" x14ac:dyDescent="0.35">
      <c r="A982">
        <v>69338</v>
      </c>
      <c r="B982" s="16">
        <v>45332</v>
      </c>
      <c r="C982" s="15">
        <v>4582</v>
      </c>
      <c r="D982" t="s">
        <v>21</v>
      </c>
      <c r="G982" s="13">
        <v>65384</v>
      </c>
      <c r="H982" s="4">
        <f t="shared" si="16"/>
        <v>3382</v>
      </c>
    </row>
    <row r="983" spans="1:8" x14ac:dyDescent="0.35">
      <c r="A983">
        <v>54195</v>
      </c>
      <c r="B983" s="16">
        <v>45332</v>
      </c>
      <c r="C983" s="15">
        <v>4264</v>
      </c>
      <c r="D983" t="s">
        <v>20</v>
      </c>
      <c r="G983" s="13">
        <v>56340</v>
      </c>
      <c r="H983" s="4">
        <f t="shared" si="16"/>
        <v>4244</v>
      </c>
    </row>
    <row r="984" spans="1:8" x14ac:dyDescent="0.35">
      <c r="A984">
        <v>85811</v>
      </c>
      <c r="B984" s="16">
        <v>45332</v>
      </c>
      <c r="C984" s="15">
        <v>4689</v>
      </c>
      <c r="D984" t="s">
        <v>21</v>
      </c>
      <c r="G984" s="13">
        <v>86249</v>
      </c>
      <c r="H984" s="4">
        <f t="shared" si="16"/>
        <v>1031</v>
      </c>
    </row>
    <row r="985" spans="1:8" x14ac:dyDescent="0.35">
      <c r="A985">
        <v>59732</v>
      </c>
      <c r="B985" s="16">
        <v>45332</v>
      </c>
      <c r="C985" s="15">
        <v>837</v>
      </c>
      <c r="D985" t="s">
        <v>22</v>
      </c>
      <c r="G985" s="13">
        <v>97058</v>
      </c>
      <c r="H985" s="4">
        <f t="shared" si="16"/>
        <v>1270</v>
      </c>
    </row>
    <row r="986" spans="1:8" x14ac:dyDescent="0.35">
      <c r="A986">
        <v>79003</v>
      </c>
      <c r="B986" s="16">
        <v>45333</v>
      </c>
      <c r="C986" s="15">
        <v>3803</v>
      </c>
      <c r="D986" t="s">
        <v>20</v>
      </c>
      <c r="G986" s="13">
        <v>96466</v>
      </c>
      <c r="H986" s="4">
        <f t="shared" si="16"/>
        <v>3537</v>
      </c>
    </row>
    <row r="987" spans="1:8" x14ac:dyDescent="0.35">
      <c r="A987">
        <v>65384</v>
      </c>
      <c r="B987" s="16">
        <v>45333</v>
      </c>
      <c r="C987" s="15">
        <v>3382</v>
      </c>
      <c r="D987" t="s">
        <v>21</v>
      </c>
      <c r="G987" s="13">
        <v>69175</v>
      </c>
      <c r="H987" s="4">
        <f t="shared" si="16"/>
        <v>1617</v>
      </c>
    </row>
    <row r="988" spans="1:8" x14ac:dyDescent="0.35">
      <c r="A988">
        <v>56340</v>
      </c>
      <c r="B988" s="16">
        <v>45333</v>
      </c>
      <c r="C988" s="15">
        <v>4244</v>
      </c>
      <c r="D988" t="s">
        <v>20</v>
      </c>
      <c r="G988" s="13">
        <v>68778</v>
      </c>
      <c r="H988" s="4">
        <f t="shared" si="16"/>
        <v>2838</v>
      </c>
    </row>
    <row r="989" spans="1:8" x14ac:dyDescent="0.35">
      <c r="A989">
        <v>86249</v>
      </c>
      <c r="B989" s="16">
        <v>45333</v>
      </c>
      <c r="C989" s="15">
        <v>1031</v>
      </c>
      <c r="D989" t="s">
        <v>21</v>
      </c>
      <c r="G989" s="13">
        <v>80915</v>
      </c>
      <c r="H989" s="4">
        <f t="shared" si="16"/>
        <v>1312</v>
      </c>
    </row>
    <row r="990" spans="1:8" x14ac:dyDescent="0.35">
      <c r="A990">
        <v>97058</v>
      </c>
      <c r="B990" s="16">
        <v>45333</v>
      </c>
      <c r="C990" s="15">
        <v>1270</v>
      </c>
      <c r="D990" t="s">
        <v>21</v>
      </c>
      <c r="G990" s="13">
        <v>26913</v>
      </c>
      <c r="H990" s="4">
        <f t="shared" si="16"/>
        <v>922</v>
      </c>
    </row>
    <row r="991" spans="1:8" x14ac:dyDescent="0.35">
      <c r="A991">
        <v>96466</v>
      </c>
      <c r="B991" s="16">
        <v>45333</v>
      </c>
      <c r="C991" s="15">
        <v>3537</v>
      </c>
      <c r="D991" t="s">
        <v>20</v>
      </c>
      <c r="G991" s="13">
        <v>40251</v>
      </c>
      <c r="H991" s="4">
        <f t="shared" si="16"/>
        <v>2829</v>
      </c>
    </row>
    <row r="992" spans="1:8" x14ac:dyDescent="0.35">
      <c r="A992">
        <v>69175</v>
      </c>
      <c r="B992" s="16">
        <v>45333</v>
      </c>
      <c r="C992" s="15">
        <v>1617</v>
      </c>
      <c r="D992" t="s">
        <v>20</v>
      </c>
      <c r="G992" s="13">
        <v>43692</v>
      </c>
      <c r="H992" s="4">
        <f t="shared" si="16"/>
        <v>4489</v>
      </c>
    </row>
    <row r="993" spans="1:8" x14ac:dyDescent="0.35">
      <c r="A993">
        <v>68778</v>
      </c>
      <c r="B993" s="16">
        <v>45333</v>
      </c>
      <c r="C993" s="15">
        <v>2838</v>
      </c>
      <c r="D993" t="s">
        <v>20</v>
      </c>
      <c r="G993" s="13">
        <v>84095</v>
      </c>
      <c r="H993" s="4">
        <f t="shared" si="16"/>
        <v>1232</v>
      </c>
    </row>
    <row r="994" spans="1:8" x14ac:dyDescent="0.35">
      <c r="A994">
        <v>80915</v>
      </c>
      <c r="B994" s="16">
        <v>45333</v>
      </c>
      <c r="C994" s="15">
        <v>1312</v>
      </c>
      <c r="D994" t="s">
        <v>22</v>
      </c>
      <c r="G994" s="13">
        <v>68072</v>
      </c>
      <c r="H994" s="4">
        <f t="shared" si="16"/>
        <v>4843</v>
      </c>
    </row>
    <row r="995" spans="1:8" x14ac:dyDescent="0.35">
      <c r="A995">
        <v>26913</v>
      </c>
      <c r="B995" s="16">
        <v>45333</v>
      </c>
      <c r="C995" s="15">
        <v>922</v>
      </c>
      <c r="D995" t="s">
        <v>20</v>
      </c>
      <c r="G995" s="13">
        <v>93362</v>
      </c>
      <c r="H995" s="4">
        <f t="shared" si="16"/>
        <v>4336</v>
      </c>
    </row>
    <row r="996" spans="1:8" x14ac:dyDescent="0.35">
      <c r="A996">
        <v>40251</v>
      </c>
      <c r="B996" s="16">
        <v>45333</v>
      </c>
      <c r="C996" s="15">
        <v>2829</v>
      </c>
      <c r="D996" t="s">
        <v>20</v>
      </c>
      <c r="G996" s="13">
        <v>18295</v>
      </c>
      <c r="H996" s="4">
        <f t="shared" si="16"/>
        <v>3033</v>
      </c>
    </row>
    <row r="997" spans="1:8" x14ac:dyDescent="0.35">
      <c r="A997">
        <v>43692</v>
      </c>
      <c r="B997" s="16">
        <v>45333</v>
      </c>
      <c r="C997" s="15">
        <v>4489</v>
      </c>
      <c r="D997" t="s">
        <v>20</v>
      </c>
      <c r="G997" s="13">
        <v>32671</v>
      </c>
      <c r="H997" s="4">
        <f t="shared" si="16"/>
        <v>2722</v>
      </c>
    </row>
    <row r="998" spans="1:8" x14ac:dyDescent="0.35">
      <c r="A998">
        <v>84095</v>
      </c>
      <c r="B998" s="16">
        <v>45333</v>
      </c>
      <c r="C998" s="15">
        <v>1232</v>
      </c>
      <c r="D998" t="s">
        <v>20</v>
      </c>
      <c r="G998" s="13">
        <v>25622</v>
      </c>
      <c r="H998" s="4">
        <f t="shared" si="16"/>
        <v>1342</v>
      </c>
    </row>
    <row r="999" spans="1:8" x14ac:dyDescent="0.35">
      <c r="A999">
        <v>68072</v>
      </c>
      <c r="B999" s="16">
        <v>45333</v>
      </c>
      <c r="C999" s="15">
        <v>4843</v>
      </c>
      <c r="D999" t="s">
        <v>21</v>
      </c>
      <c r="G999" s="13">
        <v>23440</v>
      </c>
      <c r="H999" s="4">
        <f t="shared" si="16"/>
        <v>3794</v>
      </c>
    </row>
    <row r="1000" spans="1:8" x14ac:dyDescent="0.35">
      <c r="A1000">
        <v>93362</v>
      </c>
      <c r="B1000" s="16">
        <v>45333</v>
      </c>
      <c r="C1000" s="15">
        <v>4336</v>
      </c>
      <c r="D1000" t="s">
        <v>20</v>
      </c>
      <c r="G1000" s="13">
        <v>18050</v>
      </c>
      <c r="H1000" s="4">
        <f t="shared" si="16"/>
        <v>2432</v>
      </c>
    </row>
    <row r="1001" spans="1:8" x14ac:dyDescent="0.35">
      <c r="A1001">
        <v>18295</v>
      </c>
      <c r="B1001" s="16">
        <v>45333</v>
      </c>
      <c r="C1001" s="15">
        <v>3033</v>
      </c>
      <c r="D1001" t="s">
        <v>22</v>
      </c>
      <c r="G1001" s="13">
        <v>80968</v>
      </c>
      <c r="H1001" s="4">
        <f t="shared" si="16"/>
        <v>302</v>
      </c>
    </row>
    <row r="1002" spans="1:8" x14ac:dyDescent="0.35">
      <c r="A1002">
        <v>32671</v>
      </c>
      <c r="B1002" s="16">
        <v>45333</v>
      </c>
      <c r="C1002" s="15">
        <v>2722</v>
      </c>
      <c r="D1002" t="s">
        <v>21</v>
      </c>
      <c r="G1002" s="13">
        <v>98934</v>
      </c>
      <c r="H1002" s="4">
        <f t="shared" si="16"/>
        <v>3220</v>
      </c>
    </row>
    <row r="1003" spans="1:8" x14ac:dyDescent="0.35">
      <c r="A1003">
        <v>25622</v>
      </c>
      <c r="B1003" s="16">
        <v>45333</v>
      </c>
      <c r="C1003" s="15">
        <v>1342</v>
      </c>
      <c r="D1003" t="s">
        <v>21</v>
      </c>
      <c r="G1003" s="13">
        <v>59023</v>
      </c>
      <c r="H1003" s="4">
        <f t="shared" si="16"/>
        <v>491</v>
      </c>
    </row>
    <row r="1004" spans="1:8" x14ac:dyDescent="0.35">
      <c r="A1004">
        <v>23440</v>
      </c>
      <c r="B1004" s="16">
        <v>45333</v>
      </c>
      <c r="C1004" s="15">
        <v>3794</v>
      </c>
      <c r="D1004" t="s">
        <v>20</v>
      </c>
      <c r="G1004" s="13">
        <v>86822</v>
      </c>
      <c r="H1004" s="4">
        <f t="shared" si="16"/>
        <v>2599</v>
      </c>
    </row>
    <row r="1005" spans="1:8" x14ac:dyDescent="0.35">
      <c r="A1005">
        <v>18050</v>
      </c>
      <c r="B1005" s="16">
        <v>45333</v>
      </c>
      <c r="C1005" s="15">
        <v>2432</v>
      </c>
      <c r="D1005" t="s">
        <v>20</v>
      </c>
      <c r="G1005" s="13">
        <v>49731</v>
      </c>
      <c r="H1005" s="4">
        <f t="shared" si="16"/>
        <v>4674</v>
      </c>
    </row>
    <row r="1006" spans="1:8" x14ac:dyDescent="0.35">
      <c r="A1006">
        <v>80968</v>
      </c>
      <c r="B1006" s="16">
        <v>45333</v>
      </c>
      <c r="C1006" s="15">
        <v>302</v>
      </c>
      <c r="D1006" t="s">
        <v>21</v>
      </c>
      <c r="G1006" s="13">
        <v>24419</v>
      </c>
      <c r="H1006" s="4">
        <f t="shared" si="16"/>
        <v>2744</v>
      </c>
    </row>
    <row r="1007" spans="1:8" x14ac:dyDescent="0.35">
      <c r="A1007">
        <v>98934</v>
      </c>
      <c r="B1007" s="16">
        <v>45333</v>
      </c>
      <c r="C1007" s="15">
        <v>3220</v>
      </c>
      <c r="D1007" t="s">
        <v>20</v>
      </c>
      <c r="G1007" s="13">
        <v>65488</v>
      </c>
      <c r="H1007" s="4">
        <f t="shared" si="16"/>
        <v>2522</v>
      </c>
    </row>
    <row r="1008" spans="1:8" x14ac:dyDescent="0.35">
      <c r="A1008">
        <v>59023</v>
      </c>
      <c r="B1008" s="16">
        <v>45333</v>
      </c>
      <c r="C1008" s="15">
        <v>491</v>
      </c>
      <c r="D1008" t="s">
        <v>21</v>
      </c>
      <c r="G1008" s="13">
        <v>51327</v>
      </c>
      <c r="H1008" s="4">
        <f t="shared" si="16"/>
        <v>274</v>
      </c>
    </row>
    <row r="1009" spans="1:8" x14ac:dyDescent="0.35">
      <c r="A1009">
        <v>86822</v>
      </c>
      <c r="B1009" s="16">
        <v>45333</v>
      </c>
      <c r="C1009" s="15">
        <v>2599</v>
      </c>
      <c r="D1009" t="s">
        <v>22</v>
      </c>
      <c r="G1009" s="13">
        <v>92891</v>
      </c>
      <c r="H1009" s="4">
        <f t="shared" si="16"/>
        <v>2260</v>
      </c>
    </row>
    <row r="1010" spans="1:8" x14ac:dyDescent="0.35">
      <c r="A1010">
        <v>49731</v>
      </c>
      <c r="B1010" s="16">
        <v>45334</v>
      </c>
      <c r="C1010" s="15">
        <v>4674</v>
      </c>
      <c r="D1010" t="s">
        <v>20</v>
      </c>
      <c r="G1010" s="13">
        <v>77161</v>
      </c>
      <c r="H1010" s="4">
        <f t="shared" si="16"/>
        <v>3291</v>
      </c>
    </row>
    <row r="1011" spans="1:8" x14ac:dyDescent="0.35">
      <c r="A1011">
        <v>24419</v>
      </c>
      <c r="B1011" s="16">
        <v>45334</v>
      </c>
      <c r="C1011" s="15">
        <v>2744</v>
      </c>
      <c r="D1011" t="s">
        <v>20</v>
      </c>
      <c r="G1011" s="13">
        <v>75395</v>
      </c>
      <c r="H1011" s="4">
        <f t="shared" si="16"/>
        <v>725</v>
      </c>
    </row>
    <row r="1012" spans="1:8" x14ac:dyDescent="0.35">
      <c r="A1012">
        <v>65488</v>
      </c>
      <c r="B1012" s="16">
        <v>45334</v>
      </c>
      <c r="C1012" s="15">
        <v>2522</v>
      </c>
      <c r="D1012" t="s">
        <v>20</v>
      </c>
      <c r="G1012" s="13">
        <v>96520</v>
      </c>
      <c r="H1012" s="4">
        <f t="shared" si="16"/>
        <v>3224</v>
      </c>
    </row>
    <row r="1013" spans="1:8" x14ac:dyDescent="0.35">
      <c r="A1013">
        <v>51327</v>
      </c>
      <c r="B1013" s="16">
        <v>45334</v>
      </c>
      <c r="C1013" s="15">
        <v>274</v>
      </c>
      <c r="D1013" t="s">
        <v>22</v>
      </c>
      <c r="G1013" s="13">
        <v>77828</v>
      </c>
      <c r="H1013" s="4">
        <f t="shared" si="16"/>
        <v>3038</v>
      </c>
    </row>
    <row r="1014" spans="1:8" x14ac:dyDescent="0.35">
      <c r="A1014">
        <v>92891</v>
      </c>
      <c r="B1014" s="16">
        <v>45334</v>
      </c>
      <c r="C1014" s="15">
        <v>2260</v>
      </c>
      <c r="D1014" t="s">
        <v>21</v>
      </c>
      <c r="G1014" s="13">
        <v>75297</v>
      </c>
      <c r="H1014" s="4">
        <f t="shared" si="16"/>
        <v>2246</v>
      </c>
    </row>
    <row r="1015" spans="1:8" x14ac:dyDescent="0.35">
      <c r="A1015">
        <v>77161</v>
      </c>
      <c r="B1015" s="16">
        <v>45334</v>
      </c>
      <c r="C1015" s="15">
        <v>3291</v>
      </c>
      <c r="D1015" t="s">
        <v>21</v>
      </c>
      <c r="G1015" s="13">
        <v>52605</v>
      </c>
      <c r="H1015" s="4">
        <f t="shared" si="16"/>
        <v>595</v>
      </c>
    </row>
    <row r="1016" spans="1:8" x14ac:dyDescent="0.35">
      <c r="A1016">
        <v>75395</v>
      </c>
      <c r="B1016" s="16">
        <v>45334</v>
      </c>
      <c r="C1016" s="15">
        <v>725</v>
      </c>
      <c r="D1016" t="s">
        <v>22</v>
      </c>
      <c r="G1016" s="13">
        <v>45816</v>
      </c>
      <c r="H1016" s="4">
        <f t="shared" si="16"/>
        <v>2349</v>
      </c>
    </row>
    <row r="1017" spans="1:8" x14ac:dyDescent="0.35">
      <c r="A1017">
        <v>96520</v>
      </c>
      <c r="B1017" s="16">
        <v>45334</v>
      </c>
      <c r="C1017" s="15">
        <v>3224</v>
      </c>
      <c r="D1017" t="s">
        <v>21</v>
      </c>
      <c r="G1017" s="13">
        <v>73828</v>
      </c>
      <c r="H1017" s="4">
        <f t="shared" si="16"/>
        <v>2748</v>
      </c>
    </row>
    <row r="1018" spans="1:8" x14ac:dyDescent="0.35">
      <c r="A1018">
        <v>77828</v>
      </c>
      <c r="B1018" s="16">
        <v>45334</v>
      </c>
      <c r="C1018" s="15">
        <v>3038</v>
      </c>
      <c r="D1018" t="s">
        <v>20</v>
      </c>
      <c r="G1018" s="13">
        <v>60601</v>
      </c>
      <c r="H1018" s="4">
        <f t="shared" si="16"/>
        <v>1896</v>
      </c>
    </row>
    <row r="1019" spans="1:8" x14ac:dyDescent="0.35">
      <c r="A1019">
        <v>75297</v>
      </c>
      <c r="B1019" s="16">
        <v>45334</v>
      </c>
      <c r="C1019" s="15">
        <v>2246</v>
      </c>
      <c r="D1019" t="s">
        <v>21</v>
      </c>
      <c r="G1019" s="13">
        <v>14492</v>
      </c>
      <c r="H1019" s="4">
        <f t="shared" si="16"/>
        <v>1252</v>
      </c>
    </row>
    <row r="1020" spans="1:8" x14ac:dyDescent="0.35">
      <c r="A1020">
        <v>52605</v>
      </c>
      <c r="B1020" s="16">
        <v>45334</v>
      </c>
      <c r="C1020" s="15">
        <v>595</v>
      </c>
      <c r="D1020" t="s">
        <v>21</v>
      </c>
      <c r="G1020" s="13">
        <v>66099</v>
      </c>
      <c r="H1020" s="4">
        <f t="shared" si="16"/>
        <v>439</v>
      </c>
    </row>
    <row r="1021" spans="1:8" x14ac:dyDescent="0.35">
      <c r="A1021">
        <v>45816</v>
      </c>
      <c r="B1021" s="16">
        <v>45334</v>
      </c>
      <c r="C1021" s="15">
        <v>2349</v>
      </c>
      <c r="D1021" t="s">
        <v>22</v>
      </c>
      <c r="G1021" s="13">
        <v>13937</v>
      </c>
      <c r="H1021" s="4">
        <f t="shared" si="16"/>
        <v>105</v>
      </c>
    </row>
    <row r="1022" spans="1:8" x14ac:dyDescent="0.35">
      <c r="A1022">
        <v>73828</v>
      </c>
      <c r="B1022" s="16">
        <v>45334</v>
      </c>
      <c r="C1022" s="15">
        <v>2748</v>
      </c>
      <c r="D1022" t="s">
        <v>21</v>
      </c>
      <c r="G1022" s="13">
        <v>64920</v>
      </c>
      <c r="H1022" s="4">
        <f t="shared" si="16"/>
        <v>2084</v>
      </c>
    </row>
    <row r="1023" spans="1:8" x14ac:dyDescent="0.35">
      <c r="A1023">
        <v>60601</v>
      </c>
      <c r="B1023" s="16">
        <v>45334</v>
      </c>
      <c r="C1023" s="15">
        <v>1896</v>
      </c>
      <c r="D1023" t="s">
        <v>22</v>
      </c>
      <c r="G1023" s="13">
        <v>17025</v>
      </c>
      <c r="H1023" s="4">
        <f t="shared" si="16"/>
        <v>3136</v>
      </c>
    </row>
    <row r="1024" spans="1:8" x14ac:dyDescent="0.35">
      <c r="A1024">
        <v>14492</v>
      </c>
      <c r="B1024" s="16">
        <v>45334</v>
      </c>
      <c r="C1024" s="15">
        <v>1252</v>
      </c>
      <c r="D1024" t="s">
        <v>21</v>
      </c>
      <c r="G1024" s="13">
        <v>44842</v>
      </c>
      <c r="H1024" s="4">
        <f t="shared" si="16"/>
        <v>3289</v>
      </c>
    </row>
    <row r="1025" spans="1:8" x14ac:dyDescent="0.35">
      <c r="A1025">
        <v>66099</v>
      </c>
      <c r="B1025" s="16">
        <v>45334</v>
      </c>
      <c r="C1025" s="15">
        <v>439</v>
      </c>
      <c r="D1025" t="s">
        <v>21</v>
      </c>
      <c r="G1025" s="13">
        <v>15219</v>
      </c>
      <c r="H1025" s="4">
        <f t="shared" si="16"/>
        <v>2552</v>
      </c>
    </row>
    <row r="1026" spans="1:8" x14ac:dyDescent="0.35">
      <c r="A1026">
        <v>13937</v>
      </c>
      <c r="B1026" s="16">
        <v>45334</v>
      </c>
      <c r="C1026" s="15">
        <v>105</v>
      </c>
      <c r="D1026" t="s">
        <v>21</v>
      </c>
      <c r="G1026" s="13">
        <v>14318</v>
      </c>
      <c r="H1026" s="4">
        <f t="shared" si="16"/>
        <v>721</v>
      </c>
    </row>
    <row r="1027" spans="1:8" x14ac:dyDescent="0.35">
      <c r="A1027">
        <v>64920</v>
      </c>
      <c r="B1027" s="16">
        <v>45334</v>
      </c>
      <c r="C1027" s="15">
        <v>2084</v>
      </c>
      <c r="D1027" t="s">
        <v>21</v>
      </c>
      <c r="G1027" s="13">
        <v>60651</v>
      </c>
      <c r="H1027" s="4">
        <f t="shared" si="16"/>
        <v>74</v>
      </c>
    </row>
    <row r="1028" spans="1:8" x14ac:dyDescent="0.35">
      <c r="A1028">
        <v>17025</v>
      </c>
      <c r="B1028" s="16">
        <v>45334</v>
      </c>
      <c r="C1028" s="15">
        <v>3136</v>
      </c>
      <c r="D1028" t="s">
        <v>21</v>
      </c>
      <c r="G1028" s="13">
        <v>80188</v>
      </c>
      <c r="H1028" s="4">
        <f t="shared" si="16"/>
        <v>960</v>
      </c>
    </row>
    <row r="1029" spans="1:8" x14ac:dyDescent="0.35">
      <c r="A1029">
        <v>44842</v>
      </c>
      <c r="B1029" s="16">
        <v>45334</v>
      </c>
      <c r="C1029" s="15">
        <v>3289</v>
      </c>
      <c r="D1029" t="s">
        <v>22</v>
      </c>
      <c r="G1029" s="13">
        <v>58312</v>
      </c>
      <c r="H1029" s="4">
        <f t="shared" si="16"/>
        <v>4940</v>
      </c>
    </row>
    <row r="1030" spans="1:8" x14ac:dyDescent="0.35">
      <c r="A1030">
        <v>15219</v>
      </c>
      <c r="B1030" s="16">
        <v>45334</v>
      </c>
      <c r="C1030" s="15">
        <v>2552</v>
      </c>
      <c r="D1030" t="s">
        <v>22</v>
      </c>
      <c r="G1030" s="13">
        <v>20346</v>
      </c>
      <c r="H1030" s="4">
        <f t="shared" ref="H1030:H1093" si="17">AVERAGEIF($A$2:$A$1501,"="&amp;G1030,$C$2:$C$1501)</f>
        <v>2330</v>
      </c>
    </row>
    <row r="1031" spans="1:8" x14ac:dyDescent="0.35">
      <c r="A1031">
        <v>14318</v>
      </c>
      <c r="B1031" s="16">
        <v>45334</v>
      </c>
      <c r="C1031" s="15">
        <v>721</v>
      </c>
      <c r="D1031" t="s">
        <v>20</v>
      </c>
      <c r="G1031" s="13">
        <v>41930</v>
      </c>
      <c r="H1031" s="4">
        <f t="shared" si="17"/>
        <v>4003</v>
      </c>
    </row>
    <row r="1032" spans="1:8" x14ac:dyDescent="0.35">
      <c r="A1032">
        <v>60651</v>
      </c>
      <c r="B1032" s="16">
        <v>45334</v>
      </c>
      <c r="C1032" s="15">
        <v>74</v>
      </c>
      <c r="D1032" t="s">
        <v>22</v>
      </c>
      <c r="G1032" s="13">
        <v>91741</v>
      </c>
      <c r="H1032" s="4">
        <f t="shared" si="17"/>
        <v>1211</v>
      </c>
    </row>
    <row r="1033" spans="1:8" x14ac:dyDescent="0.35">
      <c r="A1033">
        <v>80188</v>
      </c>
      <c r="B1033" s="16">
        <v>45334</v>
      </c>
      <c r="C1033" s="15">
        <v>960</v>
      </c>
      <c r="D1033" t="s">
        <v>22</v>
      </c>
      <c r="G1033" s="13">
        <v>19991</v>
      </c>
      <c r="H1033" s="4">
        <f t="shared" si="17"/>
        <v>2558</v>
      </c>
    </row>
    <row r="1034" spans="1:8" x14ac:dyDescent="0.35">
      <c r="A1034">
        <v>58312</v>
      </c>
      <c r="B1034" s="16">
        <v>45335</v>
      </c>
      <c r="C1034" s="15">
        <v>4940</v>
      </c>
      <c r="D1034" t="s">
        <v>22</v>
      </c>
      <c r="G1034" s="13">
        <v>86921</v>
      </c>
      <c r="H1034" s="4">
        <f t="shared" si="17"/>
        <v>576</v>
      </c>
    </row>
    <row r="1035" spans="1:8" x14ac:dyDescent="0.35">
      <c r="A1035">
        <v>20346</v>
      </c>
      <c r="B1035" s="16">
        <v>45335</v>
      </c>
      <c r="C1035" s="15">
        <v>2330</v>
      </c>
      <c r="D1035" t="s">
        <v>22</v>
      </c>
      <c r="G1035" s="13">
        <v>40988</v>
      </c>
      <c r="H1035" s="4">
        <f t="shared" si="17"/>
        <v>1292</v>
      </c>
    </row>
    <row r="1036" spans="1:8" x14ac:dyDescent="0.35">
      <c r="A1036">
        <v>41930</v>
      </c>
      <c r="B1036" s="16">
        <v>45335</v>
      </c>
      <c r="C1036" s="15">
        <v>4003</v>
      </c>
      <c r="D1036" t="s">
        <v>21</v>
      </c>
      <c r="G1036" s="13">
        <v>22459</v>
      </c>
      <c r="H1036" s="4">
        <f t="shared" si="17"/>
        <v>2565</v>
      </c>
    </row>
    <row r="1037" spans="1:8" x14ac:dyDescent="0.35">
      <c r="A1037">
        <v>91741</v>
      </c>
      <c r="B1037" s="16">
        <v>45335</v>
      </c>
      <c r="C1037" s="15">
        <v>1211</v>
      </c>
      <c r="D1037" t="s">
        <v>20</v>
      </c>
      <c r="G1037" s="13">
        <v>17895</v>
      </c>
      <c r="H1037" s="4">
        <f t="shared" si="17"/>
        <v>3856</v>
      </c>
    </row>
    <row r="1038" spans="1:8" x14ac:dyDescent="0.35">
      <c r="A1038">
        <v>19991</v>
      </c>
      <c r="B1038" s="16">
        <v>45335</v>
      </c>
      <c r="C1038" s="15">
        <v>2558</v>
      </c>
      <c r="D1038" t="s">
        <v>21</v>
      </c>
      <c r="G1038" s="13">
        <v>28629</v>
      </c>
      <c r="H1038" s="4">
        <f t="shared" si="17"/>
        <v>3984</v>
      </c>
    </row>
    <row r="1039" spans="1:8" x14ac:dyDescent="0.35">
      <c r="A1039">
        <v>86921</v>
      </c>
      <c r="B1039" s="16">
        <v>45335</v>
      </c>
      <c r="C1039" s="15">
        <v>576</v>
      </c>
      <c r="D1039" t="s">
        <v>20</v>
      </c>
      <c r="G1039" s="13">
        <v>19941</v>
      </c>
      <c r="H1039" s="4">
        <f t="shared" si="17"/>
        <v>2285</v>
      </c>
    </row>
    <row r="1040" spans="1:8" x14ac:dyDescent="0.35">
      <c r="A1040">
        <v>40988</v>
      </c>
      <c r="B1040" s="16">
        <v>45335</v>
      </c>
      <c r="C1040" s="15">
        <v>1292</v>
      </c>
      <c r="D1040" t="s">
        <v>21</v>
      </c>
      <c r="G1040" s="13">
        <v>95284</v>
      </c>
      <c r="H1040" s="4">
        <f t="shared" si="17"/>
        <v>3169</v>
      </c>
    </row>
    <row r="1041" spans="1:8" x14ac:dyDescent="0.35">
      <c r="A1041">
        <v>22459</v>
      </c>
      <c r="B1041" s="16">
        <v>45335</v>
      </c>
      <c r="C1041" s="15">
        <v>2565</v>
      </c>
      <c r="D1041" t="s">
        <v>22</v>
      </c>
      <c r="G1041" s="13">
        <v>66245</v>
      </c>
      <c r="H1041" s="4">
        <f t="shared" si="17"/>
        <v>4095</v>
      </c>
    </row>
    <row r="1042" spans="1:8" x14ac:dyDescent="0.35">
      <c r="A1042">
        <v>17895</v>
      </c>
      <c r="B1042" s="16">
        <v>45335</v>
      </c>
      <c r="C1042" s="15">
        <v>3856</v>
      </c>
      <c r="D1042" t="s">
        <v>21</v>
      </c>
      <c r="G1042" s="13">
        <v>70886</v>
      </c>
      <c r="H1042" s="4">
        <f t="shared" si="17"/>
        <v>4337</v>
      </c>
    </row>
    <row r="1043" spans="1:8" x14ac:dyDescent="0.35">
      <c r="A1043">
        <v>28629</v>
      </c>
      <c r="B1043" s="16">
        <v>45335</v>
      </c>
      <c r="C1043" s="15">
        <v>3984</v>
      </c>
      <c r="D1043" t="s">
        <v>22</v>
      </c>
      <c r="G1043" s="13">
        <v>21905</v>
      </c>
      <c r="H1043" s="4">
        <f t="shared" si="17"/>
        <v>4450</v>
      </c>
    </row>
    <row r="1044" spans="1:8" x14ac:dyDescent="0.35">
      <c r="A1044">
        <v>19941</v>
      </c>
      <c r="B1044" s="16">
        <v>45335</v>
      </c>
      <c r="C1044" s="15">
        <v>2285</v>
      </c>
      <c r="D1044" t="s">
        <v>22</v>
      </c>
      <c r="G1044" s="13">
        <v>21639</v>
      </c>
      <c r="H1044" s="4">
        <f t="shared" si="17"/>
        <v>2703</v>
      </c>
    </row>
    <row r="1045" spans="1:8" x14ac:dyDescent="0.35">
      <c r="A1045">
        <v>95284</v>
      </c>
      <c r="B1045" s="16">
        <v>45335</v>
      </c>
      <c r="C1045" s="15">
        <v>3169</v>
      </c>
      <c r="D1045" t="s">
        <v>22</v>
      </c>
      <c r="G1045" s="13">
        <v>87499</v>
      </c>
      <c r="H1045" s="4">
        <f t="shared" si="17"/>
        <v>2945</v>
      </c>
    </row>
    <row r="1046" spans="1:8" x14ac:dyDescent="0.35">
      <c r="A1046">
        <v>66245</v>
      </c>
      <c r="B1046" s="16">
        <v>45335</v>
      </c>
      <c r="C1046" s="15">
        <v>4095</v>
      </c>
      <c r="D1046" t="s">
        <v>22</v>
      </c>
      <c r="G1046" s="13">
        <v>54349</v>
      </c>
      <c r="H1046" s="4">
        <f t="shared" si="17"/>
        <v>3148</v>
      </c>
    </row>
    <row r="1047" spans="1:8" x14ac:dyDescent="0.35">
      <c r="A1047">
        <v>70886</v>
      </c>
      <c r="B1047" s="16">
        <v>45335</v>
      </c>
      <c r="C1047" s="15">
        <v>4337</v>
      </c>
      <c r="D1047" t="s">
        <v>22</v>
      </c>
      <c r="G1047" s="13">
        <v>93188</v>
      </c>
      <c r="H1047" s="4">
        <f t="shared" si="17"/>
        <v>3083</v>
      </c>
    </row>
    <row r="1048" spans="1:8" x14ac:dyDescent="0.35">
      <c r="A1048">
        <v>21905</v>
      </c>
      <c r="B1048" s="16">
        <v>45335</v>
      </c>
      <c r="C1048" s="15">
        <v>4450</v>
      </c>
      <c r="D1048" t="s">
        <v>21</v>
      </c>
      <c r="G1048" s="13">
        <v>83129</v>
      </c>
      <c r="H1048" s="4">
        <f t="shared" si="17"/>
        <v>909</v>
      </c>
    </row>
    <row r="1049" spans="1:8" x14ac:dyDescent="0.35">
      <c r="A1049">
        <v>21639</v>
      </c>
      <c r="B1049" s="16">
        <v>45335</v>
      </c>
      <c r="C1049" s="15">
        <v>2703</v>
      </c>
      <c r="D1049" t="s">
        <v>20</v>
      </c>
      <c r="G1049" s="13">
        <v>64012</v>
      </c>
      <c r="H1049" s="4">
        <f t="shared" si="17"/>
        <v>2995</v>
      </c>
    </row>
    <row r="1050" spans="1:8" x14ac:dyDescent="0.35">
      <c r="A1050">
        <v>87499</v>
      </c>
      <c r="B1050" s="16">
        <v>45335</v>
      </c>
      <c r="C1050" s="15">
        <v>2945</v>
      </c>
      <c r="D1050" t="s">
        <v>22</v>
      </c>
      <c r="G1050" s="13">
        <v>10084</v>
      </c>
      <c r="H1050" s="4">
        <f t="shared" si="17"/>
        <v>2797</v>
      </c>
    </row>
    <row r="1051" spans="1:8" x14ac:dyDescent="0.35">
      <c r="A1051">
        <v>54349</v>
      </c>
      <c r="B1051" s="16">
        <v>45335</v>
      </c>
      <c r="C1051" s="15">
        <v>3148</v>
      </c>
      <c r="D1051" t="s">
        <v>21</v>
      </c>
      <c r="G1051" s="13">
        <v>22123</v>
      </c>
      <c r="H1051" s="4">
        <f t="shared" si="17"/>
        <v>1507</v>
      </c>
    </row>
    <row r="1052" spans="1:8" x14ac:dyDescent="0.35">
      <c r="A1052">
        <v>93188</v>
      </c>
      <c r="B1052" s="16">
        <v>45335</v>
      </c>
      <c r="C1052" s="15">
        <v>3083</v>
      </c>
      <c r="D1052" t="s">
        <v>20</v>
      </c>
      <c r="G1052" s="13">
        <v>57496</v>
      </c>
      <c r="H1052" s="4">
        <f t="shared" si="17"/>
        <v>815</v>
      </c>
    </row>
    <row r="1053" spans="1:8" x14ac:dyDescent="0.35">
      <c r="A1053">
        <v>83129</v>
      </c>
      <c r="B1053" s="16">
        <v>45335</v>
      </c>
      <c r="C1053" s="15">
        <v>909</v>
      </c>
      <c r="D1053" t="s">
        <v>20</v>
      </c>
      <c r="G1053" s="13">
        <v>33751</v>
      </c>
      <c r="H1053" s="4">
        <f t="shared" si="17"/>
        <v>1764</v>
      </c>
    </row>
    <row r="1054" spans="1:8" x14ac:dyDescent="0.35">
      <c r="A1054">
        <v>64012</v>
      </c>
      <c r="B1054" s="16">
        <v>45335</v>
      </c>
      <c r="C1054" s="15">
        <v>2995</v>
      </c>
      <c r="D1054" t="s">
        <v>21</v>
      </c>
      <c r="G1054" s="13">
        <v>47153</v>
      </c>
      <c r="H1054" s="4">
        <f t="shared" si="17"/>
        <v>438</v>
      </c>
    </row>
    <row r="1055" spans="1:8" x14ac:dyDescent="0.35">
      <c r="A1055">
        <v>10084</v>
      </c>
      <c r="B1055" s="16">
        <v>45335</v>
      </c>
      <c r="C1055" s="15">
        <v>2797</v>
      </c>
      <c r="D1055" t="s">
        <v>21</v>
      </c>
      <c r="G1055" s="13">
        <v>31228</v>
      </c>
      <c r="H1055" s="4">
        <f t="shared" si="17"/>
        <v>493</v>
      </c>
    </row>
    <row r="1056" spans="1:8" x14ac:dyDescent="0.35">
      <c r="A1056">
        <v>22123</v>
      </c>
      <c r="B1056" s="16">
        <v>45335</v>
      </c>
      <c r="C1056" s="15">
        <v>1507</v>
      </c>
      <c r="D1056" t="s">
        <v>20</v>
      </c>
      <c r="G1056" s="13">
        <v>16910</v>
      </c>
      <c r="H1056" s="4">
        <f t="shared" si="17"/>
        <v>1210</v>
      </c>
    </row>
    <row r="1057" spans="1:8" x14ac:dyDescent="0.35">
      <c r="A1057">
        <v>57496</v>
      </c>
      <c r="B1057" s="16">
        <v>45335</v>
      </c>
      <c r="C1057" s="15">
        <v>815</v>
      </c>
      <c r="D1057" t="s">
        <v>20</v>
      </c>
      <c r="G1057" s="13">
        <v>68048</v>
      </c>
      <c r="H1057" s="4">
        <f t="shared" si="17"/>
        <v>3676</v>
      </c>
    </row>
    <row r="1058" spans="1:8" x14ac:dyDescent="0.35">
      <c r="A1058">
        <v>33751</v>
      </c>
      <c r="B1058" s="16">
        <v>45336</v>
      </c>
      <c r="C1058" s="15">
        <v>1764</v>
      </c>
      <c r="D1058" t="s">
        <v>22</v>
      </c>
      <c r="G1058" s="13">
        <v>86663</v>
      </c>
      <c r="H1058" s="4">
        <f t="shared" si="17"/>
        <v>1440</v>
      </c>
    </row>
    <row r="1059" spans="1:8" x14ac:dyDescent="0.35">
      <c r="A1059">
        <v>47153</v>
      </c>
      <c r="B1059" s="16">
        <v>45336</v>
      </c>
      <c r="C1059" s="15">
        <v>438</v>
      </c>
      <c r="D1059" t="s">
        <v>21</v>
      </c>
      <c r="G1059" s="13">
        <v>26996</v>
      </c>
      <c r="H1059" s="4">
        <f t="shared" si="17"/>
        <v>2656</v>
      </c>
    </row>
    <row r="1060" spans="1:8" x14ac:dyDescent="0.35">
      <c r="A1060">
        <v>31228</v>
      </c>
      <c r="B1060" s="16">
        <v>45336</v>
      </c>
      <c r="C1060" s="15">
        <v>493</v>
      </c>
      <c r="D1060" t="s">
        <v>22</v>
      </c>
      <c r="G1060" s="13">
        <v>31124</v>
      </c>
      <c r="H1060" s="4">
        <f t="shared" si="17"/>
        <v>746</v>
      </c>
    </row>
    <row r="1061" spans="1:8" x14ac:dyDescent="0.35">
      <c r="A1061">
        <v>16910</v>
      </c>
      <c r="B1061" s="16">
        <v>45336</v>
      </c>
      <c r="C1061" s="15">
        <v>1210</v>
      </c>
      <c r="D1061" t="s">
        <v>22</v>
      </c>
      <c r="G1061" s="13">
        <v>48962</v>
      </c>
      <c r="H1061" s="4">
        <f t="shared" si="17"/>
        <v>1502</v>
      </c>
    </row>
    <row r="1062" spans="1:8" x14ac:dyDescent="0.35">
      <c r="A1062">
        <v>68048</v>
      </c>
      <c r="B1062" s="16">
        <v>45336</v>
      </c>
      <c r="C1062" s="15">
        <v>3676</v>
      </c>
      <c r="D1062" t="s">
        <v>22</v>
      </c>
      <c r="G1062" s="13">
        <v>66978</v>
      </c>
      <c r="H1062" s="4">
        <f t="shared" si="17"/>
        <v>2828</v>
      </c>
    </row>
    <row r="1063" spans="1:8" x14ac:dyDescent="0.35">
      <c r="A1063">
        <v>86663</v>
      </c>
      <c r="B1063" s="16">
        <v>45336</v>
      </c>
      <c r="C1063" s="15">
        <v>1440</v>
      </c>
      <c r="D1063" t="s">
        <v>22</v>
      </c>
      <c r="G1063" s="13">
        <v>59655</v>
      </c>
      <c r="H1063" s="4">
        <f t="shared" si="17"/>
        <v>3490</v>
      </c>
    </row>
    <row r="1064" spans="1:8" x14ac:dyDescent="0.35">
      <c r="A1064">
        <v>26996</v>
      </c>
      <c r="B1064" s="16">
        <v>45336</v>
      </c>
      <c r="C1064" s="15">
        <v>2656</v>
      </c>
      <c r="D1064" t="s">
        <v>21</v>
      </c>
      <c r="G1064" s="13">
        <v>68606</v>
      </c>
      <c r="H1064" s="4">
        <f t="shared" si="17"/>
        <v>153</v>
      </c>
    </row>
    <row r="1065" spans="1:8" x14ac:dyDescent="0.35">
      <c r="A1065">
        <v>31124</v>
      </c>
      <c r="B1065" s="16">
        <v>45336</v>
      </c>
      <c r="C1065" s="15">
        <v>746</v>
      </c>
      <c r="D1065" t="s">
        <v>22</v>
      </c>
      <c r="G1065" s="13">
        <v>44847</v>
      </c>
      <c r="H1065" s="4">
        <f t="shared" si="17"/>
        <v>1882</v>
      </c>
    </row>
    <row r="1066" spans="1:8" x14ac:dyDescent="0.35">
      <c r="A1066">
        <v>48962</v>
      </c>
      <c r="B1066" s="16">
        <v>45336</v>
      </c>
      <c r="C1066" s="15">
        <v>1502</v>
      </c>
      <c r="D1066" t="s">
        <v>20</v>
      </c>
      <c r="G1066" s="13">
        <v>97860</v>
      </c>
      <c r="H1066" s="4">
        <f t="shared" si="17"/>
        <v>2386</v>
      </c>
    </row>
    <row r="1067" spans="1:8" x14ac:dyDescent="0.35">
      <c r="A1067">
        <v>66978</v>
      </c>
      <c r="B1067" s="16">
        <v>45336</v>
      </c>
      <c r="C1067" s="15">
        <v>2828</v>
      </c>
      <c r="D1067" t="s">
        <v>20</v>
      </c>
      <c r="G1067" s="13">
        <v>86544</v>
      </c>
      <c r="H1067" s="4">
        <f t="shared" si="17"/>
        <v>1009</v>
      </c>
    </row>
    <row r="1068" spans="1:8" x14ac:dyDescent="0.35">
      <c r="A1068">
        <v>59655</v>
      </c>
      <c r="B1068" s="16">
        <v>45336</v>
      </c>
      <c r="C1068" s="15">
        <v>3490</v>
      </c>
      <c r="D1068" t="s">
        <v>22</v>
      </c>
      <c r="G1068" s="13">
        <v>19271</v>
      </c>
      <c r="H1068" s="4">
        <f t="shared" si="17"/>
        <v>563</v>
      </c>
    </row>
    <row r="1069" spans="1:8" x14ac:dyDescent="0.35">
      <c r="A1069">
        <v>68606</v>
      </c>
      <c r="B1069" s="16">
        <v>45336</v>
      </c>
      <c r="C1069" s="15">
        <v>153</v>
      </c>
      <c r="D1069" t="s">
        <v>22</v>
      </c>
      <c r="G1069" s="13">
        <v>53367</v>
      </c>
      <c r="H1069" s="4">
        <f t="shared" si="17"/>
        <v>4866</v>
      </c>
    </row>
    <row r="1070" spans="1:8" x14ac:dyDescent="0.35">
      <c r="A1070">
        <v>44847</v>
      </c>
      <c r="B1070" s="16">
        <v>45336</v>
      </c>
      <c r="C1070" s="15">
        <v>1882</v>
      </c>
      <c r="D1070" t="s">
        <v>22</v>
      </c>
      <c r="G1070" s="13">
        <v>72556</v>
      </c>
      <c r="H1070" s="4">
        <f t="shared" si="17"/>
        <v>1738</v>
      </c>
    </row>
    <row r="1071" spans="1:8" x14ac:dyDescent="0.35">
      <c r="A1071">
        <v>97860</v>
      </c>
      <c r="B1071" s="16">
        <v>45336</v>
      </c>
      <c r="C1071" s="15">
        <v>2386</v>
      </c>
      <c r="D1071" t="s">
        <v>20</v>
      </c>
      <c r="G1071" s="13">
        <v>51972</v>
      </c>
      <c r="H1071" s="4">
        <f t="shared" si="17"/>
        <v>3553</v>
      </c>
    </row>
    <row r="1072" spans="1:8" x14ac:dyDescent="0.35">
      <c r="A1072">
        <v>86544</v>
      </c>
      <c r="B1072" s="16">
        <v>45336</v>
      </c>
      <c r="C1072" s="15">
        <v>1009</v>
      </c>
      <c r="D1072" t="s">
        <v>22</v>
      </c>
      <c r="G1072" s="13">
        <v>19845</v>
      </c>
      <c r="H1072" s="4">
        <f t="shared" si="17"/>
        <v>1127</v>
      </c>
    </row>
    <row r="1073" spans="1:8" x14ac:dyDescent="0.35">
      <c r="A1073">
        <v>19271</v>
      </c>
      <c r="B1073" s="16">
        <v>45336</v>
      </c>
      <c r="C1073" s="15">
        <v>563</v>
      </c>
      <c r="D1073" t="s">
        <v>22</v>
      </c>
      <c r="G1073" s="13">
        <v>88058</v>
      </c>
      <c r="H1073" s="4">
        <f t="shared" si="17"/>
        <v>1969</v>
      </c>
    </row>
    <row r="1074" spans="1:8" x14ac:dyDescent="0.35">
      <c r="A1074">
        <v>53367</v>
      </c>
      <c r="B1074" s="16">
        <v>45336</v>
      </c>
      <c r="C1074" s="15">
        <v>4866</v>
      </c>
      <c r="D1074" t="s">
        <v>20</v>
      </c>
      <c r="G1074" s="13">
        <v>25118</v>
      </c>
      <c r="H1074" s="4">
        <f t="shared" si="17"/>
        <v>1795</v>
      </c>
    </row>
    <row r="1075" spans="1:8" x14ac:dyDescent="0.35">
      <c r="A1075">
        <v>72556</v>
      </c>
      <c r="B1075" s="16">
        <v>45336</v>
      </c>
      <c r="C1075" s="15">
        <v>1738</v>
      </c>
      <c r="D1075" t="s">
        <v>21</v>
      </c>
      <c r="G1075" s="13">
        <v>96960</v>
      </c>
      <c r="H1075" s="4">
        <f t="shared" si="17"/>
        <v>2951</v>
      </c>
    </row>
    <row r="1076" spans="1:8" x14ac:dyDescent="0.35">
      <c r="A1076">
        <v>51972</v>
      </c>
      <c r="B1076" s="16">
        <v>45336</v>
      </c>
      <c r="C1076" s="15">
        <v>3553</v>
      </c>
      <c r="D1076" t="s">
        <v>20</v>
      </c>
      <c r="G1076" s="13">
        <v>88664</v>
      </c>
      <c r="H1076" s="4">
        <f t="shared" si="17"/>
        <v>2839</v>
      </c>
    </row>
    <row r="1077" spans="1:8" x14ac:dyDescent="0.35">
      <c r="A1077">
        <v>19845</v>
      </c>
      <c r="B1077" s="16">
        <v>45336</v>
      </c>
      <c r="C1077" s="15">
        <v>1127</v>
      </c>
      <c r="D1077" t="s">
        <v>21</v>
      </c>
      <c r="G1077" s="13">
        <v>60413</v>
      </c>
      <c r="H1077" s="4">
        <f t="shared" si="17"/>
        <v>3433</v>
      </c>
    </row>
    <row r="1078" spans="1:8" x14ac:dyDescent="0.35">
      <c r="A1078">
        <v>88058</v>
      </c>
      <c r="B1078" s="16">
        <v>45336</v>
      </c>
      <c r="C1078" s="15">
        <v>1969</v>
      </c>
      <c r="D1078" t="s">
        <v>22</v>
      </c>
      <c r="G1078" s="13">
        <v>76268</v>
      </c>
      <c r="H1078" s="4">
        <f t="shared" si="17"/>
        <v>3424</v>
      </c>
    </row>
    <row r="1079" spans="1:8" x14ac:dyDescent="0.35">
      <c r="A1079">
        <v>25118</v>
      </c>
      <c r="B1079" s="16">
        <v>45336</v>
      </c>
      <c r="C1079" s="15">
        <v>1795</v>
      </c>
      <c r="D1079" t="s">
        <v>21</v>
      </c>
      <c r="G1079" s="13">
        <v>41958</v>
      </c>
      <c r="H1079" s="4">
        <f t="shared" si="17"/>
        <v>4590</v>
      </c>
    </row>
    <row r="1080" spans="1:8" x14ac:dyDescent="0.35">
      <c r="A1080">
        <v>67184</v>
      </c>
      <c r="B1080" s="16">
        <v>45336</v>
      </c>
      <c r="C1080" s="15">
        <v>3562</v>
      </c>
      <c r="D1080" t="s">
        <v>21</v>
      </c>
      <c r="G1080" s="13">
        <v>31927</v>
      </c>
      <c r="H1080" s="4">
        <f t="shared" si="17"/>
        <v>934</v>
      </c>
    </row>
    <row r="1081" spans="1:8" x14ac:dyDescent="0.35">
      <c r="A1081">
        <v>96960</v>
      </c>
      <c r="B1081" s="16">
        <v>45336</v>
      </c>
      <c r="C1081" s="15">
        <v>2951</v>
      </c>
      <c r="D1081" t="s">
        <v>22</v>
      </c>
      <c r="G1081" s="13">
        <v>14674</v>
      </c>
      <c r="H1081" s="4">
        <f t="shared" si="17"/>
        <v>2539</v>
      </c>
    </row>
    <row r="1082" spans="1:8" x14ac:dyDescent="0.35">
      <c r="A1082">
        <v>88664</v>
      </c>
      <c r="B1082" s="16">
        <v>45337</v>
      </c>
      <c r="C1082" s="15">
        <v>2839</v>
      </c>
      <c r="D1082" t="s">
        <v>22</v>
      </c>
      <c r="G1082" s="13">
        <v>16573</v>
      </c>
      <c r="H1082" s="4">
        <f t="shared" si="17"/>
        <v>4611</v>
      </c>
    </row>
    <row r="1083" spans="1:8" x14ac:dyDescent="0.35">
      <c r="A1083">
        <v>60413</v>
      </c>
      <c r="B1083" s="16">
        <v>45337</v>
      </c>
      <c r="C1083" s="15">
        <v>3433</v>
      </c>
      <c r="D1083" t="s">
        <v>22</v>
      </c>
      <c r="G1083" s="13">
        <v>12984</v>
      </c>
      <c r="H1083" s="4">
        <f t="shared" si="17"/>
        <v>4835</v>
      </c>
    </row>
    <row r="1084" spans="1:8" x14ac:dyDescent="0.35">
      <c r="A1084">
        <v>76268</v>
      </c>
      <c r="B1084" s="16">
        <v>45337</v>
      </c>
      <c r="C1084" s="15">
        <v>3424</v>
      </c>
      <c r="D1084" t="s">
        <v>21</v>
      </c>
      <c r="G1084" s="13">
        <v>68546</v>
      </c>
      <c r="H1084" s="4">
        <f t="shared" si="17"/>
        <v>1443</v>
      </c>
    </row>
    <row r="1085" spans="1:8" x14ac:dyDescent="0.35">
      <c r="A1085">
        <v>41958</v>
      </c>
      <c r="B1085" s="16">
        <v>45337</v>
      </c>
      <c r="C1085" s="15">
        <v>4590</v>
      </c>
      <c r="D1085" t="s">
        <v>21</v>
      </c>
      <c r="G1085" s="13">
        <v>45292</v>
      </c>
      <c r="H1085" s="4">
        <f t="shared" si="17"/>
        <v>212</v>
      </c>
    </row>
    <row r="1086" spans="1:8" x14ac:dyDescent="0.35">
      <c r="A1086">
        <v>31927</v>
      </c>
      <c r="B1086" s="16">
        <v>45337</v>
      </c>
      <c r="C1086" s="15">
        <v>934</v>
      </c>
      <c r="D1086" t="s">
        <v>22</v>
      </c>
      <c r="G1086" s="13">
        <v>98023</v>
      </c>
      <c r="H1086" s="4">
        <f t="shared" si="17"/>
        <v>2752</v>
      </c>
    </row>
    <row r="1087" spans="1:8" x14ac:dyDescent="0.35">
      <c r="A1087">
        <v>14674</v>
      </c>
      <c r="B1087" s="16">
        <v>45337</v>
      </c>
      <c r="C1087" s="15">
        <v>2539</v>
      </c>
      <c r="D1087" t="s">
        <v>20</v>
      </c>
      <c r="G1087" s="13">
        <v>67108</v>
      </c>
      <c r="H1087" s="4">
        <f t="shared" si="17"/>
        <v>2742</v>
      </c>
    </row>
    <row r="1088" spans="1:8" x14ac:dyDescent="0.35">
      <c r="A1088">
        <v>16573</v>
      </c>
      <c r="B1088" s="16">
        <v>45337</v>
      </c>
      <c r="C1088" s="15">
        <v>4611</v>
      </c>
      <c r="D1088" t="s">
        <v>20</v>
      </c>
      <c r="G1088" s="13">
        <v>72680</v>
      </c>
      <c r="H1088" s="4">
        <f t="shared" si="17"/>
        <v>4134</v>
      </c>
    </row>
    <row r="1089" spans="1:8" x14ac:dyDescent="0.35">
      <c r="A1089">
        <v>12984</v>
      </c>
      <c r="B1089" s="16">
        <v>45337</v>
      </c>
      <c r="C1089" s="15">
        <v>4835</v>
      </c>
      <c r="D1089" t="s">
        <v>22</v>
      </c>
      <c r="G1089" s="13">
        <v>56115</v>
      </c>
      <c r="H1089" s="4">
        <f t="shared" si="17"/>
        <v>4401</v>
      </c>
    </row>
    <row r="1090" spans="1:8" x14ac:dyDescent="0.35">
      <c r="A1090">
        <v>68546</v>
      </c>
      <c r="B1090" s="16">
        <v>45337</v>
      </c>
      <c r="C1090" s="15">
        <v>1443</v>
      </c>
      <c r="D1090" t="s">
        <v>22</v>
      </c>
      <c r="G1090" s="13">
        <v>23063</v>
      </c>
      <c r="H1090" s="4">
        <f t="shared" si="17"/>
        <v>4473</v>
      </c>
    </row>
    <row r="1091" spans="1:8" x14ac:dyDescent="0.35">
      <c r="A1091">
        <v>45292</v>
      </c>
      <c r="B1091" s="16">
        <v>45337</v>
      </c>
      <c r="C1091" s="15">
        <v>212</v>
      </c>
      <c r="D1091" t="s">
        <v>21</v>
      </c>
      <c r="G1091" s="13">
        <v>29635</v>
      </c>
      <c r="H1091" s="4">
        <f t="shared" si="17"/>
        <v>1959</v>
      </c>
    </row>
    <row r="1092" spans="1:8" x14ac:dyDescent="0.35">
      <c r="A1092">
        <v>98023</v>
      </c>
      <c r="B1092" s="16">
        <v>45337</v>
      </c>
      <c r="C1092" s="15">
        <v>2752</v>
      </c>
      <c r="D1092" t="s">
        <v>20</v>
      </c>
      <c r="G1092" s="13">
        <v>47161</v>
      </c>
      <c r="H1092" s="4">
        <f t="shared" si="17"/>
        <v>824</v>
      </c>
    </row>
    <row r="1093" spans="1:8" x14ac:dyDescent="0.35">
      <c r="A1093">
        <v>67108</v>
      </c>
      <c r="B1093" s="16">
        <v>45337</v>
      </c>
      <c r="C1093" s="15">
        <v>2742</v>
      </c>
      <c r="D1093" t="s">
        <v>22</v>
      </c>
      <c r="G1093" s="13">
        <v>15407</v>
      </c>
      <c r="H1093" s="4">
        <f t="shared" si="17"/>
        <v>1277</v>
      </c>
    </row>
    <row r="1094" spans="1:8" x14ac:dyDescent="0.35">
      <c r="A1094">
        <v>72680</v>
      </c>
      <c r="B1094" s="16">
        <v>45337</v>
      </c>
      <c r="C1094" s="15">
        <v>4134</v>
      </c>
      <c r="D1094" t="s">
        <v>20</v>
      </c>
      <c r="G1094" s="13">
        <v>22832</v>
      </c>
      <c r="H1094" s="4">
        <f t="shared" ref="H1094:H1157" si="18">AVERAGEIF($A$2:$A$1501,"="&amp;G1094,$C$2:$C$1501)</f>
        <v>3020</v>
      </c>
    </row>
    <row r="1095" spans="1:8" x14ac:dyDescent="0.35">
      <c r="A1095">
        <v>56115</v>
      </c>
      <c r="B1095" s="16">
        <v>45337</v>
      </c>
      <c r="C1095" s="15">
        <v>4401</v>
      </c>
      <c r="D1095" t="s">
        <v>22</v>
      </c>
      <c r="G1095" s="13">
        <v>11084</v>
      </c>
      <c r="H1095" s="4">
        <f t="shared" si="18"/>
        <v>3173</v>
      </c>
    </row>
    <row r="1096" spans="1:8" x14ac:dyDescent="0.35">
      <c r="A1096">
        <v>23063</v>
      </c>
      <c r="B1096" s="16">
        <v>45337</v>
      </c>
      <c r="C1096" s="15">
        <v>4473</v>
      </c>
      <c r="D1096" t="s">
        <v>20</v>
      </c>
      <c r="G1096" s="13">
        <v>68709</v>
      </c>
      <c r="H1096" s="4">
        <f t="shared" si="18"/>
        <v>3559</v>
      </c>
    </row>
    <row r="1097" spans="1:8" x14ac:dyDescent="0.35">
      <c r="A1097">
        <v>29635</v>
      </c>
      <c r="B1097" s="16">
        <v>45337</v>
      </c>
      <c r="C1097" s="15">
        <v>1959</v>
      </c>
      <c r="D1097" t="s">
        <v>20</v>
      </c>
      <c r="G1097" s="13">
        <v>53939</v>
      </c>
      <c r="H1097" s="4">
        <f t="shared" si="18"/>
        <v>3747</v>
      </c>
    </row>
    <row r="1098" spans="1:8" x14ac:dyDescent="0.35">
      <c r="A1098">
        <v>47161</v>
      </c>
      <c r="B1098" s="16">
        <v>45337</v>
      </c>
      <c r="C1098" s="15">
        <v>824</v>
      </c>
      <c r="D1098" t="s">
        <v>22</v>
      </c>
      <c r="G1098" s="13">
        <v>58748</v>
      </c>
      <c r="H1098" s="4">
        <f t="shared" si="18"/>
        <v>2030</v>
      </c>
    </row>
    <row r="1099" spans="1:8" x14ac:dyDescent="0.35">
      <c r="A1099">
        <v>15407</v>
      </c>
      <c r="B1099" s="16">
        <v>45337</v>
      </c>
      <c r="C1099" s="15">
        <v>1277</v>
      </c>
      <c r="D1099" t="s">
        <v>22</v>
      </c>
      <c r="G1099" s="13">
        <v>83788</v>
      </c>
      <c r="H1099" s="4">
        <f t="shared" si="18"/>
        <v>1717</v>
      </c>
    </row>
    <row r="1100" spans="1:8" x14ac:dyDescent="0.35">
      <c r="A1100">
        <v>22832</v>
      </c>
      <c r="B1100" s="16">
        <v>45337</v>
      </c>
      <c r="C1100" s="15">
        <v>3020</v>
      </c>
      <c r="D1100" t="s">
        <v>22</v>
      </c>
      <c r="G1100" s="13">
        <v>31688</v>
      </c>
      <c r="H1100" s="4">
        <f t="shared" si="18"/>
        <v>645</v>
      </c>
    </row>
    <row r="1101" spans="1:8" x14ac:dyDescent="0.35">
      <c r="A1101">
        <v>11084</v>
      </c>
      <c r="B1101" s="16">
        <v>45337</v>
      </c>
      <c r="C1101" s="15">
        <v>3173</v>
      </c>
      <c r="D1101" t="s">
        <v>21</v>
      </c>
      <c r="G1101" s="13">
        <v>18118</v>
      </c>
      <c r="H1101" s="4">
        <f t="shared" si="18"/>
        <v>2522</v>
      </c>
    </row>
    <row r="1102" spans="1:8" x14ac:dyDescent="0.35">
      <c r="A1102">
        <v>68709</v>
      </c>
      <c r="B1102" s="16">
        <v>45337</v>
      </c>
      <c r="C1102" s="15">
        <v>3559</v>
      </c>
      <c r="D1102" t="s">
        <v>20</v>
      </c>
      <c r="G1102" s="13">
        <v>81778</v>
      </c>
      <c r="H1102" s="4">
        <f t="shared" si="18"/>
        <v>3709</v>
      </c>
    </row>
    <row r="1103" spans="1:8" x14ac:dyDescent="0.35">
      <c r="A1103">
        <v>53939</v>
      </c>
      <c r="B1103" s="16">
        <v>45337</v>
      </c>
      <c r="C1103" s="15">
        <v>3747</v>
      </c>
      <c r="D1103" t="s">
        <v>22</v>
      </c>
      <c r="G1103" s="13">
        <v>41873</v>
      </c>
      <c r="H1103" s="4">
        <f t="shared" si="18"/>
        <v>3585</v>
      </c>
    </row>
    <row r="1104" spans="1:8" x14ac:dyDescent="0.35">
      <c r="A1104">
        <v>58748</v>
      </c>
      <c r="B1104" s="16">
        <v>45337</v>
      </c>
      <c r="C1104" s="15">
        <v>2030</v>
      </c>
      <c r="D1104" t="s">
        <v>21</v>
      </c>
      <c r="G1104" s="13">
        <v>71975</v>
      </c>
      <c r="H1104" s="4">
        <f t="shared" si="18"/>
        <v>1513</v>
      </c>
    </row>
    <row r="1105" spans="1:8" x14ac:dyDescent="0.35">
      <c r="A1105">
        <v>83788</v>
      </c>
      <c r="B1105" s="16">
        <v>45337</v>
      </c>
      <c r="C1105" s="15">
        <v>1717</v>
      </c>
      <c r="D1105" t="s">
        <v>20</v>
      </c>
      <c r="G1105" s="13">
        <v>96340</v>
      </c>
      <c r="H1105" s="4">
        <f t="shared" si="18"/>
        <v>4433</v>
      </c>
    </row>
    <row r="1106" spans="1:8" x14ac:dyDescent="0.35">
      <c r="A1106">
        <v>31688</v>
      </c>
      <c r="B1106" s="16">
        <v>45338</v>
      </c>
      <c r="C1106" s="15">
        <v>645</v>
      </c>
      <c r="D1106" t="s">
        <v>21</v>
      </c>
      <c r="G1106" s="13">
        <v>49357</v>
      </c>
      <c r="H1106" s="4">
        <f t="shared" si="18"/>
        <v>1348</v>
      </c>
    </row>
    <row r="1107" spans="1:8" x14ac:dyDescent="0.35">
      <c r="A1107">
        <v>18118</v>
      </c>
      <c r="B1107" s="16">
        <v>45338</v>
      </c>
      <c r="C1107" s="15">
        <v>2522</v>
      </c>
      <c r="D1107" t="s">
        <v>22</v>
      </c>
      <c r="G1107" s="13">
        <v>93584</v>
      </c>
      <c r="H1107" s="4">
        <f t="shared" si="18"/>
        <v>4098</v>
      </c>
    </row>
    <row r="1108" spans="1:8" x14ac:dyDescent="0.35">
      <c r="A1108">
        <v>81778</v>
      </c>
      <c r="B1108" s="16">
        <v>45338</v>
      </c>
      <c r="C1108" s="15">
        <v>3709</v>
      </c>
      <c r="D1108" t="s">
        <v>21</v>
      </c>
      <c r="G1108" s="13">
        <v>65485</v>
      </c>
      <c r="H1108" s="4">
        <f t="shared" si="18"/>
        <v>1011</v>
      </c>
    </row>
    <row r="1109" spans="1:8" x14ac:dyDescent="0.35">
      <c r="A1109">
        <v>41873</v>
      </c>
      <c r="B1109" s="16">
        <v>45338</v>
      </c>
      <c r="C1109" s="15">
        <v>3585</v>
      </c>
      <c r="D1109" t="s">
        <v>20</v>
      </c>
      <c r="G1109" s="13">
        <v>58198</v>
      </c>
      <c r="H1109" s="4">
        <f t="shared" si="18"/>
        <v>577</v>
      </c>
    </row>
    <row r="1110" spans="1:8" x14ac:dyDescent="0.35">
      <c r="A1110">
        <v>71975</v>
      </c>
      <c r="B1110" s="16">
        <v>45338</v>
      </c>
      <c r="C1110" s="15">
        <v>1513</v>
      </c>
      <c r="D1110" t="s">
        <v>21</v>
      </c>
      <c r="G1110" s="13">
        <v>76129</v>
      </c>
      <c r="H1110" s="4">
        <f t="shared" si="18"/>
        <v>1708</v>
      </c>
    </row>
    <row r="1111" spans="1:8" x14ac:dyDescent="0.35">
      <c r="A1111">
        <v>96340</v>
      </c>
      <c r="B1111" s="16">
        <v>45338</v>
      </c>
      <c r="C1111" s="15">
        <v>4433</v>
      </c>
      <c r="D1111" t="s">
        <v>21</v>
      </c>
      <c r="G1111" s="13">
        <v>43609</v>
      </c>
      <c r="H1111" s="4">
        <f t="shared" si="18"/>
        <v>4011</v>
      </c>
    </row>
    <row r="1112" spans="1:8" x14ac:dyDescent="0.35">
      <c r="A1112">
        <v>49357</v>
      </c>
      <c r="B1112" s="16">
        <v>45338</v>
      </c>
      <c r="C1112" s="15">
        <v>1348</v>
      </c>
      <c r="D1112" t="s">
        <v>20</v>
      </c>
      <c r="G1112" s="13">
        <v>65027</v>
      </c>
      <c r="H1112" s="4">
        <f t="shared" si="18"/>
        <v>3509</v>
      </c>
    </row>
    <row r="1113" spans="1:8" x14ac:dyDescent="0.35">
      <c r="A1113">
        <v>93584</v>
      </c>
      <c r="B1113" s="16">
        <v>45338</v>
      </c>
      <c r="C1113" s="15">
        <v>4098</v>
      </c>
      <c r="D1113" t="s">
        <v>22</v>
      </c>
      <c r="G1113" s="13">
        <v>49239</v>
      </c>
      <c r="H1113" s="4">
        <f t="shared" si="18"/>
        <v>4875</v>
      </c>
    </row>
    <row r="1114" spans="1:8" x14ac:dyDescent="0.35">
      <c r="A1114">
        <v>65485</v>
      </c>
      <c r="B1114" s="16">
        <v>45338</v>
      </c>
      <c r="C1114" s="15">
        <v>1011</v>
      </c>
      <c r="D1114" t="s">
        <v>21</v>
      </c>
      <c r="G1114" s="13">
        <v>84071</v>
      </c>
      <c r="H1114" s="4">
        <f t="shared" si="18"/>
        <v>3764</v>
      </c>
    </row>
    <row r="1115" spans="1:8" x14ac:dyDescent="0.35">
      <c r="A1115">
        <v>58198</v>
      </c>
      <c r="B1115" s="16">
        <v>45338</v>
      </c>
      <c r="C1115" s="15">
        <v>577</v>
      </c>
      <c r="D1115" t="s">
        <v>22</v>
      </c>
      <c r="G1115" s="13">
        <v>65756</v>
      </c>
      <c r="H1115" s="4">
        <f t="shared" si="18"/>
        <v>4607</v>
      </c>
    </row>
    <row r="1116" spans="1:8" x14ac:dyDescent="0.35">
      <c r="A1116">
        <v>76129</v>
      </c>
      <c r="B1116" s="16">
        <v>45338</v>
      </c>
      <c r="C1116" s="15">
        <v>1708</v>
      </c>
      <c r="D1116" t="s">
        <v>22</v>
      </c>
      <c r="G1116" s="13">
        <v>33823</v>
      </c>
      <c r="H1116" s="4">
        <f t="shared" si="18"/>
        <v>1397</v>
      </c>
    </row>
    <row r="1117" spans="1:8" x14ac:dyDescent="0.35">
      <c r="A1117">
        <v>43609</v>
      </c>
      <c r="B1117" s="16">
        <v>45338</v>
      </c>
      <c r="C1117" s="15">
        <v>4011</v>
      </c>
      <c r="D1117" t="s">
        <v>21</v>
      </c>
      <c r="G1117" s="13">
        <v>97954</v>
      </c>
      <c r="H1117" s="4">
        <f t="shared" si="18"/>
        <v>781</v>
      </c>
    </row>
    <row r="1118" spans="1:8" x14ac:dyDescent="0.35">
      <c r="A1118">
        <v>65027</v>
      </c>
      <c r="B1118" s="16">
        <v>45338</v>
      </c>
      <c r="C1118" s="15">
        <v>3509</v>
      </c>
      <c r="D1118" t="s">
        <v>21</v>
      </c>
      <c r="G1118" s="13">
        <v>82263</v>
      </c>
      <c r="H1118" s="4">
        <f t="shared" si="18"/>
        <v>2916</v>
      </c>
    </row>
    <row r="1119" spans="1:8" x14ac:dyDescent="0.35">
      <c r="A1119">
        <v>49239</v>
      </c>
      <c r="B1119" s="16">
        <v>45338</v>
      </c>
      <c r="C1119" s="15">
        <v>4875</v>
      </c>
      <c r="D1119" t="s">
        <v>22</v>
      </c>
      <c r="G1119" s="13">
        <v>48939</v>
      </c>
      <c r="H1119" s="4">
        <f t="shared" si="18"/>
        <v>439</v>
      </c>
    </row>
    <row r="1120" spans="1:8" x14ac:dyDescent="0.35">
      <c r="A1120">
        <v>84071</v>
      </c>
      <c r="B1120" s="16">
        <v>45338</v>
      </c>
      <c r="C1120" s="15">
        <v>3764</v>
      </c>
      <c r="D1120" t="s">
        <v>22</v>
      </c>
      <c r="G1120" s="13">
        <v>20048</v>
      </c>
      <c r="H1120" s="4">
        <f t="shared" si="18"/>
        <v>4651</v>
      </c>
    </row>
    <row r="1121" spans="1:8" x14ac:dyDescent="0.35">
      <c r="A1121">
        <v>65756</v>
      </c>
      <c r="B1121" s="16">
        <v>45338</v>
      </c>
      <c r="C1121" s="15">
        <v>4607</v>
      </c>
      <c r="D1121" t="s">
        <v>21</v>
      </c>
      <c r="G1121" s="13">
        <v>68768</v>
      </c>
      <c r="H1121" s="4">
        <f t="shared" si="18"/>
        <v>202</v>
      </c>
    </row>
    <row r="1122" spans="1:8" x14ac:dyDescent="0.35">
      <c r="A1122">
        <v>33823</v>
      </c>
      <c r="B1122" s="16">
        <v>45338</v>
      </c>
      <c r="C1122" s="15">
        <v>1397</v>
      </c>
      <c r="D1122" t="s">
        <v>20</v>
      </c>
      <c r="G1122" s="13">
        <v>15495</v>
      </c>
      <c r="H1122" s="4">
        <f t="shared" si="18"/>
        <v>2689</v>
      </c>
    </row>
    <row r="1123" spans="1:8" x14ac:dyDescent="0.35">
      <c r="A1123">
        <v>97954</v>
      </c>
      <c r="B1123" s="16">
        <v>45338</v>
      </c>
      <c r="C1123" s="15">
        <v>781</v>
      </c>
      <c r="D1123" t="s">
        <v>22</v>
      </c>
      <c r="G1123" s="13">
        <v>54243</v>
      </c>
      <c r="H1123" s="4">
        <f t="shared" si="18"/>
        <v>4395</v>
      </c>
    </row>
    <row r="1124" spans="1:8" x14ac:dyDescent="0.35">
      <c r="A1124">
        <v>82263</v>
      </c>
      <c r="B1124" s="16">
        <v>45338</v>
      </c>
      <c r="C1124" s="15">
        <v>2916</v>
      </c>
      <c r="D1124" t="s">
        <v>20</v>
      </c>
      <c r="G1124" s="13">
        <v>51490</v>
      </c>
      <c r="H1124" s="4">
        <f t="shared" si="18"/>
        <v>2093</v>
      </c>
    </row>
    <row r="1125" spans="1:8" x14ac:dyDescent="0.35">
      <c r="A1125">
        <v>48939</v>
      </c>
      <c r="B1125" s="16">
        <v>45338</v>
      </c>
      <c r="C1125" s="15">
        <v>439</v>
      </c>
      <c r="D1125" t="s">
        <v>20</v>
      </c>
      <c r="G1125" s="13">
        <v>75758</v>
      </c>
      <c r="H1125" s="4">
        <f t="shared" si="18"/>
        <v>2310</v>
      </c>
    </row>
    <row r="1126" spans="1:8" x14ac:dyDescent="0.35">
      <c r="A1126">
        <v>20048</v>
      </c>
      <c r="B1126" s="16">
        <v>45338</v>
      </c>
      <c r="C1126" s="15">
        <v>4651</v>
      </c>
      <c r="D1126" t="s">
        <v>22</v>
      </c>
      <c r="G1126" s="13">
        <v>47529</v>
      </c>
      <c r="H1126" s="4">
        <f t="shared" si="18"/>
        <v>1753</v>
      </c>
    </row>
    <row r="1127" spans="1:8" x14ac:dyDescent="0.35">
      <c r="A1127">
        <v>68768</v>
      </c>
      <c r="B1127" s="16">
        <v>45338</v>
      </c>
      <c r="C1127" s="15">
        <v>202</v>
      </c>
      <c r="D1127" t="s">
        <v>22</v>
      </c>
      <c r="G1127" s="13">
        <v>33396</v>
      </c>
      <c r="H1127" s="4">
        <f t="shared" si="18"/>
        <v>2645</v>
      </c>
    </row>
    <row r="1128" spans="1:8" x14ac:dyDescent="0.35">
      <c r="A1128">
        <v>15495</v>
      </c>
      <c r="B1128" s="16">
        <v>45338</v>
      </c>
      <c r="C1128" s="15">
        <v>2689</v>
      </c>
      <c r="D1128" t="s">
        <v>20</v>
      </c>
      <c r="G1128" s="13">
        <v>73464</v>
      </c>
      <c r="H1128" s="4">
        <f t="shared" si="18"/>
        <v>3241</v>
      </c>
    </row>
    <row r="1129" spans="1:8" x14ac:dyDescent="0.35">
      <c r="A1129">
        <v>54243</v>
      </c>
      <c r="B1129" s="16">
        <v>45338</v>
      </c>
      <c r="C1129" s="15">
        <v>4395</v>
      </c>
      <c r="D1129" t="s">
        <v>20</v>
      </c>
      <c r="G1129" s="13">
        <v>27503</v>
      </c>
      <c r="H1129" s="4">
        <f t="shared" si="18"/>
        <v>1751</v>
      </c>
    </row>
    <row r="1130" spans="1:8" x14ac:dyDescent="0.35">
      <c r="A1130">
        <v>51490</v>
      </c>
      <c r="B1130" s="16">
        <v>45339</v>
      </c>
      <c r="C1130" s="15">
        <v>2093</v>
      </c>
      <c r="D1130" t="s">
        <v>22</v>
      </c>
      <c r="G1130" s="13">
        <v>78684</v>
      </c>
      <c r="H1130" s="4">
        <f t="shared" si="18"/>
        <v>1091</v>
      </c>
    </row>
    <row r="1131" spans="1:8" x14ac:dyDescent="0.35">
      <c r="A1131">
        <v>75758</v>
      </c>
      <c r="B1131" s="16">
        <v>45339</v>
      </c>
      <c r="C1131" s="15">
        <v>2310</v>
      </c>
      <c r="D1131" t="s">
        <v>22</v>
      </c>
      <c r="G1131" s="13">
        <v>43561</v>
      </c>
      <c r="H1131" s="4">
        <f t="shared" si="18"/>
        <v>4497</v>
      </c>
    </row>
    <row r="1132" spans="1:8" x14ac:dyDescent="0.35">
      <c r="A1132">
        <v>47529</v>
      </c>
      <c r="B1132" s="16">
        <v>45339</v>
      </c>
      <c r="C1132" s="15">
        <v>1753</v>
      </c>
      <c r="D1132" t="s">
        <v>20</v>
      </c>
      <c r="G1132" s="13">
        <v>10526</v>
      </c>
      <c r="H1132" s="4">
        <f t="shared" si="18"/>
        <v>576</v>
      </c>
    </row>
    <row r="1133" spans="1:8" x14ac:dyDescent="0.35">
      <c r="A1133">
        <v>33396</v>
      </c>
      <c r="B1133" s="16">
        <v>45339</v>
      </c>
      <c r="C1133" s="15">
        <v>2645</v>
      </c>
      <c r="D1133" t="s">
        <v>22</v>
      </c>
      <c r="G1133" s="13">
        <v>81746</v>
      </c>
      <c r="H1133" s="4">
        <f t="shared" si="18"/>
        <v>3873</v>
      </c>
    </row>
    <row r="1134" spans="1:8" x14ac:dyDescent="0.35">
      <c r="A1134">
        <v>73464</v>
      </c>
      <c r="B1134" s="16">
        <v>45339</v>
      </c>
      <c r="C1134" s="15">
        <v>3241</v>
      </c>
      <c r="D1134" t="s">
        <v>21</v>
      </c>
      <c r="G1134" s="13">
        <v>88014</v>
      </c>
      <c r="H1134" s="4">
        <f t="shared" si="18"/>
        <v>1011</v>
      </c>
    </row>
    <row r="1135" spans="1:8" x14ac:dyDescent="0.35">
      <c r="A1135">
        <v>27503</v>
      </c>
      <c r="B1135" s="16">
        <v>45339</v>
      </c>
      <c r="C1135" s="15">
        <v>1751</v>
      </c>
      <c r="D1135" t="s">
        <v>21</v>
      </c>
      <c r="G1135" s="13">
        <v>35549</v>
      </c>
      <c r="H1135" s="4">
        <f t="shared" si="18"/>
        <v>1572</v>
      </c>
    </row>
    <row r="1136" spans="1:8" x14ac:dyDescent="0.35">
      <c r="A1136">
        <v>78684</v>
      </c>
      <c r="B1136" s="16">
        <v>45339</v>
      </c>
      <c r="C1136" s="15">
        <v>1091</v>
      </c>
      <c r="D1136" t="s">
        <v>21</v>
      </c>
      <c r="G1136" s="13">
        <v>74598</v>
      </c>
      <c r="H1136" s="4">
        <f t="shared" si="18"/>
        <v>992</v>
      </c>
    </row>
    <row r="1137" spans="1:8" x14ac:dyDescent="0.35">
      <c r="A1137">
        <v>43561</v>
      </c>
      <c r="B1137" s="16">
        <v>45339</v>
      </c>
      <c r="C1137" s="15">
        <v>4497</v>
      </c>
      <c r="D1137" t="s">
        <v>21</v>
      </c>
      <c r="G1137" s="13">
        <v>25071</v>
      </c>
      <c r="H1137" s="4">
        <f t="shared" si="18"/>
        <v>3289</v>
      </c>
    </row>
    <row r="1138" spans="1:8" x14ac:dyDescent="0.35">
      <c r="A1138">
        <v>10526</v>
      </c>
      <c r="B1138" s="16">
        <v>45339</v>
      </c>
      <c r="C1138" s="15">
        <v>576</v>
      </c>
      <c r="D1138" t="s">
        <v>22</v>
      </c>
      <c r="G1138" s="13">
        <v>42090</v>
      </c>
      <c r="H1138" s="4">
        <f t="shared" si="18"/>
        <v>721</v>
      </c>
    </row>
    <row r="1139" spans="1:8" x14ac:dyDescent="0.35">
      <c r="A1139">
        <v>81746</v>
      </c>
      <c r="B1139" s="16">
        <v>45339</v>
      </c>
      <c r="C1139" s="15">
        <v>3873</v>
      </c>
      <c r="D1139" t="s">
        <v>22</v>
      </c>
      <c r="G1139" s="13">
        <v>47130</v>
      </c>
      <c r="H1139" s="4">
        <f t="shared" si="18"/>
        <v>3165</v>
      </c>
    </row>
    <row r="1140" spans="1:8" x14ac:dyDescent="0.35">
      <c r="A1140">
        <v>88014</v>
      </c>
      <c r="B1140" s="16">
        <v>45339</v>
      </c>
      <c r="C1140" s="15">
        <v>1011</v>
      </c>
      <c r="D1140" t="s">
        <v>20</v>
      </c>
      <c r="G1140" s="13">
        <v>96634</v>
      </c>
      <c r="H1140" s="4">
        <f t="shared" si="18"/>
        <v>1636</v>
      </c>
    </row>
    <row r="1141" spans="1:8" x14ac:dyDescent="0.35">
      <c r="A1141">
        <v>35549</v>
      </c>
      <c r="B1141" s="16">
        <v>45339</v>
      </c>
      <c r="C1141" s="15">
        <v>1572</v>
      </c>
      <c r="D1141" t="s">
        <v>20</v>
      </c>
      <c r="G1141" s="13">
        <v>79667</v>
      </c>
      <c r="H1141" s="4">
        <f t="shared" si="18"/>
        <v>1651</v>
      </c>
    </row>
    <row r="1142" spans="1:8" x14ac:dyDescent="0.35">
      <c r="A1142">
        <v>74598</v>
      </c>
      <c r="B1142" s="16">
        <v>45339</v>
      </c>
      <c r="C1142" s="15">
        <v>992</v>
      </c>
      <c r="D1142" t="s">
        <v>21</v>
      </c>
      <c r="G1142" s="13">
        <v>63915</v>
      </c>
      <c r="H1142" s="4">
        <f t="shared" si="18"/>
        <v>3465</v>
      </c>
    </row>
    <row r="1143" spans="1:8" x14ac:dyDescent="0.35">
      <c r="A1143">
        <v>25071</v>
      </c>
      <c r="B1143" s="16">
        <v>45339</v>
      </c>
      <c r="C1143" s="15">
        <v>3289</v>
      </c>
      <c r="D1143" t="s">
        <v>22</v>
      </c>
      <c r="G1143" s="13">
        <v>98170</v>
      </c>
      <c r="H1143" s="4">
        <f t="shared" si="18"/>
        <v>779</v>
      </c>
    </row>
    <row r="1144" spans="1:8" x14ac:dyDescent="0.35">
      <c r="A1144">
        <v>42090</v>
      </c>
      <c r="B1144" s="16">
        <v>45339</v>
      </c>
      <c r="C1144" s="15">
        <v>721</v>
      </c>
      <c r="D1144" t="s">
        <v>22</v>
      </c>
      <c r="G1144" s="13">
        <v>89175</v>
      </c>
      <c r="H1144" s="4">
        <f t="shared" si="18"/>
        <v>852</v>
      </c>
    </row>
    <row r="1145" spans="1:8" x14ac:dyDescent="0.35">
      <c r="A1145">
        <v>47130</v>
      </c>
      <c r="B1145" s="16">
        <v>45339</v>
      </c>
      <c r="C1145" s="15">
        <v>3165</v>
      </c>
      <c r="D1145" t="s">
        <v>21</v>
      </c>
      <c r="G1145" s="13">
        <v>48888</v>
      </c>
      <c r="H1145" s="4">
        <f t="shared" si="18"/>
        <v>1698</v>
      </c>
    </row>
    <row r="1146" spans="1:8" x14ac:dyDescent="0.35">
      <c r="A1146">
        <v>96634</v>
      </c>
      <c r="B1146" s="16">
        <v>45339</v>
      </c>
      <c r="C1146" s="15">
        <v>1636</v>
      </c>
      <c r="D1146" t="s">
        <v>21</v>
      </c>
      <c r="G1146" s="13">
        <v>20898</v>
      </c>
      <c r="H1146" s="4">
        <f t="shared" si="18"/>
        <v>4185</v>
      </c>
    </row>
    <row r="1147" spans="1:8" x14ac:dyDescent="0.35">
      <c r="A1147">
        <v>79667</v>
      </c>
      <c r="B1147" s="16">
        <v>45339</v>
      </c>
      <c r="C1147" s="15">
        <v>1651</v>
      </c>
      <c r="D1147" t="s">
        <v>20</v>
      </c>
      <c r="G1147" s="13">
        <v>96838</v>
      </c>
      <c r="H1147" s="4">
        <f t="shared" si="18"/>
        <v>4623</v>
      </c>
    </row>
    <row r="1148" spans="1:8" x14ac:dyDescent="0.35">
      <c r="A1148">
        <v>63915</v>
      </c>
      <c r="B1148" s="16">
        <v>45339</v>
      </c>
      <c r="C1148" s="15">
        <v>3465</v>
      </c>
      <c r="D1148" t="s">
        <v>21</v>
      </c>
      <c r="G1148" s="13">
        <v>90693</v>
      </c>
      <c r="H1148" s="4">
        <f t="shared" si="18"/>
        <v>2025.5</v>
      </c>
    </row>
    <row r="1149" spans="1:8" x14ac:dyDescent="0.35">
      <c r="A1149">
        <v>98170</v>
      </c>
      <c r="B1149" s="16">
        <v>45339</v>
      </c>
      <c r="C1149" s="15">
        <v>779</v>
      </c>
      <c r="D1149" t="s">
        <v>20</v>
      </c>
      <c r="G1149" s="13">
        <v>87178</v>
      </c>
      <c r="H1149" s="4">
        <f t="shared" si="18"/>
        <v>1724</v>
      </c>
    </row>
    <row r="1150" spans="1:8" x14ac:dyDescent="0.35">
      <c r="A1150">
        <v>89175</v>
      </c>
      <c r="B1150" s="16">
        <v>45339</v>
      </c>
      <c r="C1150" s="15">
        <v>852</v>
      </c>
      <c r="D1150" t="s">
        <v>21</v>
      </c>
      <c r="G1150" s="13">
        <v>77811</v>
      </c>
      <c r="H1150" s="4">
        <f t="shared" si="18"/>
        <v>3721</v>
      </c>
    </row>
    <row r="1151" spans="1:8" x14ac:dyDescent="0.35">
      <c r="A1151">
        <v>48888</v>
      </c>
      <c r="B1151" s="16">
        <v>45339</v>
      </c>
      <c r="C1151" s="15">
        <v>1698</v>
      </c>
      <c r="D1151" t="s">
        <v>21</v>
      </c>
      <c r="G1151" s="13">
        <v>74021</v>
      </c>
      <c r="H1151" s="4">
        <f t="shared" si="18"/>
        <v>1622</v>
      </c>
    </row>
    <row r="1152" spans="1:8" x14ac:dyDescent="0.35">
      <c r="A1152">
        <v>20898</v>
      </c>
      <c r="B1152" s="16">
        <v>45339</v>
      </c>
      <c r="C1152" s="15">
        <v>4185</v>
      </c>
      <c r="D1152" t="s">
        <v>20</v>
      </c>
      <c r="G1152" s="13">
        <v>37245</v>
      </c>
      <c r="H1152" s="4">
        <f t="shared" si="18"/>
        <v>3393</v>
      </c>
    </row>
    <row r="1153" spans="1:8" x14ac:dyDescent="0.35">
      <c r="A1153">
        <v>96838</v>
      </c>
      <c r="B1153" s="16">
        <v>45339</v>
      </c>
      <c r="C1153" s="15">
        <v>4623</v>
      </c>
      <c r="D1153" t="s">
        <v>21</v>
      </c>
      <c r="G1153" s="13">
        <v>13072</v>
      </c>
      <c r="H1153" s="4">
        <f t="shared" si="18"/>
        <v>1395</v>
      </c>
    </row>
    <row r="1154" spans="1:8" x14ac:dyDescent="0.35">
      <c r="A1154">
        <v>90693</v>
      </c>
      <c r="B1154" s="16">
        <v>45340</v>
      </c>
      <c r="C1154" s="15">
        <v>1364</v>
      </c>
      <c r="D1154" t="s">
        <v>21</v>
      </c>
      <c r="G1154" s="13">
        <v>91948</v>
      </c>
      <c r="H1154" s="4">
        <f t="shared" si="18"/>
        <v>3533</v>
      </c>
    </row>
    <row r="1155" spans="1:8" x14ac:dyDescent="0.35">
      <c r="A1155">
        <v>87178</v>
      </c>
      <c r="B1155" s="16">
        <v>45340</v>
      </c>
      <c r="C1155" s="15">
        <v>1724</v>
      </c>
      <c r="D1155" t="s">
        <v>20</v>
      </c>
      <c r="G1155" s="13">
        <v>98681</v>
      </c>
      <c r="H1155" s="4">
        <f t="shared" si="18"/>
        <v>4984</v>
      </c>
    </row>
    <row r="1156" spans="1:8" x14ac:dyDescent="0.35">
      <c r="A1156">
        <v>77811</v>
      </c>
      <c r="B1156" s="16">
        <v>45340</v>
      </c>
      <c r="C1156" s="15">
        <v>3721</v>
      </c>
      <c r="D1156" t="s">
        <v>22</v>
      </c>
      <c r="G1156" s="13">
        <v>15747</v>
      </c>
      <c r="H1156" s="4">
        <f t="shared" si="18"/>
        <v>1792</v>
      </c>
    </row>
    <row r="1157" spans="1:8" x14ac:dyDescent="0.35">
      <c r="A1157">
        <v>74021</v>
      </c>
      <c r="B1157" s="16">
        <v>45340</v>
      </c>
      <c r="C1157" s="15">
        <v>1622</v>
      </c>
      <c r="D1157" t="s">
        <v>20</v>
      </c>
      <c r="G1157" s="13">
        <v>57402</v>
      </c>
      <c r="H1157" s="4">
        <f t="shared" si="18"/>
        <v>4475</v>
      </c>
    </row>
    <row r="1158" spans="1:8" x14ac:dyDescent="0.35">
      <c r="A1158">
        <v>37245</v>
      </c>
      <c r="B1158" s="16">
        <v>45340</v>
      </c>
      <c r="C1158" s="15">
        <v>3393</v>
      </c>
      <c r="D1158" t="s">
        <v>22</v>
      </c>
      <c r="G1158" s="13">
        <v>65251</v>
      </c>
      <c r="H1158" s="4">
        <f t="shared" ref="H1158:H1221" si="19">AVERAGEIF($A$2:$A$1501,"="&amp;G1158,$C$2:$C$1501)</f>
        <v>4560</v>
      </c>
    </row>
    <row r="1159" spans="1:8" x14ac:dyDescent="0.35">
      <c r="A1159">
        <v>13072</v>
      </c>
      <c r="B1159" s="16">
        <v>45340</v>
      </c>
      <c r="C1159" s="15">
        <v>1395</v>
      </c>
      <c r="D1159" t="s">
        <v>20</v>
      </c>
      <c r="G1159" s="13">
        <v>69505</v>
      </c>
      <c r="H1159" s="4">
        <f t="shared" si="19"/>
        <v>1242</v>
      </c>
    </row>
    <row r="1160" spans="1:8" x14ac:dyDescent="0.35">
      <c r="A1160">
        <v>91948</v>
      </c>
      <c r="B1160" s="16">
        <v>45340</v>
      </c>
      <c r="C1160" s="15">
        <v>3533</v>
      </c>
      <c r="D1160" t="s">
        <v>22</v>
      </c>
      <c r="G1160" s="13">
        <v>36135</v>
      </c>
      <c r="H1160" s="4">
        <f t="shared" si="19"/>
        <v>1036</v>
      </c>
    </row>
    <row r="1161" spans="1:8" x14ac:dyDescent="0.35">
      <c r="A1161">
        <v>98681</v>
      </c>
      <c r="B1161" s="16">
        <v>45340</v>
      </c>
      <c r="C1161" s="15">
        <v>4984</v>
      </c>
      <c r="D1161" t="s">
        <v>20</v>
      </c>
      <c r="G1161" s="13">
        <v>62971</v>
      </c>
      <c r="H1161" s="4">
        <f t="shared" si="19"/>
        <v>622</v>
      </c>
    </row>
    <row r="1162" spans="1:8" x14ac:dyDescent="0.35">
      <c r="A1162">
        <v>15747</v>
      </c>
      <c r="B1162" s="16">
        <v>45340</v>
      </c>
      <c r="C1162" s="15">
        <v>1792</v>
      </c>
      <c r="D1162" t="s">
        <v>22</v>
      </c>
      <c r="G1162" s="13">
        <v>16438</v>
      </c>
      <c r="H1162" s="4">
        <f t="shared" si="19"/>
        <v>3119</v>
      </c>
    </row>
    <row r="1163" spans="1:8" x14ac:dyDescent="0.35">
      <c r="A1163">
        <v>57402</v>
      </c>
      <c r="B1163" s="16">
        <v>45340</v>
      </c>
      <c r="C1163" s="15">
        <v>4475</v>
      </c>
      <c r="D1163" t="s">
        <v>20</v>
      </c>
      <c r="G1163" s="13">
        <v>14708</v>
      </c>
      <c r="H1163" s="4">
        <f t="shared" si="19"/>
        <v>4262</v>
      </c>
    </row>
    <row r="1164" spans="1:8" x14ac:dyDescent="0.35">
      <c r="A1164">
        <v>65251</v>
      </c>
      <c r="B1164" s="16">
        <v>45340</v>
      </c>
      <c r="C1164" s="15">
        <v>4560</v>
      </c>
      <c r="D1164" t="s">
        <v>22</v>
      </c>
      <c r="G1164" s="13">
        <v>11566</v>
      </c>
      <c r="H1164" s="4">
        <f t="shared" si="19"/>
        <v>4753</v>
      </c>
    </row>
    <row r="1165" spans="1:8" x14ac:dyDescent="0.35">
      <c r="A1165">
        <v>69505</v>
      </c>
      <c r="B1165" s="16">
        <v>45340</v>
      </c>
      <c r="C1165" s="15">
        <v>1242</v>
      </c>
      <c r="D1165" t="s">
        <v>20</v>
      </c>
      <c r="G1165" s="13">
        <v>36149</v>
      </c>
      <c r="H1165" s="4">
        <f t="shared" si="19"/>
        <v>110</v>
      </c>
    </row>
    <row r="1166" spans="1:8" x14ac:dyDescent="0.35">
      <c r="A1166">
        <v>36135</v>
      </c>
      <c r="B1166" s="16">
        <v>45340</v>
      </c>
      <c r="C1166" s="15">
        <v>1036</v>
      </c>
      <c r="D1166" t="s">
        <v>20</v>
      </c>
      <c r="G1166" s="13">
        <v>93012</v>
      </c>
      <c r="H1166" s="4">
        <f t="shared" si="19"/>
        <v>3326</v>
      </c>
    </row>
    <row r="1167" spans="1:8" x14ac:dyDescent="0.35">
      <c r="A1167">
        <v>62971</v>
      </c>
      <c r="B1167" s="16">
        <v>45340</v>
      </c>
      <c r="C1167" s="15">
        <v>622</v>
      </c>
      <c r="D1167" t="s">
        <v>22</v>
      </c>
      <c r="G1167" s="13">
        <v>11869</v>
      </c>
      <c r="H1167" s="4">
        <f t="shared" si="19"/>
        <v>1799</v>
      </c>
    </row>
    <row r="1168" spans="1:8" x14ac:dyDescent="0.35">
      <c r="A1168">
        <v>16438</v>
      </c>
      <c r="B1168" s="16">
        <v>45340</v>
      </c>
      <c r="C1168" s="15">
        <v>3119</v>
      </c>
      <c r="D1168" t="s">
        <v>22</v>
      </c>
      <c r="G1168" s="13">
        <v>95488</v>
      </c>
      <c r="H1168" s="4">
        <f t="shared" si="19"/>
        <v>4417</v>
      </c>
    </row>
    <row r="1169" spans="1:8" x14ac:dyDescent="0.35">
      <c r="A1169">
        <v>14708</v>
      </c>
      <c r="B1169" s="16">
        <v>45340</v>
      </c>
      <c r="C1169" s="15">
        <v>4262</v>
      </c>
      <c r="D1169" t="s">
        <v>21</v>
      </c>
      <c r="G1169" s="13">
        <v>37104</v>
      </c>
      <c r="H1169" s="4">
        <f t="shared" si="19"/>
        <v>433</v>
      </c>
    </row>
    <row r="1170" spans="1:8" x14ac:dyDescent="0.35">
      <c r="A1170">
        <v>11566</v>
      </c>
      <c r="B1170" s="16">
        <v>45340</v>
      </c>
      <c r="C1170" s="15">
        <v>4753</v>
      </c>
      <c r="D1170" t="s">
        <v>21</v>
      </c>
      <c r="G1170" s="13">
        <v>36146</v>
      </c>
      <c r="H1170" s="4">
        <f t="shared" si="19"/>
        <v>2321</v>
      </c>
    </row>
    <row r="1171" spans="1:8" x14ac:dyDescent="0.35">
      <c r="A1171">
        <v>36149</v>
      </c>
      <c r="B1171" s="16">
        <v>45340</v>
      </c>
      <c r="C1171" s="15">
        <v>110</v>
      </c>
      <c r="D1171" t="s">
        <v>21</v>
      </c>
      <c r="G1171" s="13">
        <v>25458</v>
      </c>
      <c r="H1171" s="4">
        <f t="shared" si="19"/>
        <v>1696</v>
      </c>
    </row>
    <row r="1172" spans="1:8" x14ac:dyDescent="0.35">
      <c r="A1172">
        <v>93012</v>
      </c>
      <c r="B1172" s="16">
        <v>45340</v>
      </c>
      <c r="C1172" s="15">
        <v>3326</v>
      </c>
      <c r="D1172" t="s">
        <v>21</v>
      </c>
      <c r="G1172" s="13">
        <v>55290</v>
      </c>
      <c r="H1172" s="4">
        <f t="shared" si="19"/>
        <v>4935</v>
      </c>
    </row>
    <row r="1173" spans="1:8" x14ac:dyDescent="0.35">
      <c r="A1173">
        <v>11869</v>
      </c>
      <c r="B1173" s="16">
        <v>45340</v>
      </c>
      <c r="C1173" s="15">
        <v>1799</v>
      </c>
      <c r="D1173" t="s">
        <v>22</v>
      </c>
      <c r="G1173" s="13">
        <v>24429</v>
      </c>
      <c r="H1173" s="4">
        <f t="shared" si="19"/>
        <v>3166</v>
      </c>
    </row>
    <row r="1174" spans="1:8" x14ac:dyDescent="0.35">
      <c r="A1174">
        <v>95488</v>
      </c>
      <c r="B1174" s="16">
        <v>45340</v>
      </c>
      <c r="C1174" s="15">
        <v>4417</v>
      </c>
      <c r="D1174" t="s">
        <v>20</v>
      </c>
      <c r="G1174" s="13">
        <v>13257</v>
      </c>
      <c r="H1174" s="4">
        <f t="shared" si="19"/>
        <v>4541</v>
      </c>
    </row>
    <row r="1175" spans="1:8" x14ac:dyDescent="0.35">
      <c r="A1175">
        <v>37104</v>
      </c>
      <c r="B1175" s="16">
        <v>45340</v>
      </c>
      <c r="C1175" s="15">
        <v>433</v>
      </c>
      <c r="D1175" t="s">
        <v>22</v>
      </c>
      <c r="G1175" s="13">
        <v>19809</v>
      </c>
      <c r="H1175" s="4">
        <f t="shared" si="19"/>
        <v>4277</v>
      </c>
    </row>
    <row r="1176" spans="1:8" x14ac:dyDescent="0.35">
      <c r="A1176">
        <v>36146</v>
      </c>
      <c r="B1176" s="16">
        <v>45340</v>
      </c>
      <c r="C1176" s="15">
        <v>2321</v>
      </c>
      <c r="D1176" t="s">
        <v>22</v>
      </c>
      <c r="G1176" s="13">
        <v>94805</v>
      </c>
      <c r="H1176" s="4">
        <f t="shared" si="19"/>
        <v>2243</v>
      </c>
    </row>
    <row r="1177" spans="1:8" x14ac:dyDescent="0.35">
      <c r="A1177">
        <v>25458</v>
      </c>
      <c r="B1177" s="16">
        <v>45340</v>
      </c>
      <c r="C1177" s="15">
        <v>1696</v>
      </c>
      <c r="D1177" t="s">
        <v>22</v>
      </c>
      <c r="G1177" s="13">
        <v>98134</v>
      </c>
      <c r="H1177" s="4">
        <f t="shared" si="19"/>
        <v>4369</v>
      </c>
    </row>
    <row r="1178" spans="1:8" x14ac:dyDescent="0.35">
      <c r="A1178">
        <v>55290</v>
      </c>
      <c r="B1178" s="16">
        <v>45341</v>
      </c>
      <c r="C1178" s="15">
        <v>4935</v>
      </c>
      <c r="D1178" t="s">
        <v>21</v>
      </c>
      <c r="G1178" s="13">
        <v>57168</v>
      </c>
      <c r="H1178" s="4">
        <f t="shared" si="19"/>
        <v>4072</v>
      </c>
    </row>
    <row r="1179" spans="1:8" x14ac:dyDescent="0.35">
      <c r="A1179">
        <v>24429</v>
      </c>
      <c r="B1179" s="16">
        <v>45341</v>
      </c>
      <c r="C1179" s="15">
        <v>3166</v>
      </c>
      <c r="D1179" t="s">
        <v>20</v>
      </c>
      <c r="G1179" s="13">
        <v>29520</v>
      </c>
      <c r="H1179" s="4">
        <f t="shared" si="19"/>
        <v>1029</v>
      </c>
    </row>
    <row r="1180" spans="1:8" x14ac:dyDescent="0.35">
      <c r="A1180">
        <v>13257</v>
      </c>
      <c r="B1180" s="16">
        <v>45341</v>
      </c>
      <c r="C1180" s="15">
        <v>4541</v>
      </c>
      <c r="D1180" t="s">
        <v>21</v>
      </c>
      <c r="G1180" s="13">
        <v>88961</v>
      </c>
      <c r="H1180" s="4">
        <f t="shared" si="19"/>
        <v>4909</v>
      </c>
    </row>
    <row r="1181" spans="1:8" x14ac:dyDescent="0.35">
      <c r="A1181">
        <v>19809</v>
      </c>
      <c r="B1181" s="16">
        <v>45341</v>
      </c>
      <c r="C1181" s="15">
        <v>4277</v>
      </c>
      <c r="D1181" t="s">
        <v>21</v>
      </c>
      <c r="G1181" s="13">
        <v>90308</v>
      </c>
      <c r="H1181" s="4">
        <f t="shared" si="19"/>
        <v>3028</v>
      </c>
    </row>
    <row r="1182" spans="1:8" x14ac:dyDescent="0.35">
      <c r="A1182">
        <v>94805</v>
      </c>
      <c r="B1182" s="16">
        <v>45341</v>
      </c>
      <c r="C1182" s="15">
        <v>2243</v>
      </c>
      <c r="D1182" t="s">
        <v>22</v>
      </c>
      <c r="G1182" s="13">
        <v>62957</v>
      </c>
      <c r="H1182" s="4">
        <f t="shared" si="19"/>
        <v>4509</v>
      </c>
    </row>
    <row r="1183" spans="1:8" x14ac:dyDescent="0.35">
      <c r="A1183">
        <v>98134</v>
      </c>
      <c r="B1183" s="16">
        <v>45341</v>
      </c>
      <c r="C1183" s="15">
        <v>4369</v>
      </c>
      <c r="D1183" t="s">
        <v>21</v>
      </c>
      <c r="G1183" s="13">
        <v>39121</v>
      </c>
      <c r="H1183" s="4">
        <f t="shared" si="19"/>
        <v>673</v>
      </c>
    </row>
    <row r="1184" spans="1:8" x14ac:dyDescent="0.35">
      <c r="A1184">
        <v>57168</v>
      </c>
      <c r="B1184" s="16">
        <v>45341</v>
      </c>
      <c r="C1184" s="15">
        <v>4072</v>
      </c>
      <c r="D1184" t="s">
        <v>20</v>
      </c>
      <c r="G1184" s="13">
        <v>76180</v>
      </c>
      <c r="H1184" s="4">
        <f t="shared" si="19"/>
        <v>916</v>
      </c>
    </row>
    <row r="1185" spans="1:8" x14ac:dyDescent="0.35">
      <c r="A1185">
        <v>29520</v>
      </c>
      <c r="B1185" s="16">
        <v>45341</v>
      </c>
      <c r="C1185" s="15">
        <v>1029</v>
      </c>
      <c r="D1185" t="s">
        <v>22</v>
      </c>
      <c r="G1185" s="13">
        <v>44299</v>
      </c>
      <c r="H1185" s="4">
        <f t="shared" si="19"/>
        <v>2301</v>
      </c>
    </row>
    <row r="1186" spans="1:8" x14ac:dyDescent="0.35">
      <c r="A1186">
        <v>88961</v>
      </c>
      <c r="B1186" s="16">
        <v>45341</v>
      </c>
      <c r="C1186" s="15">
        <v>4909</v>
      </c>
      <c r="D1186" t="s">
        <v>21</v>
      </c>
      <c r="G1186" s="13">
        <v>81475</v>
      </c>
      <c r="H1186" s="4">
        <f t="shared" si="19"/>
        <v>1741</v>
      </c>
    </row>
    <row r="1187" spans="1:8" x14ac:dyDescent="0.35">
      <c r="A1187">
        <v>90308</v>
      </c>
      <c r="B1187" s="16">
        <v>45341</v>
      </c>
      <c r="C1187" s="15">
        <v>3028</v>
      </c>
      <c r="D1187" t="s">
        <v>20</v>
      </c>
      <c r="G1187" s="13">
        <v>29570</v>
      </c>
      <c r="H1187" s="4">
        <f t="shared" si="19"/>
        <v>2322</v>
      </c>
    </row>
    <row r="1188" spans="1:8" x14ac:dyDescent="0.35">
      <c r="A1188">
        <v>62957</v>
      </c>
      <c r="B1188" s="16">
        <v>45341</v>
      </c>
      <c r="C1188" s="15">
        <v>4509</v>
      </c>
      <c r="D1188" t="s">
        <v>21</v>
      </c>
      <c r="G1188" s="13">
        <v>48308</v>
      </c>
      <c r="H1188" s="4">
        <f t="shared" si="19"/>
        <v>1789</v>
      </c>
    </row>
    <row r="1189" spans="1:8" x14ac:dyDescent="0.35">
      <c r="A1189">
        <v>39121</v>
      </c>
      <c r="B1189" s="16">
        <v>45341</v>
      </c>
      <c r="C1189" s="15">
        <v>673</v>
      </c>
      <c r="D1189" t="s">
        <v>22</v>
      </c>
      <c r="G1189" s="13">
        <v>59900</v>
      </c>
      <c r="H1189" s="4">
        <f t="shared" si="19"/>
        <v>4849</v>
      </c>
    </row>
    <row r="1190" spans="1:8" x14ac:dyDescent="0.35">
      <c r="A1190">
        <v>76180</v>
      </c>
      <c r="B1190" s="16">
        <v>45341</v>
      </c>
      <c r="C1190" s="15">
        <v>916</v>
      </c>
      <c r="D1190" t="s">
        <v>21</v>
      </c>
      <c r="G1190" s="13">
        <v>97229</v>
      </c>
      <c r="H1190" s="4">
        <f t="shared" si="19"/>
        <v>2809</v>
      </c>
    </row>
    <row r="1191" spans="1:8" x14ac:dyDescent="0.35">
      <c r="A1191">
        <v>44299</v>
      </c>
      <c r="B1191" s="16">
        <v>45341</v>
      </c>
      <c r="C1191" s="15">
        <v>2301</v>
      </c>
      <c r="D1191" t="s">
        <v>20</v>
      </c>
      <c r="G1191" s="13">
        <v>32900</v>
      </c>
      <c r="H1191" s="4">
        <f t="shared" si="19"/>
        <v>2034</v>
      </c>
    </row>
    <row r="1192" spans="1:8" x14ac:dyDescent="0.35">
      <c r="A1192">
        <v>81475</v>
      </c>
      <c r="B1192" s="16">
        <v>45341</v>
      </c>
      <c r="C1192" s="15">
        <v>1741</v>
      </c>
      <c r="D1192" t="s">
        <v>22</v>
      </c>
      <c r="G1192" s="13">
        <v>54115</v>
      </c>
      <c r="H1192" s="4">
        <f t="shared" si="19"/>
        <v>3470</v>
      </c>
    </row>
    <row r="1193" spans="1:8" x14ac:dyDescent="0.35">
      <c r="A1193">
        <v>29570</v>
      </c>
      <c r="B1193" s="16">
        <v>45341</v>
      </c>
      <c r="C1193" s="15">
        <v>2322</v>
      </c>
      <c r="D1193" t="s">
        <v>20</v>
      </c>
      <c r="G1193" s="13">
        <v>18817</v>
      </c>
      <c r="H1193" s="4">
        <f t="shared" si="19"/>
        <v>305</v>
      </c>
    </row>
    <row r="1194" spans="1:8" x14ac:dyDescent="0.35">
      <c r="A1194">
        <v>48308</v>
      </c>
      <c r="B1194" s="16">
        <v>45341</v>
      </c>
      <c r="C1194" s="15">
        <v>1789</v>
      </c>
      <c r="D1194" t="s">
        <v>22</v>
      </c>
      <c r="G1194" s="13">
        <v>57831</v>
      </c>
      <c r="H1194" s="4">
        <f t="shared" si="19"/>
        <v>304</v>
      </c>
    </row>
    <row r="1195" spans="1:8" x14ac:dyDescent="0.35">
      <c r="A1195">
        <v>59900</v>
      </c>
      <c r="B1195" s="16">
        <v>45341</v>
      </c>
      <c r="C1195" s="15">
        <v>4849</v>
      </c>
      <c r="D1195" t="s">
        <v>21</v>
      </c>
      <c r="G1195" s="13">
        <v>37765</v>
      </c>
      <c r="H1195" s="4">
        <f t="shared" si="19"/>
        <v>611</v>
      </c>
    </row>
    <row r="1196" spans="1:8" x14ac:dyDescent="0.35">
      <c r="A1196">
        <v>97229</v>
      </c>
      <c r="B1196" s="16">
        <v>45341</v>
      </c>
      <c r="C1196" s="15">
        <v>2809</v>
      </c>
      <c r="D1196" t="s">
        <v>21</v>
      </c>
      <c r="G1196" s="13">
        <v>25343</v>
      </c>
      <c r="H1196" s="4">
        <f t="shared" si="19"/>
        <v>4310</v>
      </c>
    </row>
    <row r="1197" spans="1:8" x14ac:dyDescent="0.35">
      <c r="A1197">
        <v>32900</v>
      </c>
      <c r="B1197" s="16">
        <v>45341</v>
      </c>
      <c r="C1197" s="15">
        <v>2034</v>
      </c>
      <c r="D1197" t="s">
        <v>20</v>
      </c>
      <c r="G1197" s="13">
        <v>35036</v>
      </c>
      <c r="H1197" s="4">
        <f t="shared" si="19"/>
        <v>3707</v>
      </c>
    </row>
    <row r="1198" spans="1:8" x14ac:dyDescent="0.35">
      <c r="A1198">
        <v>54115</v>
      </c>
      <c r="B1198" s="16">
        <v>45341</v>
      </c>
      <c r="C1198" s="15">
        <v>3470</v>
      </c>
      <c r="D1198" t="s">
        <v>20</v>
      </c>
      <c r="G1198" s="13">
        <v>80379</v>
      </c>
      <c r="H1198" s="4">
        <f t="shared" si="19"/>
        <v>1919</v>
      </c>
    </row>
    <row r="1199" spans="1:8" x14ac:dyDescent="0.35">
      <c r="A1199">
        <v>18817</v>
      </c>
      <c r="B1199" s="16">
        <v>45341</v>
      </c>
      <c r="C1199" s="15">
        <v>305</v>
      </c>
      <c r="D1199" t="s">
        <v>21</v>
      </c>
      <c r="G1199" s="13">
        <v>70203</v>
      </c>
      <c r="H1199" s="4">
        <f t="shared" si="19"/>
        <v>800</v>
      </c>
    </row>
    <row r="1200" spans="1:8" x14ac:dyDescent="0.35">
      <c r="A1200">
        <v>57831</v>
      </c>
      <c r="B1200" s="16">
        <v>45341</v>
      </c>
      <c r="C1200" s="15">
        <v>304</v>
      </c>
      <c r="D1200" t="s">
        <v>20</v>
      </c>
      <c r="G1200" s="13">
        <v>17280</v>
      </c>
      <c r="H1200" s="4">
        <f t="shared" si="19"/>
        <v>4632</v>
      </c>
    </row>
    <row r="1201" spans="1:8" x14ac:dyDescent="0.35">
      <c r="A1201">
        <v>37765</v>
      </c>
      <c r="B1201" s="16">
        <v>45341</v>
      </c>
      <c r="C1201" s="15">
        <v>611</v>
      </c>
      <c r="D1201" t="s">
        <v>22</v>
      </c>
      <c r="G1201" s="13">
        <v>23984</v>
      </c>
      <c r="H1201" s="4">
        <f t="shared" si="19"/>
        <v>4296</v>
      </c>
    </row>
    <row r="1202" spans="1:8" x14ac:dyDescent="0.35">
      <c r="A1202">
        <v>25343</v>
      </c>
      <c r="B1202" s="16">
        <v>45342</v>
      </c>
      <c r="C1202" s="15">
        <v>4310</v>
      </c>
      <c r="D1202" t="s">
        <v>21</v>
      </c>
      <c r="G1202" s="13">
        <v>37286</v>
      </c>
      <c r="H1202" s="4">
        <f t="shared" si="19"/>
        <v>1045</v>
      </c>
    </row>
    <row r="1203" spans="1:8" x14ac:dyDescent="0.35">
      <c r="A1203">
        <v>35036</v>
      </c>
      <c r="B1203" s="16">
        <v>45342</v>
      </c>
      <c r="C1203" s="15">
        <v>3707</v>
      </c>
      <c r="D1203" t="s">
        <v>22</v>
      </c>
      <c r="G1203" s="13">
        <v>97694</v>
      </c>
      <c r="H1203" s="4">
        <f t="shared" si="19"/>
        <v>1846</v>
      </c>
    </row>
    <row r="1204" spans="1:8" x14ac:dyDescent="0.35">
      <c r="A1204">
        <v>80379</v>
      </c>
      <c r="B1204" s="16">
        <v>45342</v>
      </c>
      <c r="C1204" s="15">
        <v>1919</v>
      </c>
      <c r="D1204" t="s">
        <v>22</v>
      </c>
      <c r="G1204" s="13">
        <v>45213</v>
      </c>
      <c r="H1204" s="4">
        <f t="shared" si="19"/>
        <v>314</v>
      </c>
    </row>
    <row r="1205" spans="1:8" x14ac:dyDescent="0.35">
      <c r="A1205">
        <v>70203</v>
      </c>
      <c r="B1205" s="16">
        <v>45342</v>
      </c>
      <c r="C1205" s="15">
        <v>800</v>
      </c>
      <c r="D1205" t="s">
        <v>21</v>
      </c>
      <c r="G1205" s="13">
        <v>28365</v>
      </c>
      <c r="H1205" s="4">
        <f t="shared" si="19"/>
        <v>4375</v>
      </c>
    </row>
    <row r="1206" spans="1:8" x14ac:dyDescent="0.35">
      <c r="A1206">
        <v>17280</v>
      </c>
      <c r="B1206" s="16">
        <v>45342</v>
      </c>
      <c r="C1206" s="15">
        <v>4632</v>
      </c>
      <c r="D1206" t="s">
        <v>20</v>
      </c>
      <c r="G1206" s="13">
        <v>36290</v>
      </c>
      <c r="H1206" s="4">
        <f t="shared" si="19"/>
        <v>4717</v>
      </c>
    </row>
    <row r="1207" spans="1:8" x14ac:dyDescent="0.35">
      <c r="A1207">
        <v>23984</v>
      </c>
      <c r="B1207" s="16">
        <v>45342</v>
      </c>
      <c r="C1207" s="15">
        <v>4296</v>
      </c>
      <c r="D1207" t="s">
        <v>22</v>
      </c>
      <c r="G1207" s="13">
        <v>88076</v>
      </c>
      <c r="H1207" s="4">
        <f t="shared" si="19"/>
        <v>289</v>
      </c>
    </row>
    <row r="1208" spans="1:8" x14ac:dyDescent="0.35">
      <c r="A1208">
        <v>37286</v>
      </c>
      <c r="B1208" s="16">
        <v>45342</v>
      </c>
      <c r="C1208" s="15">
        <v>1045</v>
      </c>
      <c r="D1208" t="s">
        <v>21</v>
      </c>
      <c r="G1208" s="13">
        <v>68816</v>
      </c>
      <c r="H1208" s="4">
        <f t="shared" si="19"/>
        <v>4062</v>
      </c>
    </row>
    <row r="1209" spans="1:8" x14ac:dyDescent="0.35">
      <c r="A1209">
        <v>97694</v>
      </c>
      <c r="B1209" s="16">
        <v>45342</v>
      </c>
      <c r="C1209" s="15">
        <v>1846</v>
      </c>
      <c r="D1209" t="s">
        <v>20</v>
      </c>
      <c r="G1209" s="13">
        <v>72981</v>
      </c>
      <c r="H1209" s="4">
        <f t="shared" si="19"/>
        <v>1285</v>
      </c>
    </row>
    <row r="1210" spans="1:8" x14ac:dyDescent="0.35">
      <c r="A1210">
        <v>45213</v>
      </c>
      <c r="B1210" s="16">
        <v>45342</v>
      </c>
      <c r="C1210" s="15">
        <v>314</v>
      </c>
      <c r="D1210" t="s">
        <v>22</v>
      </c>
      <c r="G1210" s="13">
        <v>74435</v>
      </c>
      <c r="H1210" s="4">
        <f t="shared" si="19"/>
        <v>4737</v>
      </c>
    </row>
    <row r="1211" spans="1:8" x14ac:dyDescent="0.35">
      <c r="A1211">
        <v>28365</v>
      </c>
      <c r="B1211" s="16">
        <v>45342</v>
      </c>
      <c r="C1211" s="15">
        <v>4375</v>
      </c>
      <c r="D1211" t="s">
        <v>20</v>
      </c>
      <c r="G1211" s="13">
        <v>73341</v>
      </c>
      <c r="H1211" s="4">
        <f t="shared" si="19"/>
        <v>317</v>
      </c>
    </row>
    <row r="1212" spans="1:8" x14ac:dyDescent="0.35">
      <c r="A1212">
        <v>36290</v>
      </c>
      <c r="B1212" s="16">
        <v>45342</v>
      </c>
      <c r="C1212" s="15">
        <v>4717</v>
      </c>
      <c r="D1212" t="s">
        <v>20</v>
      </c>
      <c r="G1212" s="13">
        <v>79365</v>
      </c>
      <c r="H1212" s="4">
        <f t="shared" si="19"/>
        <v>2327</v>
      </c>
    </row>
    <row r="1213" spans="1:8" x14ac:dyDescent="0.35">
      <c r="A1213">
        <v>88076</v>
      </c>
      <c r="B1213" s="16">
        <v>45342</v>
      </c>
      <c r="C1213" s="15">
        <v>289</v>
      </c>
      <c r="D1213" t="s">
        <v>22</v>
      </c>
      <c r="G1213" s="13">
        <v>67144</v>
      </c>
      <c r="H1213" s="4">
        <f t="shared" si="19"/>
        <v>3159</v>
      </c>
    </row>
    <row r="1214" spans="1:8" x14ac:dyDescent="0.35">
      <c r="A1214">
        <v>68816</v>
      </c>
      <c r="B1214" s="16">
        <v>45342</v>
      </c>
      <c r="C1214" s="15">
        <v>4062</v>
      </c>
      <c r="D1214" t="s">
        <v>22</v>
      </c>
      <c r="G1214" s="13">
        <v>27664</v>
      </c>
      <c r="H1214" s="4">
        <f t="shared" si="19"/>
        <v>3329</v>
      </c>
    </row>
    <row r="1215" spans="1:8" x14ac:dyDescent="0.35">
      <c r="A1215">
        <v>72981</v>
      </c>
      <c r="B1215" s="16">
        <v>45342</v>
      </c>
      <c r="C1215" s="15">
        <v>1285</v>
      </c>
      <c r="D1215" t="s">
        <v>20</v>
      </c>
      <c r="G1215" s="13">
        <v>54332</v>
      </c>
      <c r="H1215" s="4">
        <f t="shared" si="19"/>
        <v>4826</v>
      </c>
    </row>
    <row r="1216" spans="1:8" x14ac:dyDescent="0.35">
      <c r="A1216">
        <v>74435</v>
      </c>
      <c r="B1216" s="16">
        <v>45342</v>
      </c>
      <c r="C1216" s="15">
        <v>4737</v>
      </c>
      <c r="D1216" t="s">
        <v>20</v>
      </c>
      <c r="G1216" s="13">
        <v>88946</v>
      </c>
      <c r="H1216" s="4">
        <f t="shared" si="19"/>
        <v>2577</v>
      </c>
    </row>
    <row r="1217" spans="1:8" x14ac:dyDescent="0.35">
      <c r="A1217">
        <v>73341</v>
      </c>
      <c r="B1217" s="16">
        <v>45342</v>
      </c>
      <c r="C1217" s="15">
        <v>317</v>
      </c>
      <c r="D1217" t="s">
        <v>20</v>
      </c>
      <c r="G1217" s="13">
        <v>82255</v>
      </c>
      <c r="H1217" s="4">
        <f t="shared" si="19"/>
        <v>929</v>
      </c>
    </row>
    <row r="1218" spans="1:8" x14ac:dyDescent="0.35">
      <c r="A1218">
        <v>79365</v>
      </c>
      <c r="B1218" s="16">
        <v>45342</v>
      </c>
      <c r="C1218" s="15">
        <v>2327</v>
      </c>
      <c r="D1218" t="s">
        <v>22</v>
      </c>
      <c r="G1218" s="13">
        <v>32717</v>
      </c>
      <c r="H1218" s="4">
        <f t="shared" si="19"/>
        <v>4525</v>
      </c>
    </row>
    <row r="1219" spans="1:8" x14ac:dyDescent="0.35">
      <c r="A1219">
        <v>67144</v>
      </c>
      <c r="B1219" s="16">
        <v>45342</v>
      </c>
      <c r="C1219" s="15">
        <v>3159</v>
      </c>
      <c r="D1219" t="s">
        <v>20</v>
      </c>
      <c r="G1219" s="13">
        <v>58720</v>
      </c>
      <c r="H1219" s="4">
        <f t="shared" si="19"/>
        <v>2062</v>
      </c>
    </row>
    <row r="1220" spans="1:8" x14ac:dyDescent="0.35">
      <c r="A1220">
        <v>27664</v>
      </c>
      <c r="B1220" s="16">
        <v>45342</v>
      </c>
      <c r="C1220" s="15">
        <v>3329</v>
      </c>
      <c r="D1220" t="s">
        <v>20</v>
      </c>
      <c r="G1220" s="13">
        <v>98714</v>
      </c>
      <c r="H1220" s="4">
        <f t="shared" si="19"/>
        <v>453</v>
      </c>
    </row>
    <row r="1221" spans="1:8" x14ac:dyDescent="0.35">
      <c r="A1221">
        <v>54332</v>
      </c>
      <c r="B1221" s="16">
        <v>45342</v>
      </c>
      <c r="C1221" s="15">
        <v>4826</v>
      </c>
      <c r="D1221" t="s">
        <v>22</v>
      </c>
      <c r="G1221" s="13">
        <v>54386</v>
      </c>
      <c r="H1221" s="4">
        <f t="shared" si="19"/>
        <v>1898</v>
      </c>
    </row>
    <row r="1222" spans="1:8" x14ac:dyDescent="0.35">
      <c r="A1222">
        <v>88946</v>
      </c>
      <c r="B1222" s="16">
        <v>45342</v>
      </c>
      <c r="C1222" s="15">
        <v>2577</v>
      </c>
      <c r="D1222" t="s">
        <v>21</v>
      </c>
      <c r="G1222" s="13">
        <v>53903</v>
      </c>
      <c r="H1222" s="4">
        <f t="shared" ref="H1222:H1285" si="20">AVERAGEIF($A$2:$A$1501,"="&amp;G1222,$C$2:$C$1501)</f>
        <v>2128</v>
      </c>
    </row>
    <row r="1223" spans="1:8" x14ac:dyDescent="0.35">
      <c r="A1223">
        <v>82255</v>
      </c>
      <c r="B1223" s="16">
        <v>45342</v>
      </c>
      <c r="C1223" s="15">
        <v>929</v>
      </c>
      <c r="D1223" t="s">
        <v>21</v>
      </c>
      <c r="G1223" s="13">
        <v>90368</v>
      </c>
      <c r="H1223" s="4">
        <f t="shared" si="20"/>
        <v>448</v>
      </c>
    </row>
    <row r="1224" spans="1:8" x14ac:dyDescent="0.35">
      <c r="A1224">
        <v>32717</v>
      </c>
      <c r="B1224" s="16">
        <v>45342</v>
      </c>
      <c r="C1224" s="15">
        <v>4525</v>
      </c>
      <c r="D1224" t="s">
        <v>22</v>
      </c>
      <c r="G1224" s="13">
        <v>32268</v>
      </c>
      <c r="H1224" s="4">
        <f t="shared" si="20"/>
        <v>2982</v>
      </c>
    </row>
    <row r="1225" spans="1:8" x14ac:dyDescent="0.35">
      <c r="A1225">
        <v>58720</v>
      </c>
      <c r="B1225" s="16">
        <v>45342</v>
      </c>
      <c r="C1225" s="15">
        <v>2062</v>
      </c>
      <c r="D1225" t="s">
        <v>22</v>
      </c>
      <c r="G1225" s="13">
        <v>99481</v>
      </c>
      <c r="H1225" s="4">
        <f t="shared" si="20"/>
        <v>1489</v>
      </c>
    </row>
    <row r="1226" spans="1:8" x14ac:dyDescent="0.35">
      <c r="A1226">
        <v>98714</v>
      </c>
      <c r="B1226" s="16">
        <v>45343</v>
      </c>
      <c r="C1226" s="15">
        <v>453</v>
      </c>
      <c r="D1226" t="s">
        <v>21</v>
      </c>
      <c r="G1226" s="13">
        <v>47146</v>
      </c>
      <c r="H1226" s="4">
        <f t="shared" si="20"/>
        <v>4387</v>
      </c>
    </row>
    <row r="1227" spans="1:8" x14ac:dyDescent="0.35">
      <c r="A1227">
        <v>54386</v>
      </c>
      <c r="B1227" s="16">
        <v>45343</v>
      </c>
      <c r="C1227" s="15">
        <v>1898</v>
      </c>
      <c r="D1227" t="s">
        <v>21</v>
      </c>
      <c r="G1227" s="13">
        <v>33113</v>
      </c>
      <c r="H1227" s="4">
        <f t="shared" si="20"/>
        <v>3278</v>
      </c>
    </row>
    <row r="1228" spans="1:8" x14ac:dyDescent="0.35">
      <c r="A1228">
        <v>53903</v>
      </c>
      <c r="B1228" s="16">
        <v>45343</v>
      </c>
      <c r="C1228" s="15">
        <v>2128</v>
      </c>
      <c r="D1228" t="s">
        <v>22</v>
      </c>
      <c r="G1228" s="13">
        <v>63145</v>
      </c>
      <c r="H1228" s="4">
        <f t="shared" si="20"/>
        <v>2765</v>
      </c>
    </row>
    <row r="1229" spans="1:8" x14ac:dyDescent="0.35">
      <c r="A1229">
        <v>90368</v>
      </c>
      <c r="B1229" s="16">
        <v>45343</v>
      </c>
      <c r="C1229" s="15">
        <v>448</v>
      </c>
      <c r="D1229" t="s">
        <v>22</v>
      </c>
      <c r="G1229" s="13">
        <v>86416</v>
      </c>
      <c r="H1229" s="4">
        <f t="shared" si="20"/>
        <v>3501</v>
      </c>
    </row>
    <row r="1230" spans="1:8" x14ac:dyDescent="0.35">
      <c r="A1230">
        <v>32268</v>
      </c>
      <c r="B1230" s="16">
        <v>45343</v>
      </c>
      <c r="C1230" s="15">
        <v>2982</v>
      </c>
      <c r="D1230" t="s">
        <v>22</v>
      </c>
      <c r="G1230" s="13">
        <v>62723</v>
      </c>
      <c r="H1230" s="4">
        <f t="shared" si="20"/>
        <v>4385</v>
      </c>
    </row>
    <row r="1231" spans="1:8" x14ac:dyDescent="0.35">
      <c r="A1231">
        <v>99481</v>
      </c>
      <c r="B1231" s="16">
        <v>45343</v>
      </c>
      <c r="C1231" s="15">
        <v>1489</v>
      </c>
      <c r="D1231" t="s">
        <v>22</v>
      </c>
      <c r="G1231" s="13">
        <v>74927</v>
      </c>
      <c r="H1231" s="4">
        <f t="shared" si="20"/>
        <v>151</v>
      </c>
    </row>
    <row r="1232" spans="1:8" x14ac:dyDescent="0.35">
      <c r="A1232">
        <v>47146</v>
      </c>
      <c r="B1232" s="16">
        <v>45343</v>
      </c>
      <c r="C1232" s="15">
        <v>4387</v>
      </c>
      <c r="D1232" t="s">
        <v>21</v>
      </c>
      <c r="G1232" s="13">
        <v>39465</v>
      </c>
      <c r="H1232" s="4">
        <f t="shared" si="20"/>
        <v>1654</v>
      </c>
    </row>
    <row r="1233" spans="1:8" x14ac:dyDescent="0.35">
      <c r="A1233">
        <v>33113</v>
      </c>
      <c r="B1233" s="16">
        <v>45343</v>
      </c>
      <c r="C1233" s="15">
        <v>3278</v>
      </c>
      <c r="D1233" t="s">
        <v>21</v>
      </c>
      <c r="G1233" s="13">
        <v>75295</v>
      </c>
      <c r="H1233" s="4">
        <f t="shared" si="20"/>
        <v>1722</v>
      </c>
    </row>
    <row r="1234" spans="1:8" x14ac:dyDescent="0.35">
      <c r="A1234">
        <v>63145</v>
      </c>
      <c r="B1234" s="16">
        <v>45343</v>
      </c>
      <c r="C1234" s="15">
        <v>2765</v>
      </c>
      <c r="D1234" t="s">
        <v>22</v>
      </c>
      <c r="G1234" s="13">
        <v>17698</v>
      </c>
      <c r="H1234" s="4">
        <f t="shared" si="20"/>
        <v>2221</v>
      </c>
    </row>
    <row r="1235" spans="1:8" x14ac:dyDescent="0.35">
      <c r="A1235">
        <v>86416</v>
      </c>
      <c r="B1235" s="16">
        <v>45343</v>
      </c>
      <c r="C1235" s="15">
        <v>3501</v>
      </c>
      <c r="D1235" t="s">
        <v>22</v>
      </c>
      <c r="G1235" s="13">
        <v>73100</v>
      </c>
      <c r="H1235" s="4">
        <f t="shared" si="20"/>
        <v>2578</v>
      </c>
    </row>
    <row r="1236" spans="1:8" x14ac:dyDescent="0.35">
      <c r="A1236">
        <v>62723</v>
      </c>
      <c r="B1236" s="16">
        <v>45343</v>
      </c>
      <c r="C1236" s="15">
        <v>4385</v>
      </c>
      <c r="D1236" t="s">
        <v>21</v>
      </c>
      <c r="G1236" s="13">
        <v>76535</v>
      </c>
      <c r="H1236" s="4">
        <f t="shared" si="20"/>
        <v>3715</v>
      </c>
    </row>
    <row r="1237" spans="1:8" x14ac:dyDescent="0.35">
      <c r="A1237">
        <v>74927</v>
      </c>
      <c r="B1237" s="16">
        <v>45343</v>
      </c>
      <c r="C1237" s="15">
        <v>151</v>
      </c>
      <c r="D1237" t="s">
        <v>20</v>
      </c>
      <c r="G1237" s="13">
        <v>84793</v>
      </c>
      <c r="H1237" s="4">
        <f t="shared" si="20"/>
        <v>3056</v>
      </c>
    </row>
    <row r="1238" spans="1:8" x14ac:dyDescent="0.35">
      <c r="A1238">
        <v>39465</v>
      </c>
      <c r="B1238" s="16">
        <v>45343</v>
      </c>
      <c r="C1238" s="15">
        <v>1654</v>
      </c>
      <c r="D1238" t="s">
        <v>21</v>
      </c>
      <c r="G1238" s="13">
        <v>84624</v>
      </c>
      <c r="H1238" s="4">
        <f t="shared" si="20"/>
        <v>1013</v>
      </c>
    </row>
    <row r="1239" spans="1:8" x14ac:dyDescent="0.35">
      <c r="A1239">
        <v>75295</v>
      </c>
      <c r="B1239" s="16">
        <v>45343</v>
      </c>
      <c r="C1239" s="15">
        <v>1722</v>
      </c>
      <c r="D1239" t="s">
        <v>21</v>
      </c>
      <c r="G1239" s="13">
        <v>97322</v>
      </c>
      <c r="H1239" s="4">
        <f t="shared" si="20"/>
        <v>3318</v>
      </c>
    </row>
    <row r="1240" spans="1:8" x14ac:dyDescent="0.35">
      <c r="A1240">
        <v>17698</v>
      </c>
      <c r="B1240" s="16">
        <v>45343</v>
      </c>
      <c r="C1240" s="15">
        <v>2221</v>
      </c>
      <c r="D1240" t="s">
        <v>21</v>
      </c>
      <c r="G1240" s="13">
        <v>75078</v>
      </c>
      <c r="H1240" s="4">
        <f t="shared" si="20"/>
        <v>1589</v>
      </c>
    </row>
    <row r="1241" spans="1:8" x14ac:dyDescent="0.35">
      <c r="A1241">
        <v>73100</v>
      </c>
      <c r="B1241" s="16">
        <v>45343</v>
      </c>
      <c r="C1241" s="15">
        <v>2578</v>
      </c>
      <c r="D1241" t="s">
        <v>22</v>
      </c>
      <c r="G1241" s="13">
        <v>47683</v>
      </c>
      <c r="H1241" s="4">
        <f t="shared" si="20"/>
        <v>2144</v>
      </c>
    </row>
    <row r="1242" spans="1:8" x14ac:dyDescent="0.35">
      <c r="A1242">
        <v>76535</v>
      </c>
      <c r="B1242" s="16">
        <v>45343</v>
      </c>
      <c r="C1242" s="15">
        <v>3715</v>
      </c>
      <c r="D1242" t="s">
        <v>20</v>
      </c>
      <c r="G1242" s="13">
        <v>14721</v>
      </c>
      <c r="H1242" s="4">
        <f t="shared" si="20"/>
        <v>1051</v>
      </c>
    </row>
    <row r="1243" spans="1:8" x14ac:dyDescent="0.35">
      <c r="A1243">
        <v>84793</v>
      </c>
      <c r="B1243" s="16">
        <v>45343</v>
      </c>
      <c r="C1243" s="15">
        <v>3056</v>
      </c>
      <c r="D1243" t="s">
        <v>21</v>
      </c>
      <c r="G1243" s="13">
        <v>70661</v>
      </c>
      <c r="H1243" s="4">
        <f t="shared" si="20"/>
        <v>958</v>
      </c>
    </row>
    <row r="1244" spans="1:8" x14ac:dyDescent="0.35">
      <c r="A1244">
        <v>84624</v>
      </c>
      <c r="B1244" s="16">
        <v>45343</v>
      </c>
      <c r="C1244" s="15">
        <v>1013</v>
      </c>
      <c r="D1244" t="s">
        <v>22</v>
      </c>
      <c r="G1244" s="13">
        <v>73030</v>
      </c>
      <c r="H1244" s="4">
        <f t="shared" si="20"/>
        <v>4909</v>
      </c>
    </row>
    <row r="1245" spans="1:8" x14ac:dyDescent="0.35">
      <c r="A1245">
        <v>97322</v>
      </c>
      <c r="B1245" s="16">
        <v>45343</v>
      </c>
      <c r="C1245" s="15">
        <v>3318</v>
      </c>
      <c r="D1245" t="s">
        <v>22</v>
      </c>
      <c r="G1245" s="13">
        <v>70071</v>
      </c>
      <c r="H1245" s="4">
        <f t="shared" si="20"/>
        <v>206</v>
      </c>
    </row>
    <row r="1246" spans="1:8" x14ac:dyDescent="0.35">
      <c r="A1246">
        <v>75078</v>
      </c>
      <c r="B1246" s="16">
        <v>45343</v>
      </c>
      <c r="C1246" s="15">
        <v>1589</v>
      </c>
      <c r="D1246" t="s">
        <v>22</v>
      </c>
      <c r="G1246" s="13">
        <v>97932</v>
      </c>
      <c r="H1246" s="4">
        <f t="shared" si="20"/>
        <v>593</v>
      </c>
    </row>
    <row r="1247" spans="1:8" x14ac:dyDescent="0.35">
      <c r="A1247">
        <v>47683</v>
      </c>
      <c r="B1247" s="16">
        <v>45343</v>
      </c>
      <c r="C1247" s="15">
        <v>2144</v>
      </c>
      <c r="D1247" t="s">
        <v>21</v>
      </c>
      <c r="G1247" s="13">
        <v>20601</v>
      </c>
      <c r="H1247" s="4">
        <f t="shared" si="20"/>
        <v>4264</v>
      </c>
    </row>
    <row r="1248" spans="1:8" x14ac:dyDescent="0.35">
      <c r="A1248">
        <v>14721</v>
      </c>
      <c r="B1248" s="16">
        <v>45343</v>
      </c>
      <c r="C1248" s="15">
        <v>1051</v>
      </c>
      <c r="D1248" t="s">
        <v>21</v>
      </c>
      <c r="G1248" s="13">
        <v>84161</v>
      </c>
      <c r="H1248" s="4">
        <f t="shared" si="20"/>
        <v>3791</v>
      </c>
    </row>
    <row r="1249" spans="1:8" x14ac:dyDescent="0.35">
      <c r="A1249">
        <v>70661</v>
      </c>
      <c r="B1249" s="16">
        <v>45343</v>
      </c>
      <c r="C1249" s="15">
        <v>958</v>
      </c>
      <c r="D1249" t="s">
        <v>21</v>
      </c>
      <c r="G1249" s="13">
        <v>52379</v>
      </c>
      <c r="H1249" s="4">
        <f t="shared" si="20"/>
        <v>3194</v>
      </c>
    </row>
    <row r="1250" spans="1:8" x14ac:dyDescent="0.35">
      <c r="A1250">
        <v>73030</v>
      </c>
      <c r="B1250" s="16">
        <v>45344</v>
      </c>
      <c r="C1250" s="15">
        <v>4909</v>
      </c>
      <c r="D1250" t="s">
        <v>20</v>
      </c>
      <c r="G1250" s="13">
        <v>78618</v>
      </c>
      <c r="H1250" s="4">
        <f t="shared" si="20"/>
        <v>3475</v>
      </c>
    </row>
    <row r="1251" spans="1:8" x14ac:dyDescent="0.35">
      <c r="A1251">
        <v>70071</v>
      </c>
      <c r="B1251" s="16">
        <v>45344</v>
      </c>
      <c r="C1251" s="15">
        <v>206</v>
      </c>
      <c r="D1251" t="s">
        <v>22</v>
      </c>
      <c r="G1251" s="13">
        <v>35037</v>
      </c>
      <c r="H1251" s="4">
        <f t="shared" si="20"/>
        <v>990</v>
      </c>
    </row>
    <row r="1252" spans="1:8" x14ac:dyDescent="0.35">
      <c r="A1252">
        <v>97932</v>
      </c>
      <c r="B1252" s="16">
        <v>45344</v>
      </c>
      <c r="C1252" s="15">
        <v>593</v>
      </c>
      <c r="D1252" t="s">
        <v>20</v>
      </c>
      <c r="G1252" s="13">
        <v>71929</v>
      </c>
      <c r="H1252" s="4">
        <f t="shared" si="20"/>
        <v>3777</v>
      </c>
    </row>
    <row r="1253" spans="1:8" x14ac:dyDescent="0.35">
      <c r="A1253">
        <v>20601</v>
      </c>
      <c r="B1253" s="16">
        <v>45344</v>
      </c>
      <c r="C1253" s="15">
        <v>4264</v>
      </c>
      <c r="D1253" t="s">
        <v>22</v>
      </c>
      <c r="G1253" s="13">
        <v>50343</v>
      </c>
      <c r="H1253" s="4">
        <f t="shared" si="20"/>
        <v>3040</v>
      </c>
    </row>
    <row r="1254" spans="1:8" x14ac:dyDescent="0.35">
      <c r="A1254">
        <v>84161</v>
      </c>
      <c r="B1254" s="16">
        <v>45344</v>
      </c>
      <c r="C1254" s="15">
        <v>3791</v>
      </c>
      <c r="D1254" t="s">
        <v>22</v>
      </c>
      <c r="G1254" s="13">
        <v>34010</v>
      </c>
      <c r="H1254" s="4">
        <f t="shared" si="20"/>
        <v>2225</v>
      </c>
    </row>
    <row r="1255" spans="1:8" x14ac:dyDescent="0.35">
      <c r="A1255">
        <v>52379</v>
      </c>
      <c r="B1255" s="16">
        <v>45344</v>
      </c>
      <c r="C1255" s="15">
        <v>3194</v>
      </c>
      <c r="D1255" t="s">
        <v>21</v>
      </c>
      <c r="G1255" s="13">
        <v>66593</v>
      </c>
      <c r="H1255" s="4">
        <f t="shared" si="20"/>
        <v>2992</v>
      </c>
    </row>
    <row r="1256" spans="1:8" x14ac:dyDescent="0.35">
      <c r="A1256">
        <v>78618</v>
      </c>
      <c r="B1256" s="16">
        <v>45344</v>
      </c>
      <c r="C1256" s="15">
        <v>3475</v>
      </c>
      <c r="D1256" t="s">
        <v>22</v>
      </c>
      <c r="G1256" s="13">
        <v>24124</v>
      </c>
      <c r="H1256" s="4">
        <f t="shared" si="20"/>
        <v>2751</v>
      </c>
    </row>
    <row r="1257" spans="1:8" x14ac:dyDescent="0.35">
      <c r="A1257">
        <v>35037</v>
      </c>
      <c r="B1257" s="16">
        <v>45344</v>
      </c>
      <c r="C1257" s="15">
        <v>990</v>
      </c>
      <c r="D1257" t="s">
        <v>21</v>
      </c>
      <c r="G1257" s="13">
        <v>27637</v>
      </c>
      <c r="H1257" s="4">
        <f t="shared" si="20"/>
        <v>2586</v>
      </c>
    </row>
    <row r="1258" spans="1:8" x14ac:dyDescent="0.35">
      <c r="A1258">
        <v>71929</v>
      </c>
      <c r="B1258" s="16">
        <v>45344</v>
      </c>
      <c r="C1258" s="15">
        <v>3777</v>
      </c>
      <c r="D1258" t="s">
        <v>20</v>
      </c>
      <c r="G1258" s="13">
        <v>87550</v>
      </c>
      <c r="H1258" s="4">
        <f t="shared" si="20"/>
        <v>4679</v>
      </c>
    </row>
    <row r="1259" spans="1:8" x14ac:dyDescent="0.35">
      <c r="A1259">
        <v>50343</v>
      </c>
      <c r="B1259" s="16">
        <v>45344</v>
      </c>
      <c r="C1259" s="15">
        <v>3040</v>
      </c>
      <c r="D1259" t="s">
        <v>20</v>
      </c>
      <c r="G1259" s="13">
        <v>18191</v>
      </c>
      <c r="H1259" s="4">
        <f t="shared" si="20"/>
        <v>2357</v>
      </c>
    </row>
    <row r="1260" spans="1:8" x14ac:dyDescent="0.35">
      <c r="A1260">
        <v>34010</v>
      </c>
      <c r="B1260" s="16">
        <v>45344</v>
      </c>
      <c r="C1260" s="15">
        <v>2225</v>
      </c>
      <c r="D1260" t="s">
        <v>22</v>
      </c>
      <c r="G1260" s="13">
        <v>59542</v>
      </c>
      <c r="H1260" s="4">
        <f t="shared" si="20"/>
        <v>2407</v>
      </c>
    </row>
    <row r="1261" spans="1:8" x14ac:dyDescent="0.35">
      <c r="A1261">
        <v>66593</v>
      </c>
      <c r="B1261" s="16">
        <v>45344</v>
      </c>
      <c r="C1261" s="15">
        <v>2992</v>
      </c>
      <c r="D1261" t="s">
        <v>21</v>
      </c>
      <c r="G1261" s="13">
        <v>77273</v>
      </c>
      <c r="H1261" s="4">
        <f t="shared" si="20"/>
        <v>188</v>
      </c>
    </row>
    <row r="1262" spans="1:8" x14ac:dyDescent="0.35">
      <c r="A1262">
        <v>24124</v>
      </c>
      <c r="B1262" s="16">
        <v>45344</v>
      </c>
      <c r="C1262" s="15">
        <v>2751</v>
      </c>
      <c r="D1262" t="s">
        <v>22</v>
      </c>
      <c r="G1262" s="13">
        <v>19308</v>
      </c>
      <c r="H1262" s="4">
        <f t="shared" si="20"/>
        <v>666</v>
      </c>
    </row>
    <row r="1263" spans="1:8" x14ac:dyDescent="0.35">
      <c r="A1263">
        <v>27637</v>
      </c>
      <c r="B1263" s="16">
        <v>45344</v>
      </c>
      <c r="C1263" s="15">
        <v>2586</v>
      </c>
      <c r="D1263" t="s">
        <v>21</v>
      </c>
      <c r="G1263" s="13">
        <v>33579</v>
      </c>
      <c r="H1263" s="4">
        <f t="shared" si="20"/>
        <v>695</v>
      </c>
    </row>
    <row r="1264" spans="1:8" x14ac:dyDescent="0.35">
      <c r="A1264">
        <v>87550</v>
      </c>
      <c r="B1264" s="16">
        <v>45344</v>
      </c>
      <c r="C1264" s="15">
        <v>4679</v>
      </c>
      <c r="D1264" t="s">
        <v>22</v>
      </c>
      <c r="G1264" s="13">
        <v>60659</v>
      </c>
      <c r="H1264" s="4">
        <f t="shared" si="20"/>
        <v>872</v>
      </c>
    </row>
    <row r="1265" spans="1:8" x14ac:dyDescent="0.35">
      <c r="A1265">
        <v>18191</v>
      </c>
      <c r="B1265" s="16">
        <v>45344</v>
      </c>
      <c r="C1265" s="15">
        <v>2357</v>
      </c>
      <c r="D1265" t="s">
        <v>20</v>
      </c>
      <c r="G1265" s="13">
        <v>80199</v>
      </c>
      <c r="H1265" s="4">
        <f t="shared" si="20"/>
        <v>3577</v>
      </c>
    </row>
    <row r="1266" spans="1:8" x14ac:dyDescent="0.35">
      <c r="A1266">
        <v>59542</v>
      </c>
      <c r="B1266" s="16">
        <v>45344</v>
      </c>
      <c r="C1266" s="15">
        <v>2407</v>
      </c>
      <c r="D1266" t="s">
        <v>22</v>
      </c>
      <c r="G1266" s="13">
        <v>34551</v>
      </c>
      <c r="H1266" s="4">
        <f t="shared" si="20"/>
        <v>1289</v>
      </c>
    </row>
    <row r="1267" spans="1:8" x14ac:dyDescent="0.35">
      <c r="A1267">
        <v>77273</v>
      </c>
      <c r="B1267" s="16">
        <v>45344</v>
      </c>
      <c r="C1267" s="15">
        <v>188</v>
      </c>
      <c r="D1267" t="s">
        <v>20</v>
      </c>
      <c r="G1267" s="13">
        <v>89356</v>
      </c>
      <c r="H1267" s="4">
        <f t="shared" si="20"/>
        <v>3251</v>
      </c>
    </row>
    <row r="1268" spans="1:8" x14ac:dyDescent="0.35">
      <c r="A1268">
        <v>19308</v>
      </c>
      <c r="B1268" s="16">
        <v>45344</v>
      </c>
      <c r="C1268" s="15">
        <v>666</v>
      </c>
      <c r="D1268" t="s">
        <v>20</v>
      </c>
      <c r="G1268" s="13">
        <v>10278</v>
      </c>
      <c r="H1268" s="4">
        <f t="shared" si="20"/>
        <v>1506</v>
      </c>
    </row>
    <row r="1269" spans="1:8" x14ac:dyDescent="0.35">
      <c r="A1269">
        <v>33579</v>
      </c>
      <c r="B1269" s="16">
        <v>45344</v>
      </c>
      <c r="C1269" s="15">
        <v>695</v>
      </c>
      <c r="D1269" t="s">
        <v>20</v>
      </c>
      <c r="G1269" s="13">
        <v>86151</v>
      </c>
      <c r="H1269" s="4">
        <f t="shared" si="20"/>
        <v>1527</v>
      </c>
    </row>
    <row r="1270" spans="1:8" x14ac:dyDescent="0.35">
      <c r="A1270">
        <v>60659</v>
      </c>
      <c r="B1270" s="16">
        <v>45344</v>
      </c>
      <c r="C1270" s="15">
        <v>872</v>
      </c>
      <c r="D1270" t="s">
        <v>21</v>
      </c>
      <c r="G1270" s="13">
        <v>61848</v>
      </c>
      <c r="H1270" s="4">
        <f t="shared" si="20"/>
        <v>3855</v>
      </c>
    </row>
    <row r="1271" spans="1:8" x14ac:dyDescent="0.35">
      <c r="A1271">
        <v>80199</v>
      </c>
      <c r="B1271" s="16">
        <v>45344</v>
      </c>
      <c r="C1271" s="15">
        <v>3577</v>
      </c>
      <c r="D1271" t="s">
        <v>20</v>
      </c>
      <c r="G1271" s="13">
        <v>56196</v>
      </c>
      <c r="H1271" s="4">
        <f t="shared" si="20"/>
        <v>3893</v>
      </c>
    </row>
    <row r="1272" spans="1:8" x14ac:dyDescent="0.35">
      <c r="A1272">
        <v>34551</v>
      </c>
      <c r="B1272" s="16">
        <v>45344</v>
      </c>
      <c r="C1272" s="15">
        <v>1289</v>
      </c>
      <c r="D1272" t="s">
        <v>22</v>
      </c>
      <c r="G1272" s="13">
        <v>84348</v>
      </c>
      <c r="H1272" s="4">
        <f t="shared" si="20"/>
        <v>1283</v>
      </c>
    </row>
    <row r="1273" spans="1:8" x14ac:dyDescent="0.35">
      <c r="A1273">
        <v>89356</v>
      </c>
      <c r="B1273" s="16">
        <v>45344</v>
      </c>
      <c r="C1273" s="15">
        <v>3251</v>
      </c>
      <c r="D1273" t="s">
        <v>20</v>
      </c>
      <c r="G1273" s="13">
        <v>53781</v>
      </c>
      <c r="H1273" s="4">
        <f t="shared" si="20"/>
        <v>2739</v>
      </c>
    </row>
    <row r="1274" spans="1:8" x14ac:dyDescent="0.35">
      <c r="A1274">
        <v>10278</v>
      </c>
      <c r="B1274" s="16">
        <v>45345</v>
      </c>
      <c r="C1274" s="15">
        <v>1506</v>
      </c>
      <c r="D1274" t="s">
        <v>22</v>
      </c>
      <c r="G1274" s="13">
        <v>95215</v>
      </c>
      <c r="H1274" s="4">
        <f t="shared" si="20"/>
        <v>815</v>
      </c>
    </row>
    <row r="1275" spans="1:8" x14ac:dyDescent="0.35">
      <c r="A1275">
        <v>86151</v>
      </c>
      <c r="B1275" s="16">
        <v>45345</v>
      </c>
      <c r="C1275" s="15">
        <v>1527</v>
      </c>
      <c r="D1275" t="s">
        <v>22</v>
      </c>
      <c r="G1275" s="13">
        <v>83910</v>
      </c>
      <c r="H1275" s="4">
        <f t="shared" si="20"/>
        <v>562</v>
      </c>
    </row>
    <row r="1276" spans="1:8" x14ac:dyDescent="0.35">
      <c r="A1276">
        <v>61848</v>
      </c>
      <c r="B1276" s="16">
        <v>45345</v>
      </c>
      <c r="C1276" s="15">
        <v>3855</v>
      </c>
      <c r="D1276" t="s">
        <v>21</v>
      </c>
      <c r="G1276" s="13">
        <v>91009</v>
      </c>
      <c r="H1276" s="4">
        <f t="shared" si="20"/>
        <v>4001</v>
      </c>
    </row>
    <row r="1277" spans="1:8" x14ac:dyDescent="0.35">
      <c r="A1277">
        <v>56196</v>
      </c>
      <c r="B1277" s="16">
        <v>45345</v>
      </c>
      <c r="C1277" s="15">
        <v>3893</v>
      </c>
      <c r="D1277" t="s">
        <v>20</v>
      </c>
      <c r="G1277" s="13">
        <v>83144</v>
      </c>
      <c r="H1277" s="4">
        <f t="shared" si="20"/>
        <v>4988</v>
      </c>
    </row>
    <row r="1278" spans="1:8" x14ac:dyDescent="0.35">
      <c r="A1278">
        <v>84348</v>
      </c>
      <c r="B1278" s="16">
        <v>45345</v>
      </c>
      <c r="C1278" s="15">
        <v>1283</v>
      </c>
      <c r="D1278" t="s">
        <v>21</v>
      </c>
      <c r="G1278" s="13">
        <v>19458</v>
      </c>
      <c r="H1278" s="4">
        <f t="shared" si="20"/>
        <v>4659</v>
      </c>
    </row>
    <row r="1279" spans="1:8" x14ac:dyDescent="0.35">
      <c r="A1279">
        <v>53781</v>
      </c>
      <c r="B1279" s="16">
        <v>45345</v>
      </c>
      <c r="C1279" s="15">
        <v>2739</v>
      </c>
      <c r="D1279" t="s">
        <v>22</v>
      </c>
      <c r="G1279" s="13">
        <v>39118</v>
      </c>
      <c r="H1279" s="4">
        <f t="shared" si="20"/>
        <v>4796</v>
      </c>
    </row>
    <row r="1280" spans="1:8" x14ac:dyDescent="0.35">
      <c r="A1280">
        <v>95215</v>
      </c>
      <c r="B1280" s="16">
        <v>45345</v>
      </c>
      <c r="C1280" s="15">
        <v>815</v>
      </c>
      <c r="D1280" t="s">
        <v>20</v>
      </c>
      <c r="G1280" s="13">
        <v>21028</v>
      </c>
      <c r="H1280" s="4">
        <f t="shared" si="20"/>
        <v>3536</v>
      </c>
    </row>
    <row r="1281" spans="1:8" x14ac:dyDescent="0.35">
      <c r="A1281">
        <v>83910</v>
      </c>
      <c r="B1281" s="16">
        <v>45345</v>
      </c>
      <c r="C1281" s="15">
        <v>562</v>
      </c>
      <c r="D1281" t="s">
        <v>21</v>
      </c>
      <c r="G1281" s="13">
        <v>82047</v>
      </c>
      <c r="H1281" s="4">
        <f t="shared" si="20"/>
        <v>1211</v>
      </c>
    </row>
    <row r="1282" spans="1:8" x14ac:dyDescent="0.35">
      <c r="A1282">
        <v>91009</v>
      </c>
      <c r="B1282" s="16">
        <v>45345</v>
      </c>
      <c r="C1282" s="15">
        <v>4001</v>
      </c>
      <c r="D1282" t="s">
        <v>20</v>
      </c>
      <c r="G1282" s="13">
        <v>47080</v>
      </c>
      <c r="H1282" s="4">
        <f t="shared" si="20"/>
        <v>3901</v>
      </c>
    </row>
    <row r="1283" spans="1:8" x14ac:dyDescent="0.35">
      <c r="A1283">
        <v>83144</v>
      </c>
      <c r="B1283" s="16">
        <v>45345</v>
      </c>
      <c r="C1283" s="15">
        <v>4988</v>
      </c>
      <c r="D1283" t="s">
        <v>20</v>
      </c>
      <c r="G1283" s="13">
        <v>69156</v>
      </c>
      <c r="H1283" s="4">
        <f t="shared" si="20"/>
        <v>4716</v>
      </c>
    </row>
    <row r="1284" spans="1:8" x14ac:dyDescent="0.35">
      <c r="A1284">
        <v>19458</v>
      </c>
      <c r="B1284" s="16">
        <v>45345</v>
      </c>
      <c r="C1284" s="15">
        <v>4659</v>
      </c>
      <c r="D1284" t="s">
        <v>20</v>
      </c>
      <c r="G1284" s="13">
        <v>21586</v>
      </c>
      <c r="H1284" s="4">
        <f t="shared" si="20"/>
        <v>2699</v>
      </c>
    </row>
    <row r="1285" spans="1:8" x14ac:dyDescent="0.35">
      <c r="A1285">
        <v>39118</v>
      </c>
      <c r="B1285" s="16">
        <v>45345</v>
      </c>
      <c r="C1285" s="15">
        <v>4796</v>
      </c>
      <c r="D1285" t="s">
        <v>22</v>
      </c>
      <c r="G1285" s="13">
        <v>18778</v>
      </c>
      <c r="H1285" s="4">
        <f t="shared" si="20"/>
        <v>2687</v>
      </c>
    </row>
    <row r="1286" spans="1:8" x14ac:dyDescent="0.35">
      <c r="A1286">
        <v>21028</v>
      </c>
      <c r="B1286" s="16">
        <v>45345</v>
      </c>
      <c r="C1286" s="15">
        <v>3536</v>
      </c>
      <c r="D1286" t="s">
        <v>22</v>
      </c>
      <c r="G1286" s="13">
        <v>76031</v>
      </c>
      <c r="H1286" s="4">
        <f t="shared" ref="H1286:H1349" si="21">AVERAGEIF($A$2:$A$1501,"="&amp;G1286,$C$2:$C$1501)</f>
        <v>4685</v>
      </c>
    </row>
    <row r="1287" spans="1:8" x14ac:dyDescent="0.35">
      <c r="A1287">
        <v>82047</v>
      </c>
      <c r="B1287" s="16">
        <v>45345</v>
      </c>
      <c r="C1287" s="15">
        <v>1211</v>
      </c>
      <c r="D1287" t="s">
        <v>22</v>
      </c>
      <c r="G1287" s="13">
        <v>38380</v>
      </c>
      <c r="H1287" s="4">
        <f t="shared" si="21"/>
        <v>4638</v>
      </c>
    </row>
    <row r="1288" spans="1:8" x14ac:dyDescent="0.35">
      <c r="A1288">
        <v>47080</v>
      </c>
      <c r="B1288" s="16">
        <v>45345</v>
      </c>
      <c r="C1288" s="15">
        <v>3901</v>
      </c>
      <c r="D1288" t="s">
        <v>20</v>
      </c>
      <c r="G1288" s="13">
        <v>92716</v>
      </c>
      <c r="H1288" s="4">
        <f t="shared" si="21"/>
        <v>657</v>
      </c>
    </row>
    <row r="1289" spans="1:8" x14ac:dyDescent="0.35">
      <c r="A1289">
        <v>69156</v>
      </c>
      <c r="B1289" s="16">
        <v>45345</v>
      </c>
      <c r="C1289" s="15">
        <v>4716</v>
      </c>
      <c r="D1289" t="s">
        <v>20</v>
      </c>
      <c r="G1289" s="13">
        <v>51952</v>
      </c>
      <c r="H1289" s="4">
        <f t="shared" si="21"/>
        <v>1817</v>
      </c>
    </row>
    <row r="1290" spans="1:8" x14ac:dyDescent="0.35">
      <c r="A1290">
        <v>21586</v>
      </c>
      <c r="B1290" s="16">
        <v>45345</v>
      </c>
      <c r="C1290" s="15">
        <v>2699</v>
      </c>
      <c r="D1290" t="s">
        <v>21</v>
      </c>
      <c r="G1290" s="13">
        <v>88537</v>
      </c>
      <c r="H1290" s="4">
        <f t="shared" si="21"/>
        <v>2235</v>
      </c>
    </row>
    <row r="1291" spans="1:8" x14ac:dyDescent="0.35">
      <c r="A1291">
        <v>18778</v>
      </c>
      <c r="B1291" s="16">
        <v>45345</v>
      </c>
      <c r="C1291" s="15">
        <v>2687</v>
      </c>
      <c r="D1291" t="s">
        <v>20</v>
      </c>
      <c r="G1291" s="13">
        <v>88189</v>
      </c>
      <c r="H1291" s="4">
        <f t="shared" si="21"/>
        <v>729</v>
      </c>
    </row>
    <row r="1292" spans="1:8" x14ac:dyDescent="0.35">
      <c r="A1292">
        <v>76031</v>
      </c>
      <c r="B1292" s="16">
        <v>45345</v>
      </c>
      <c r="C1292" s="15">
        <v>4685</v>
      </c>
      <c r="D1292" t="s">
        <v>22</v>
      </c>
      <c r="G1292" s="13">
        <v>51536</v>
      </c>
      <c r="H1292" s="4">
        <f t="shared" si="21"/>
        <v>100</v>
      </c>
    </row>
    <row r="1293" spans="1:8" x14ac:dyDescent="0.35">
      <c r="A1293">
        <v>38380</v>
      </c>
      <c r="B1293" s="16">
        <v>45345</v>
      </c>
      <c r="C1293" s="15">
        <v>4638</v>
      </c>
      <c r="D1293" t="s">
        <v>21</v>
      </c>
      <c r="G1293" s="13">
        <v>18942</v>
      </c>
      <c r="H1293" s="4">
        <f t="shared" si="21"/>
        <v>2482</v>
      </c>
    </row>
    <row r="1294" spans="1:8" x14ac:dyDescent="0.35">
      <c r="A1294">
        <v>92716</v>
      </c>
      <c r="B1294" s="16">
        <v>45345</v>
      </c>
      <c r="C1294" s="15">
        <v>657</v>
      </c>
      <c r="D1294" t="s">
        <v>22</v>
      </c>
      <c r="G1294" s="13">
        <v>68854</v>
      </c>
      <c r="H1294" s="4">
        <f t="shared" si="21"/>
        <v>320</v>
      </c>
    </row>
    <row r="1295" spans="1:8" x14ac:dyDescent="0.35">
      <c r="A1295">
        <v>51952</v>
      </c>
      <c r="B1295" s="16">
        <v>45345</v>
      </c>
      <c r="C1295" s="15">
        <v>1817</v>
      </c>
      <c r="D1295" t="s">
        <v>20</v>
      </c>
      <c r="G1295" s="13">
        <v>25573</v>
      </c>
      <c r="H1295" s="4">
        <f t="shared" si="21"/>
        <v>2916</v>
      </c>
    </row>
    <row r="1296" spans="1:8" x14ac:dyDescent="0.35">
      <c r="A1296">
        <v>88537</v>
      </c>
      <c r="B1296" s="16">
        <v>45345</v>
      </c>
      <c r="C1296" s="15">
        <v>2235</v>
      </c>
      <c r="D1296" t="s">
        <v>21</v>
      </c>
      <c r="G1296" s="13">
        <v>68688</v>
      </c>
      <c r="H1296" s="4">
        <f t="shared" si="21"/>
        <v>3422</v>
      </c>
    </row>
    <row r="1297" spans="1:8" x14ac:dyDescent="0.35">
      <c r="A1297">
        <v>88189</v>
      </c>
      <c r="B1297" s="16">
        <v>45345</v>
      </c>
      <c r="C1297" s="15">
        <v>729</v>
      </c>
      <c r="D1297" t="s">
        <v>20</v>
      </c>
      <c r="G1297" s="13">
        <v>91221</v>
      </c>
      <c r="H1297" s="4">
        <f t="shared" si="21"/>
        <v>2283</v>
      </c>
    </row>
    <row r="1298" spans="1:8" x14ac:dyDescent="0.35">
      <c r="A1298">
        <v>51536</v>
      </c>
      <c r="B1298" s="16">
        <v>45346</v>
      </c>
      <c r="C1298" s="15">
        <v>100</v>
      </c>
      <c r="D1298" t="s">
        <v>22</v>
      </c>
      <c r="G1298" s="13">
        <v>62081</v>
      </c>
      <c r="H1298" s="4">
        <f t="shared" si="21"/>
        <v>2119</v>
      </c>
    </row>
    <row r="1299" spans="1:8" x14ac:dyDescent="0.35">
      <c r="A1299">
        <v>18942</v>
      </c>
      <c r="B1299" s="16">
        <v>45346</v>
      </c>
      <c r="C1299" s="15">
        <v>2482</v>
      </c>
      <c r="D1299" t="s">
        <v>20</v>
      </c>
      <c r="G1299" s="13">
        <v>69420</v>
      </c>
      <c r="H1299" s="4">
        <f t="shared" si="21"/>
        <v>3840</v>
      </c>
    </row>
    <row r="1300" spans="1:8" x14ac:dyDescent="0.35">
      <c r="A1300">
        <v>68854</v>
      </c>
      <c r="B1300" s="16">
        <v>45346</v>
      </c>
      <c r="C1300" s="15">
        <v>320</v>
      </c>
      <c r="D1300" t="s">
        <v>22</v>
      </c>
      <c r="G1300" s="13">
        <v>89467</v>
      </c>
      <c r="H1300" s="4">
        <f t="shared" si="21"/>
        <v>362</v>
      </c>
    </row>
    <row r="1301" spans="1:8" x14ac:dyDescent="0.35">
      <c r="A1301">
        <v>25573</v>
      </c>
      <c r="B1301" s="16">
        <v>45346</v>
      </c>
      <c r="C1301" s="15">
        <v>2916</v>
      </c>
      <c r="D1301" t="s">
        <v>22</v>
      </c>
      <c r="G1301" s="13">
        <v>54122</v>
      </c>
      <c r="H1301" s="4">
        <f t="shared" si="21"/>
        <v>115</v>
      </c>
    </row>
    <row r="1302" spans="1:8" x14ac:dyDescent="0.35">
      <c r="A1302">
        <v>68688</v>
      </c>
      <c r="B1302" s="16">
        <v>45346</v>
      </c>
      <c r="C1302" s="15">
        <v>3422</v>
      </c>
      <c r="D1302" t="s">
        <v>21</v>
      </c>
      <c r="G1302" s="13">
        <v>90331</v>
      </c>
      <c r="H1302" s="4">
        <f t="shared" si="21"/>
        <v>1241</v>
      </c>
    </row>
    <row r="1303" spans="1:8" x14ac:dyDescent="0.35">
      <c r="A1303">
        <v>91221</v>
      </c>
      <c r="B1303" s="16">
        <v>45346</v>
      </c>
      <c r="C1303" s="15">
        <v>2283</v>
      </c>
      <c r="D1303" t="s">
        <v>20</v>
      </c>
      <c r="G1303" s="13">
        <v>53436</v>
      </c>
      <c r="H1303" s="4">
        <f t="shared" si="21"/>
        <v>2509</v>
      </c>
    </row>
    <row r="1304" spans="1:8" x14ac:dyDescent="0.35">
      <c r="A1304">
        <v>62081</v>
      </c>
      <c r="B1304" s="16">
        <v>45346</v>
      </c>
      <c r="C1304" s="15">
        <v>2119</v>
      </c>
      <c r="D1304" t="s">
        <v>22</v>
      </c>
      <c r="G1304" s="13">
        <v>55169</v>
      </c>
      <c r="H1304" s="4">
        <f t="shared" si="21"/>
        <v>2012</v>
      </c>
    </row>
    <row r="1305" spans="1:8" x14ac:dyDescent="0.35">
      <c r="A1305">
        <v>69420</v>
      </c>
      <c r="B1305" s="16">
        <v>45346</v>
      </c>
      <c r="C1305" s="15">
        <v>3840</v>
      </c>
      <c r="D1305" t="s">
        <v>21</v>
      </c>
      <c r="G1305" s="13">
        <v>61719</v>
      </c>
      <c r="H1305" s="4">
        <f t="shared" si="21"/>
        <v>2973</v>
      </c>
    </row>
    <row r="1306" spans="1:8" x14ac:dyDescent="0.35">
      <c r="A1306">
        <v>89467</v>
      </c>
      <c r="B1306" s="16">
        <v>45346</v>
      </c>
      <c r="C1306" s="15">
        <v>362</v>
      </c>
      <c r="D1306" t="s">
        <v>20</v>
      </c>
      <c r="G1306" s="13">
        <v>81916</v>
      </c>
      <c r="H1306" s="4">
        <f t="shared" si="21"/>
        <v>695</v>
      </c>
    </row>
    <row r="1307" spans="1:8" x14ac:dyDescent="0.35">
      <c r="A1307">
        <v>54122</v>
      </c>
      <c r="B1307" s="16">
        <v>45346</v>
      </c>
      <c r="C1307" s="15">
        <v>115</v>
      </c>
      <c r="D1307" t="s">
        <v>21</v>
      </c>
      <c r="G1307" s="13">
        <v>23305</v>
      </c>
      <c r="H1307" s="4">
        <f t="shared" si="21"/>
        <v>3431</v>
      </c>
    </row>
    <row r="1308" spans="1:8" x14ac:dyDescent="0.35">
      <c r="A1308">
        <v>90331</v>
      </c>
      <c r="B1308" s="16">
        <v>45346</v>
      </c>
      <c r="C1308" s="15">
        <v>1241</v>
      </c>
      <c r="D1308" t="s">
        <v>21</v>
      </c>
      <c r="G1308" s="13">
        <v>78415</v>
      </c>
      <c r="H1308" s="4">
        <f t="shared" si="21"/>
        <v>649</v>
      </c>
    </row>
    <row r="1309" spans="1:8" x14ac:dyDescent="0.35">
      <c r="A1309">
        <v>53436</v>
      </c>
      <c r="B1309" s="16">
        <v>45346</v>
      </c>
      <c r="C1309" s="15">
        <v>2509</v>
      </c>
      <c r="D1309" t="s">
        <v>21</v>
      </c>
      <c r="G1309" s="13">
        <v>35498</v>
      </c>
      <c r="H1309" s="4">
        <f t="shared" si="21"/>
        <v>419</v>
      </c>
    </row>
    <row r="1310" spans="1:8" x14ac:dyDescent="0.35">
      <c r="A1310">
        <v>55169</v>
      </c>
      <c r="B1310" s="16">
        <v>45346</v>
      </c>
      <c r="C1310" s="15">
        <v>2012</v>
      </c>
      <c r="D1310" t="s">
        <v>22</v>
      </c>
      <c r="G1310" s="13">
        <v>51577</v>
      </c>
      <c r="H1310" s="4">
        <f t="shared" si="21"/>
        <v>141</v>
      </c>
    </row>
    <row r="1311" spans="1:8" x14ac:dyDescent="0.35">
      <c r="A1311">
        <v>61719</v>
      </c>
      <c r="B1311" s="16">
        <v>45346</v>
      </c>
      <c r="C1311" s="15">
        <v>2973</v>
      </c>
      <c r="D1311" t="s">
        <v>22</v>
      </c>
      <c r="G1311" s="13">
        <v>22524</v>
      </c>
      <c r="H1311" s="4">
        <f t="shared" si="21"/>
        <v>1225</v>
      </c>
    </row>
    <row r="1312" spans="1:8" x14ac:dyDescent="0.35">
      <c r="A1312">
        <v>81916</v>
      </c>
      <c r="B1312" s="16">
        <v>45346</v>
      </c>
      <c r="C1312" s="15">
        <v>695</v>
      </c>
      <c r="D1312" t="s">
        <v>21</v>
      </c>
      <c r="G1312" s="13">
        <v>72875</v>
      </c>
      <c r="H1312" s="4">
        <f t="shared" si="21"/>
        <v>4511</v>
      </c>
    </row>
    <row r="1313" spans="1:8" x14ac:dyDescent="0.35">
      <c r="A1313">
        <v>23305</v>
      </c>
      <c r="B1313" s="16">
        <v>45346</v>
      </c>
      <c r="C1313" s="15">
        <v>3431</v>
      </c>
      <c r="D1313" t="s">
        <v>22</v>
      </c>
      <c r="G1313" s="13">
        <v>14458</v>
      </c>
      <c r="H1313" s="4">
        <f t="shared" si="21"/>
        <v>2866</v>
      </c>
    </row>
    <row r="1314" spans="1:8" x14ac:dyDescent="0.35">
      <c r="A1314">
        <v>78415</v>
      </c>
      <c r="B1314" s="16">
        <v>45346</v>
      </c>
      <c r="C1314" s="15">
        <v>649</v>
      </c>
      <c r="D1314" t="s">
        <v>22</v>
      </c>
      <c r="G1314" s="13">
        <v>93251</v>
      </c>
      <c r="H1314" s="4">
        <f t="shared" si="21"/>
        <v>1953</v>
      </c>
    </row>
    <row r="1315" spans="1:8" x14ac:dyDescent="0.35">
      <c r="A1315">
        <v>35498</v>
      </c>
      <c r="B1315" s="16">
        <v>45346</v>
      </c>
      <c r="C1315" s="15">
        <v>419</v>
      </c>
      <c r="D1315" t="s">
        <v>20</v>
      </c>
      <c r="G1315" s="13">
        <v>78279</v>
      </c>
      <c r="H1315" s="4">
        <f t="shared" si="21"/>
        <v>1633</v>
      </c>
    </row>
    <row r="1316" spans="1:8" x14ac:dyDescent="0.35">
      <c r="A1316">
        <v>51577</v>
      </c>
      <c r="B1316" s="16">
        <v>45346</v>
      </c>
      <c r="C1316" s="15">
        <v>141</v>
      </c>
      <c r="D1316" t="s">
        <v>21</v>
      </c>
      <c r="G1316" s="13">
        <v>18971</v>
      </c>
      <c r="H1316" s="4">
        <f t="shared" si="21"/>
        <v>1365</v>
      </c>
    </row>
    <row r="1317" spans="1:8" x14ac:dyDescent="0.35">
      <c r="A1317">
        <v>22524</v>
      </c>
      <c r="B1317" s="16">
        <v>45346</v>
      </c>
      <c r="C1317" s="15">
        <v>1225</v>
      </c>
      <c r="D1317" t="s">
        <v>20</v>
      </c>
      <c r="G1317" s="13">
        <v>90309</v>
      </c>
      <c r="H1317" s="4">
        <f t="shared" si="21"/>
        <v>1377</v>
      </c>
    </row>
    <row r="1318" spans="1:8" x14ac:dyDescent="0.35">
      <c r="A1318">
        <v>72875</v>
      </c>
      <c r="B1318" s="16">
        <v>45346</v>
      </c>
      <c r="C1318" s="15">
        <v>4511</v>
      </c>
      <c r="D1318" t="s">
        <v>20</v>
      </c>
      <c r="G1318" s="13">
        <v>52195</v>
      </c>
      <c r="H1318" s="4">
        <f t="shared" si="21"/>
        <v>1159</v>
      </c>
    </row>
    <row r="1319" spans="1:8" x14ac:dyDescent="0.35">
      <c r="A1319">
        <v>14458</v>
      </c>
      <c r="B1319" s="16">
        <v>45346</v>
      </c>
      <c r="C1319" s="15">
        <v>2866</v>
      </c>
      <c r="D1319" t="s">
        <v>20</v>
      </c>
      <c r="G1319" s="13">
        <v>95184</v>
      </c>
      <c r="H1319" s="4">
        <f t="shared" si="21"/>
        <v>3620</v>
      </c>
    </row>
    <row r="1320" spans="1:8" x14ac:dyDescent="0.35">
      <c r="A1320">
        <v>93251</v>
      </c>
      <c r="B1320" s="16">
        <v>45346</v>
      </c>
      <c r="C1320" s="15">
        <v>1953</v>
      </c>
      <c r="D1320" t="s">
        <v>20</v>
      </c>
      <c r="G1320" s="13">
        <v>32184</v>
      </c>
      <c r="H1320" s="4">
        <f t="shared" si="21"/>
        <v>4494</v>
      </c>
    </row>
    <row r="1321" spans="1:8" x14ac:dyDescent="0.35">
      <c r="A1321">
        <v>78279</v>
      </c>
      <c r="B1321" s="16">
        <v>45346</v>
      </c>
      <c r="C1321" s="15">
        <v>1633</v>
      </c>
      <c r="D1321" t="s">
        <v>21</v>
      </c>
      <c r="G1321" s="13">
        <v>78405</v>
      </c>
      <c r="H1321" s="4">
        <f t="shared" si="21"/>
        <v>1194</v>
      </c>
    </row>
    <row r="1322" spans="1:8" x14ac:dyDescent="0.35">
      <c r="A1322">
        <v>18971</v>
      </c>
      <c r="B1322" s="16">
        <v>45347</v>
      </c>
      <c r="C1322" s="15">
        <v>1365</v>
      </c>
      <c r="D1322" t="s">
        <v>20</v>
      </c>
      <c r="G1322" s="13">
        <v>82679</v>
      </c>
      <c r="H1322" s="4">
        <f t="shared" si="21"/>
        <v>3093</v>
      </c>
    </row>
    <row r="1323" spans="1:8" x14ac:dyDescent="0.35">
      <c r="A1323">
        <v>90309</v>
      </c>
      <c r="B1323" s="16">
        <v>45347</v>
      </c>
      <c r="C1323" s="15">
        <v>1377</v>
      </c>
      <c r="D1323" t="s">
        <v>22</v>
      </c>
      <c r="G1323" s="13">
        <v>54785</v>
      </c>
      <c r="H1323" s="4">
        <f t="shared" si="21"/>
        <v>2180</v>
      </c>
    </row>
    <row r="1324" spans="1:8" x14ac:dyDescent="0.35">
      <c r="A1324">
        <v>52195</v>
      </c>
      <c r="B1324" s="16">
        <v>45347</v>
      </c>
      <c r="C1324" s="15">
        <v>1159</v>
      </c>
      <c r="D1324" t="s">
        <v>21</v>
      </c>
      <c r="G1324" s="13">
        <v>33474</v>
      </c>
      <c r="H1324" s="4">
        <f t="shared" si="21"/>
        <v>3013</v>
      </c>
    </row>
    <row r="1325" spans="1:8" x14ac:dyDescent="0.35">
      <c r="A1325">
        <v>95184</v>
      </c>
      <c r="B1325" s="16">
        <v>45347</v>
      </c>
      <c r="C1325" s="15">
        <v>3620</v>
      </c>
      <c r="D1325" t="s">
        <v>22</v>
      </c>
      <c r="G1325" s="13">
        <v>38963</v>
      </c>
      <c r="H1325" s="4">
        <f t="shared" si="21"/>
        <v>2999</v>
      </c>
    </row>
    <row r="1326" spans="1:8" x14ac:dyDescent="0.35">
      <c r="A1326">
        <v>32184</v>
      </c>
      <c r="B1326" s="16">
        <v>45347</v>
      </c>
      <c r="C1326" s="15">
        <v>4494</v>
      </c>
      <c r="D1326" t="s">
        <v>21</v>
      </c>
      <c r="G1326" s="13">
        <v>96834</v>
      </c>
      <c r="H1326" s="4">
        <f t="shared" si="21"/>
        <v>3417</v>
      </c>
    </row>
    <row r="1327" spans="1:8" x14ac:dyDescent="0.35">
      <c r="A1327">
        <v>78405</v>
      </c>
      <c r="B1327" s="16">
        <v>45347</v>
      </c>
      <c r="C1327" s="15">
        <v>1194</v>
      </c>
      <c r="D1327" t="s">
        <v>20</v>
      </c>
      <c r="G1327" s="13">
        <v>59394</v>
      </c>
      <c r="H1327" s="4">
        <f t="shared" si="21"/>
        <v>3447</v>
      </c>
    </row>
    <row r="1328" spans="1:8" x14ac:dyDescent="0.35">
      <c r="A1328">
        <v>82679</v>
      </c>
      <c r="B1328" s="16">
        <v>45347</v>
      </c>
      <c r="C1328" s="15">
        <v>3093</v>
      </c>
      <c r="D1328" t="s">
        <v>22</v>
      </c>
      <c r="G1328" s="13">
        <v>76828</v>
      </c>
      <c r="H1328" s="4">
        <f t="shared" si="21"/>
        <v>2204</v>
      </c>
    </row>
    <row r="1329" spans="1:8" x14ac:dyDescent="0.35">
      <c r="A1329">
        <v>54785</v>
      </c>
      <c r="B1329" s="16">
        <v>45347</v>
      </c>
      <c r="C1329" s="15">
        <v>2180</v>
      </c>
      <c r="D1329" t="s">
        <v>22</v>
      </c>
      <c r="G1329" s="13">
        <v>42311</v>
      </c>
      <c r="H1329" s="4">
        <f t="shared" si="21"/>
        <v>4288</v>
      </c>
    </row>
    <row r="1330" spans="1:8" x14ac:dyDescent="0.35">
      <c r="A1330">
        <v>33474</v>
      </c>
      <c r="B1330" s="16">
        <v>45347</v>
      </c>
      <c r="C1330" s="15">
        <v>3013</v>
      </c>
      <c r="D1330" t="s">
        <v>20</v>
      </c>
      <c r="G1330" s="13">
        <v>48377</v>
      </c>
      <c r="H1330" s="4">
        <f t="shared" si="21"/>
        <v>508</v>
      </c>
    </row>
    <row r="1331" spans="1:8" x14ac:dyDescent="0.35">
      <c r="A1331">
        <v>38963</v>
      </c>
      <c r="B1331" s="16">
        <v>45347</v>
      </c>
      <c r="C1331" s="15">
        <v>2999</v>
      </c>
      <c r="D1331" t="s">
        <v>20</v>
      </c>
      <c r="G1331" s="13">
        <v>54440</v>
      </c>
      <c r="H1331" s="4">
        <f t="shared" si="21"/>
        <v>121</v>
      </c>
    </row>
    <row r="1332" spans="1:8" x14ac:dyDescent="0.35">
      <c r="A1332">
        <v>96834</v>
      </c>
      <c r="B1332" s="16">
        <v>45347</v>
      </c>
      <c r="C1332" s="15">
        <v>3417</v>
      </c>
      <c r="D1332" t="s">
        <v>22</v>
      </c>
      <c r="G1332" s="13">
        <v>17054</v>
      </c>
      <c r="H1332" s="4">
        <f t="shared" si="21"/>
        <v>3238</v>
      </c>
    </row>
    <row r="1333" spans="1:8" x14ac:dyDescent="0.35">
      <c r="A1333">
        <v>59394</v>
      </c>
      <c r="B1333" s="16">
        <v>45347</v>
      </c>
      <c r="C1333" s="15">
        <v>3447</v>
      </c>
      <c r="D1333" t="s">
        <v>21</v>
      </c>
      <c r="G1333" s="13">
        <v>80426</v>
      </c>
      <c r="H1333" s="4">
        <f t="shared" si="21"/>
        <v>3412</v>
      </c>
    </row>
    <row r="1334" spans="1:8" x14ac:dyDescent="0.35">
      <c r="A1334">
        <v>76828</v>
      </c>
      <c r="B1334" s="16">
        <v>45347</v>
      </c>
      <c r="C1334" s="15">
        <v>2204</v>
      </c>
      <c r="D1334" t="s">
        <v>20</v>
      </c>
      <c r="G1334" s="13">
        <v>36902</v>
      </c>
      <c r="H1334" s="4">
        <f t="shared" si="21"/>
        <v>1038</v>
      </c>
    </row>
    <row r="1335" spans="1:8" x14ac:dyDescent="0.35">
      <c r="A1335">
        <v>42311</v>
      </c>
      <c r="B1335" s="16">
        <v>45347</v>
      </c>
      <c r="C1335" s="15">
        <v>4288</v>
      </c>
      <c r="D1335" t="s">
        <v>20</v>
      </c>
      <c r="G1335" s="13">
        <v>85118</v>
      </c>
      <c r="H1335" s="4">
        <f t="shared" si="21"/>
        <v>4327</v>
      </c>
    </row>
    <row r="1336" spans="1:8" x14ac:dyDescent="0.35">
      <c r="A1336">
        <v>48377</v>
      </c>
      <c r="B1336" s="16">
        <v>45347</v>
      </c>
      <c r="C1336" s="15">
        <v>508</v>
      </c>
      <c r="D1336" t="s">
        <v>21</v>
      </c>
      <c r="G1336" s="13">
        <v>96697</v>
      </c>
      <c r="H1336" s="4">
        <f t="shared" si="21"/>
        <v>3057</v>
      </c>
    </row>
    <row r="1337" spans="1:8" x14ac:dyDescent="0.35">
      <c r="A1337">
        <v>54440</v>
      </c>
      <c r="B1337" s="16">
        <v>45347</v>
      </c>
      <c r="C1337" s="15">
        <v>121</v>
      </c>
      <c r="D1337" t="s">
        <v>21</v>
      </c>
      <c r="G1337" s="13">
        <v>27620</v>
      </c>
      <c r="H1337" s="4">
        <f t="shared" si="21"/>
        <v>4412</v>
      </c>
    </row>
    <row r="1338" spans="1:8" x14ac:dyDescent="0.35">
      <c r="A1338">
        <v>17054</v>
      </c>
      <c r="B1338" s="16">
        <v>45347</v>
      </c>
      <c r="C1338" s="15">
        <v>3238</v>
      </c>
      <c r="D1338" t="s">
        <v>22</v>
      </c>
      <c r="G1338" s="13">
        <v>98537</v>
      </c>
      <c r="H1338" s="4">
        <f t="shared" si="21"/>
        <v>2429</v>
      </c>
    </row>
    <row r="1339" spans="1:8" x14ac:dyDescent="0.35">
      <c r="A1339">
        <v>80426</v>
      </c>
      <c r="B1339" s="16">
        <v>45347</v>
      </c>
      <c r="C1339" s="15">
        <v>3412</v>
      </c>
      <c r="D1339" t="s">
        <v>22</v>
      </c>
      <c r="G1339" s="13">
        <v>99356</v>
      </c>
      <c r="H1339" s="4">
        <f t="shared" si="21"/>
        <v>639</v>
      </c>
    </row>
    <row r="1340" spans="1:8" x14ac:dyDescent="0.35">
      <c r="A1340">
        <v>36902</v>
      </c>
      <c r="B1340" s="16">
        <v>45347</v>
      </c>
      <c r="C1340" s="15">
        <v>1038</v>
      </c>
      <c r="D1340" t="s">
        <v>22</v>
      </c>
      <c r="G1340" s="13">
        <v>38723</v>
      </c>
      <c r="H1340" s="4">
        <f t="shared" si="21"/>
        <v>3523</v>
      </c>
    </row>
    <row r="1341" spans="1:8" x14ac:dyDescent="0.35">
      <c r="A1341">
        <v>85118</v>
      </c>
      <c r="B1341" s="16">
        <v>45347</v>
      </c>
      <c r="C1341" s="15">
        <v>4327</v>
      </c>
      <c r="D1341" t="s">
        <v>22</v>
      </c>
      <c r="G1341" s="13">
        <v>17683</v>
      </c>
      <c r="H1341" s="4">
        <f t="shared" si="21"/>
        <v>1361</v>
      </c>
    </row>
    <row r="1342" spans="1:8" x14ac:dyDescent="0.35">
      <c r="A1342">
        <v>96697</v>
      </c>
      <c r="B1342" s="16">
        <v>45347</v>
      </c>
      <c r="C1342" s="15">
        <v>3057</v>
      </c>
      <c r="D1342" t="s">
        <v>22</v>
      </c>
      <c r="G1342" s="13">
        <v>36854</v>
      </c>
      <c r="H1342" s="4">
        <f t="shared" si="21"/>
        <v>244</v>
      </c>
    </row>
    <row r="1343" spans="1:8" x14ac:dyDescent="0.35">
      <c r="A1343">
        <v>27620</v>
      </c>
      <c r="B1343" s="16">
        <v>45347</v>
      </c>
      <c r="C1343" s="15">
        <v>4412</v>
      </c>
      <c r="D1343" t="s">
        <v>21</v>
      </c>
      <c r="G1343" s="13">
        <v>32831</v>
      </c>
      <c r="H1343" s="4">
        <f t="shared" si="21"/>
        <v>2224</v>
      </c>
    </row>
    <row r="1344" spans="1:8" x14ac:dyDescent="0.35">
      <c r="A1344">
        <v>98537</v>
      </c>
      <c r="B1344" s="16">
        <v>45347</v>
      </c>
      <c r="C1344" s="15">
        <v>2429</v>
      </c>
      <c r="D1344" t="s">
        <v>21</v>
      </c>
      <c r="G1344" s="13">
        <v>60834</v>
      </c>
      <c r="H1344" s="4">
        <f t="shared" si="21"/>
        <v>4766</v>
      </c>
    </row>
    <row r="1345" spans="1:8" x14ac:dyDescent="0.35">
      <c r="A1345">
        <v>99356</v>
      </c>
      <c r="B1345" s="16">
        <v>45347</v>
      </c>
      <c r="C1345" s="15">
        <v>639</v>
      </c>
      <c r="D1345" t="s">
        <v>21</v>
      </c>
      <c r="G1345" s="13">
        <v>80178</v>
      </c>
      <c r="H1345" s="4">
        <f t="shared" si="21"/>
        <v>3788</v>
      </c>
    </row>
    <row r="1346" spans="1:8" x14ac:dyDescent="0.35">
      <c r="A1346">
        <v>38723</v>
      </c>
      <c r="B1346" s="16">
        <v>45348</v>
      </c>
      <c r="C1346" s="15">
        <v>3523</v>
      </c>
      <c r="D1346" t="s">
        <v>20</v>
      </c>
      <c r="G1346" s="13">
        <v>32561</v>
      </c>
      <c r="H1346" s="4">
        <f t="shared" si="21"/>
        <v>2260</v>
      </c>
    </row>
    <row r="1347" spans="1:8" x14ac:dyDescent="0.35">
      <c r="A1347">
        <v>17683</v>
      </c>
      <c r="B1347" s="16">
        <v>45348</v>
      </c>
      <c r="C1347" s="15">
        <v>1361</v>
      </c>
      <c r="D1347" t="s">
        <v>20</v>
      </c>
      <c r="G1347" s="13">
        <v>26039</v>
      </c>
      <c r="H1347" s="4">
        <f t="shared" si="21"/>
        <v>2566</v>
      </c>
    </row>
    <row r="1348" spans="1:8" x14ac:dyDescent="0.35">
      <c r="A1348">
        <v>36854</v>
      </c>
      <c r="B1348" s="16">
        <v>45348</v>
      </c>
      <c r="C1348" s="15">
        <v>244</v>
      </c>
      <c r="D1348" t="s">
        <v>20</v>
      </c>
      <c r="G1348" s="13">
        <v>48189</v>
      </c>
      <c r="H1348" s="4">
        <f t="shared" si="21"/>
        <v>1300</v>
      </c>
    </row>
    <row r="1349" spans="1:8" x14ac:dyDescent="0.35">
      <c r="A1349">
        <v>32831</v>
      </c>
      <c r="B1349" s="16">
        <v>45348</v>
      </c>
      <c r="C1349" s="15">
        <v>2224</v>
      </c>
      <c r="D1349" t="s">
        <v>22</v>
      </c>
      <c r="G1349" s="13">
        <v>85531</v>
      </c>
      <c r="H1349" s="4">
        <f t="shared" si="21"/>
        <v>767</v>
      </c>
    </row>
    <row r="1350" spans="1:8" x14ac:dyDescent="0.35">
      <c r="A1350">
        <v>60834</v>
      </c>
      <c r="B1350" s="16">
        <v>45348</v>
      </c>
      <c r="C1350" s="15">
        <v>4766</v>
      </c>
      <c r="D1350" t="s">
        <v>22</v>
      </c>
      <c r="G1350" s="13">
        <v>37660</v>
      </c>
      <c r="H1350" s="4">
        <f t="shared" ref="H1350:H1413" si="22">AVERAGEIF($A$2:$A$1501,"="&amp;G1350,$C$2:$C$1501)</f>
        <v>3438</v>
      </c>
    </row>
    <row r="1351" spans="1:8" x14ac:dyDescent="0.35">
      <c r="A1351">
        <v>80178</v>
      </c>
      <c r="B1351" s="16">
        <v>45348</v>
      </c>
      <c r="C1351" s="15">
        <v>3788</v>
      </c>
      <c r="D1351" t="s">
        <v>21</v>
      </c>
      <c r="G1351" s="13">
        <v>36019</v>
      </c>
      <c r="H1351" s="4">
        <f t="shared" si="22"/>
        <v>1782</v>
      </c>
    </row>
    <row r="1352" spans="1:8" x14ac:dyDescent="0.35">
      <c r="A1352">
        <v>32561</v>
      </c>
      <c r="B1352" s="16">
        <v>45348</v>
      </c>
      <c r="C1352" s="15">
        <v>2260</v>
      </c>
      <c r="D1352" t="s">
        <v>20</v>
      </c>
      <c r="G1352" s="13">
        <v>29059</v>
      </c>
      <c r="H1352" s="4">
        <f t="shared" si="22"/>
        <v>2901</v>
      </c>
    </row>
    <row r="1353" spans="1:8" x14ac:dyDescent="0.35">
      <c r="A1353">
        <v>26039</v>
      </c>
      <c r="B1353" s="16">
        <v>45348</v>
      </c>
      <c r="C1353" s="15">
        <v>2566</v>
      </c>
      <c r="D1353" t="s">
        <v>21</v>
      </c>
      <c r="G1353" s="13">
        <v>79582</v>
      </c>
      <c r="H1353" s="4">
        <f t="shared" si="22"/>
        <v>3923</v>
      </c>
    </row>
    <row r="1354" spans="1:8" x14ac:dyDescent="0.35">
      <c r="A1354">
        <v>48189</v>
      </c>
      <c r="B1354" s="16">
        <v>45348</v>
      </c>
      <c r="C1354" s="15">
        <v>1300</v>
      </c>
      <c r="D1354" t="s">
        <v>22</v>
      </c>
      <c r="G1354" s="13">
        <v>69400</v>
      </c>
      <c r="H1354" s="4">
        <f t="shared" si="22"/>
        <v>1944</v>
      </c>
    </row>
    <row r="1355" spans="1:8" x14ac:dyDescent="0.35">
      <c r="A1355">
        <v>85531</v>
      </c>
      <c r="B1355" s="16">
        <v>45348</v>
      </c>
      <c r="C1355" s="15">
        <v>767</v>
      </c>
      <c r="D1355" t="s">
        <v>22</v>
      </c>
      <c r="G1355" s="13">
        <v>29818</v>
      </c>
      <c r="H1355" s="4">
        <f t="shared" si="22"/>
        <v>2029</v>
      </c>
    </row>
    <row r="1356" spans="1:8" x14ac:dyDescent="0.35">
      <c r="A1356">
        <v>37660</v>
      </c>
      <c r="B1356" s="16">
        <v>45348</v>
      </c>
      <c r="C1356" s="15">
        <v>3438</v>
      </c>
      <c r="D1356" t="s">
        <v>20</v>
      </c>
      <c r="G1356" s="13">
        <v>12561</v>
      </c>
      <c r="H1356" s="4">
        <f t="shared" si="22"/>
        <v>1445</v>
      </c>
    </row>
    <row r="1357" spans="1:8" x14ac:dyDescent="0.35">
      <c r="A1357">
        <v>36019</v>
      </c>
      <c r="B1357" s="16">
        <v>45348</v>
      </c>
      <c r="C1357" s="15">
        <v>1782</v>
      </c>
      <c r="D1357" t="s">
        <v>22</v>
      </c>
      <c r="G1357" s="13">
        <v>21228</v>
      </c>
      <c r="H1357" s="4">
        <f t="shared" si="22"/>
        <v>3875</v>
      </c>
    </row>
    <row r="1358" spans="1:8" x14ac:dyDescent="0.35">
      <c r="A1358">
        <v>29059</v>
      </c>
      <c r="B1358" s="16">
        <v>45348</v>
      </c>
      <c r="C1358" s="15">
        <v>2901</v>
      </c>
      <c r="D1358" t="s">
        <v>21</v>
      </c>
      <c r="G1358" s="13">
        <v>24673</v>
      </c>
      <c r="H1358" s="4">
        <f t="shared" si="22"/>
        <v>748</v>
      </c>
    </row>
    <row r="1359" spans="1:8" x14ac:dyDescent="0.35">
      <c r="A1359">
        <v>79582</v>
      </c>
      <c r="B1359" s="16">
        <v>45348</v>
      </c>
      <c r="C1359" s="15">
        <v>3923</v>
      </c>
      <c r="D1359" t="s">
        <v>20</v>
      </c>
      <c r="G1359" s="13">
        <v>31309</v>
      </c>
      <c r="H1359" s="4">
        <f t="shared" si="22"/>
        <v>4736</v>
      </c>
    </row>
    <row r="1360" spans="1:8" x14ac:dyDescent="0.35">
      <c r="A1360">
        <v>69400</v>
      </c>
      <c r="B1360" s="16">
        <v>45348</v>
      </c>
      <c r="C1360" s="15">
        <v>1944</v>
      </c>
      <c r="D1360" t="s">
        <v>20</v>
      </c>
      <c r="G1360" s="13">
        <v>55493</v>
      </c>
      <c r="H1360" s="4">
        <f t="shared" si="22"/>
        <v>4773</v>
      </c>
    </row>
    <row r="1361" spans="1:8" x14ac:dyDescent="0.35">
      <c r="A1361">
        <v>29818</v>
      </c>
      <c r="B1361" s="16">
        <v>45348</v>
      </c>
      <c r="C1361" s="15">
        <v>2029</v>
      </c>
      <c r="D1361" t="s">
        <v>22</v>
      </c>
      <c r="G1361" s="13">
        <v>16976</v>
      </c>
      <c r="H1361" s="4">
        <f t="shared" si="22"/>
        <v>4918</v>
      </c>
    </row>
    <row r="1362" spans="1:8" x14ac:dyDescent="0.35">
      <c r="A1362">
        <v>12561</v>
      </c>
      <c r="B1362" s="16">
        <v>45348</v>
      </c>
      <c r="C1362" s="15">
        <v>1445</v>
      </c>
      <c r="D1362" t="s">
        <v>22</v>
      </c>
      <c r="G1362" s="13">
        <v>16558</v>
      </c>
      <c r="H1362" s="4">
        <f t="shared" si="22"/>
        <v>120</v>
      </c>
    </row>
    <row r="1363" spans="1:8" x14ac:dyDescent="0.35">
      <c r="A1363">
        <v>21228</v>
      </c>
      <c r="B1363" s="16">
        <v>45348</v>
      </c>
      <c r="C1363" s="15">
        <v>3875</v>
      </c>
      <c r="D1363" t="s">
        <v>21</v>
      </c>
      <c r="G1363" s="13">
        <v>40864</v>
      </c>
      <c r="H1363" s="4">
        <f t="shared" si="22"/>
        <v>658</v>
      </c>
    </row>
    <row r="1364" spans="1:8" x14ac:dyDescent="0.35">
      <c r="A1364">
        <v>24673</v>
      </c>
      <c r="B1364" s="16">
        <v>45348</v>
      </c>
      <c r="C1364" s="15">
        <v>748</v>
      </c>
      <c r="D1364" t="s">
        <v>22</v>
      </c>
      <c r="G1364" s="13">
        <v>19793</v>
      </c>
      <c r="H1364" s="4">
        <f t="shared" si="22"/>
        <v>3398</v>
      </c>
    </row>
    <row r="1365" spans="1:8" x14ac:dyDescent="0.35">
      <c r="A1365">
        <v>31309</v>
      </c>
      <c r="B1365" s="16">
        <v>45348</v>
      </c>
      <c r="C1365" s="15">
        <v>4736</v>
      </c>
      <c r="D1365" t="s">
        <v>22</v>
      </c>
      <c r="G1365" s="13">
        <v>53840</v>
      </c>
      <c r="H1365" s="4">
        <f t="shared" si="22"/>
        <v>280</v>
      </c>
    </row>
    <row r="1366" spans="1:8" x14ac:dyDescent="0.35">
      <c r="A1366">
        <v>55493</v>
      </c>
      <c r="B1366" s="16">
        <v>45348</v>
      </c>
      <c r="C1366" s="15">
        <v>4773</v>
      </c>
      <c r="D1366" t="s">
        <v>22</v>
      </c>
      <c r="G1366" s="13">
        <v>15506</v>
      </c>
      <c r="H1366" s="4">
        <f t="shared" si="22"/>
        <v>2550</v>
      </c>
    </row>
    <row r="1367" spans="1:8" x14ac:dyDescent="0.35">
      <c r="A1367">
        <v>16976</v>
      </c>
      <c r="B1367" s="16">
        <v>45348</v>
      </c>
      <c r="C1367" s="15">
        <v>4918</v>
      </c>
      <c r="D1367" t="s">
        <v>20</v>
      </c>
      <c r="G1367" s="13">
        <v>48666</v>
      </c>
      <c r="H1367" s="4">
        <f t="shared" si="22"/>
        <v>609</v>
      </c>
    </row>
    <row r="1368" spans="1:8" x14ac:dyDescent="0.35">
      <c r="A1368">
        <v>16558</v>
      </c>
      <c r="B1368" s="16">
        <v>45348</v>
      </c>
      <c r="C1368" s="15">
        <v>120</v>
      </c>
      <c r="D1368" t="s">
        <v>21</v>
      </c>
      <c r="G1368" s="13">
        <v>70303</v>
      </c>
      <c r="H1368" s="4">
        <f t="shared" si="22"/>
        <v>3352</v>
      </c>
    </row>
    <row r="1369" spans="1:8" x14ac:dyDescent="0.35">
      <c r="A1369">
        <v>40864</v>
      </c>
      <c r="B1369" s="16">
        <v>45348</v>
      </c>
      <c r="C1369" s="15">
        <v>658</v>
      </c>
      <c r="D1369" t="s">
        <v>21</v>
      </c>
      <c r="G1369" s="13">
        <v>31351</v>
      </c>
      <c r="H1369" s="4">
        <f t="shared" si="22"/>
        <v>3854</v>
      </c>
    </row>
    <row r="1370" spans="1:8" x14ac:dyDescent="0.35">
      <c r="A1370">
        <v>19793</v>
      </c>
      <c r="B1370" s="16">
        <v>45349</v>
      </c>
      <c r="C1370" s="15">
        <v>3398</v>
      </c>
      <c r="D1370" t="s">
        <v>21</v>
      </c>
      <c r="G1370" s="13">
        <v>87789</v>
      </c>
      <c r="H1370" s="4">
        <f t="shared" si="22"/>
        <v>1858</v>
      </c>
    </row>
    <row r="1371" spans="1:8" x14ac:dyDescent="0.35">
      <c r="A1371">
        <v>53840</v>
      </c>
      <c r="B1371" s="16">
        <v>45349</v>
      </c>
      <c r="C1371" s="15">
        <v>280</v>
      </c>
      <c r="D1371" t="s">
        <v>20</v>
      </c>
      <c r="G1371" s="13">
        <v>37309</v>
      </c>
      <c r="H1371" s="4">
        <f t="shared" si="22"/>
        <v>1904</v>
      </c>
    </row>
    <row r="1372" spans="1:8" x14ac:dyDescent="0.35">
      <c r="A1372">
        <v>41716</v>
      </c>
      <c r="B1372" s="16">
        <v>45349</v>
      </c>
      <c r="C1372" s="15">
        <v>633</v>
      </c>
      <c r="D1372" t="s">
        <v>21</v>
      </c>
      <c r="G1372" s="13">
        <v>58991</v>
      </c>
      <c r="H1372" s="4">
        <f t="shared" si="22"/>
        <v>4976</v>
      </c>
    </row>
    <row r="1373" spans="1:8" x14ac:dyDescent="0.35">
      <c r="A1373">
        <v>15506</v>
      </c>
      <c r="B1373" s="16">
        <v>45349</v>
      </c>
      <c r="C1373" s="15">
        <v>2550</v>
      </c>
      <c r="D1373" t="s">
        <v>22</v>
      </c>
      <c r="G1373" s="13">
        <v>19363</v>
      </c>
      <c r="H1373" s="4">
        <f t="shared" si="22"/>
        <v>2755</v>
      </c>
    </row>
    <row r="1374" spans="1:8" x14ac:dyDescent="0.35">
      <c r="A1374">
        <v>48666</v>
      </c>
      <c r="B1374" s="16">
        <v>45349</v>
      </c>
      <c r="C1374" s="15">
        <v>609</v>
      </c>
      <c r="D1374" t="s">
        <v>21</v>
      </c>
      <c r="G1374" s="13">
        <v>20709</v>
      </c>
      <c r="H1374" s="4">
        <f t="shared" si="22"/>
        <v>2803</v>
      </c>
    </row>
    <row r="1375" spans="1:8" x14ac:dyDescent="0.35">
      <c r="A1375">
        <v>70303</v>
      </c>
      <c r="B1375" s="16">
        <v>45349</v>
      </c>
      <c r="C1375" s="15">
        <v>3352</v>
      </c>
      <c r="D1375" t="s">
        <v>21</v>
      </c>
      <c r="G1375" s="13">
        <v>27632</v>
      </c>
      <c r="H1375" s="4">
        <f t="shared" si="22"/>
        <v>3201</v>
      </c>
    </row>
    <row r="1376" spans="1:8" x14ac:dyDescent="0.35">
      <c r="A1376">
        <v>31351</v>
      </c>
      <c r="B1376" s="16">
        <v>45349</v>
      </c>
      <c r="C1376" s="15">
        <v>3854</v>
      </c>
      <c r="D1376" t="s">
        <v>20</v>
      </c>
      <c r="G1376" s="13">
        <v>24168</v>
      </c>
      <c r="H1376" s="4">
        <f t="shared" si="22"/>
        <v>2962</v>
      </c>
    </row>
    <row r="1377" spans="1:8" x14ac:dyDescent="0.35">
      <c r="A1377">
        <v>87789</v>
      </c>
      <c r="B1377" s="16">
        <v>45349</v>
      </c>
      <c r="C1377" s="15">
        <v>1858</v>
      </c>
      <c r="D1377" t="s">
        <v>20</v>
      </c>
      <c r="G1377" s="13">
        <v>46226</v>
      </c>
      <c r="H1377" s="4">
        <f t="shared" si="22"/>
        <v>302</v>
      </c>
    </row>
    <row r="1378" spans="1:8" x14ac:dyDescent="0.35">
      <c r="A1378">
        <v>37309</v>
      </c>
      <c r="B1378" s="16">
        <v>45349</v>
      </c>
      <c r="C1378" s="15">
        <v>1904</v>
      </c>
      <c r="D1378" t="s">
        <v>21</v>
      </c>
      <c r="G1378" s="13">
        <v>67846</v>
      </c>
      <c r="H1378" s="4">
        <f t="shared" si="22"/>
        <v>2159</v>
      </c>
    </row>
    <row r="1379" spans="1:8" x14ac:dyDescent="0.35">
      <c r="A1379">
        <v>58991</v>
      </c>
      <c r="B1379" s="16">
        <v>45349</v>
      </c>
      <c r="C1379" s="15">
        <v>4976</v>
      </c>
      <c r="D1379" t="s">
        <v>21</v>
      </c>
      <c r="G1379" s="13">
        <v>96191</v>
      </c>
      <c r="H1379" s="4">
        <f t="shared" si="22"/>
        <v>4473</v>
      </c>
    </row>
    <row r="1380" spans="1:8" x14ac:dyDescent="0.35">
      <c r="A1380">
        <v>19363</v>
      </c>
      <c r="B1380" s="16">
        <v>45349</v>
      </c>
      <c r="C1380" s="15">
        <v>2755</v>
      </c>
      <c r="D1380" t="s">
        <v>22</v>
      </c>
      <c r="G1380" s="13">
        <v>57117</v>
      </c>
      <c r="H1380" s="4">
        <f t="shared" si="22"/>
        <v>1169</v>
      </c>
    </row>
    <row r="1381" spans="1:8" x14ac:dyDescent="0.35">
      <c r="A1381">
        <v>20709</v>
      </c>
      <c r="B1381" s="16">
        <v>45349</v>
      </c>
      <c r="C1381" s="15">
        <v>2803</v>
      </c>
      <c r="D1381" t="s">
        <v>20</v>
      </c>
      <c r="G1381" s="13">
        <v>83167</v>
      </c>
      <c r="H1381" s="4">
        <f t="shared" si="22"/>
        <v>1139</v>
      </c>
    </row>
    <row r="1382" spans="1:8" x14ac:dyDescent="0.35">
      <c r="A1382">
        <v>27632</v>
      </c>
      <c r="B1382" s="16">
        <v>45349</v>
      </c>
      <c r="C1382" s="15">
        <v>3201</v>
      </c>
      <c r="D1382" t="s">
        <v>21</v>
      </c>
      <c r="G1382" s="13">
        <v>13638</v>
      </c>
      <c r="H1382" s="4">
        <f t="shared" si="22"/>
        <v>827</v>
      </c>
    </row>
    <row r="1383" spans="1:8" x14ac:dyDescent="0.35">
      <c r="A1383">
        <v>24168</v>
      </c>
      <c r="B1383" s="16">
        <v>45349</v>
      </c>
      <c r="C1383" s="15">
        <v>2962</v>
      </c>
      <c r="D1383" t="s">
        <v>22</v>
      </c>
      <c r="G1383" s="13">
        <v>51252</v>
      </c>
      <c r="H1383" s="4">
        <f t="shared" si="22"/>
        <v>3141</v>
      </c>
    </row>
    <row r="1384" spans="1:8" x14ac:dyDescent="0.35">
      <c r="A1384">
        <v>46226</v>
      </c>
      <c r="B1384" s="16">
        <v>45349</v>
      </c>
      <c r="C1384" s="15">
        <v>302</v>
      </c>
      <c r="D1384" t="s">
        <v>21</v>
      </c>
      <c r="G1384" s="13">
        <v>81376</v>
      </c>
      <c r="H1384" s="4">
        <f t="shared" si="22"/>
        <v>3215</v>
      </c>
    </row>
    <row r="1385" spans="1:8" x14ac:dyDescent="0.35">
      <c r="A1385">
        <v>67846</v>
      </c>
      <c r="B1385" s="16">
        <v>45349</v>
      </c>
      <c r="C1385" s="15">
        <v>2159</v>
      </c>
      <c r="D1385" t="s">
        <v>21</v>
      </c>
      <c r="G1385" s="13">
        <v>96616</v>
      </c>
      <c r="H1385" s="4">
        <f t="shared" si="22"/>
        <v>1311</v>
      </c>
    </row>
    <row r="1386" spans="1:8" x14ac:dyDescent="0.35">
      <c r="A1386">
        <v>96191</v>
      </c>
      <c r="B1386" s="16">
        <v>45349</v>
      </c>
      <c r="C1386" s="15">
        <v>4473</v>
      </c>
      <c r="D1386" t="s">
        <v>22</v>
      </c>
      <c r="G1386" s="13">
        <v>47004</v>
      </c>
      <c r="H1386" s="4">
        <f t="shared" si="22"/>
        <v>2343</v>
      </c>
    </row>
    <row r="1387" spans="1:8" x14ac:dyDescent="0.35">
      <c r="A1387">
        <v>57117</v>
      </c>
      <c r="B1387" s="16">
        <v>45349</v>
      </c>
      <c r="C1387" s="15">
        <v>1169</v>
      </c>
      <c r="D1387" t="s">
        <v>20</v>
      </c>
      <c r="G1387" s="13">
        <v>66278</v>
      </c>
      <c r="H1387" s="4">
        <f t="shared" si="22"/>
        <v>857</v>
      </c>
    </row>
    <row r="1388" spans="1:8" x14ac:dyDescent="0.35">
      <c r="A1388">
        <v>83167</v>
      </c>
      <c r="B1388" s="16">
        <v>45349</v>
      </c>
      <c r="C1388" s="15">
        <v>1139</v>
      </c>
      <c r="D1388" t="s">
        <v>22</v>
      </c>
      <c r="G1388" s="13">
        <v>48394</v>
      </c>
      <c r="H1388" s="4">
        <f t="shared" si="22"/>
        <v>3937</v>
      </c>
    </row>
    <row r="1389" spans="1:8" x14ac:dyDescent="0.35">
      <c r="A1389">
        <v>13638</v>
      </c>
      <c r="B1389" s="16">
        <v>45349</v>
      </c>
      <c r="C1389" s="15">
        <v>827</v>
      </c>
      <c r="D1389" t="s">
        <v>22</v>
      </c>
      <c r="G1389" s="13">
        <v>13154</v>
      </c>
      <c r="H1389" s="4">
        <f t="shared" si="22"/>
        <v>1593</v>
      </c>
    </row>
    <row r="1390" spans="1:8" x14ac:dyDescent="0.35">
      <c r="A1390">
        <v>51252</v>
      </c>
      <c r="B1390" s="16">
        <v>45349</v>
      </c>
      <c r="C1390" s="15">
        <v>3141</v>
      </c>
      <c r="D1390" t="s">
        <v>20</v>
      </c>
      <c r="G1390" s="13">
        <v>69691</v>
      </c>
      <c r="H1390" s="4">
        <f t="shared" si="22"/>
        <v>757</v>
      </c>
    </row>
    <row r="1391" spans="1:8" x14ac:dyDescent="0.35">
      <c r="A1391">
        <v>81376</v>
      </c>
      <c r="B1391" s="16">
        <v>45349</v>
      </c>
      <c r="C1391" s="15">
        <v>3215</v>
      </c>
      <c r="D1391" t="s">
        <v>20</v>
      </c>
      <c r="G1391" s="13">
        <v>10321</v>
      </c>
      <c r="H1391" s="4">
        <f t="shared" si="22"/>
        <v>2934</v>
      </c>
    </row>
    <row r="1392" spans="1:8" x14ac:dyDescent="0.35">
      <c r="A1392">
        <v>96616</v>
      </c>
      <c r="B1392" s="16">
        <v>45349</v>
      </c>
      <c r="C1392" s="15">
        <v>1311</v>
      </c>
      <c r="D1392" t="s">
        <v>20</v>
      </c>
      <c r="G1392" s="13">
        <v>41085</v>
      </c>
      <c r="H1392" s="4">
        <f t="shared" si="22"/>
        <v>445</v>
      </c>
    </row>
    <row r="1393" spans="1:8" x14ac:dyDescent="0.35">
      <c r="A1393">
        <v>47004</v>
      </c>
      <c r="B1393" s="16">
        <v>45349</v>
      </c>
      <c r="C1393" s="15">
        <v>2343</v>
      </c>
      <c r="D1393" t="s">
        <v>22</v>
      </c>
      <c r="G1393" s="13">
        <v>60878</v>
      </c>
      <c r="H1393" s="4">
        <f t="shared" si="22"/>
        <v>4463</v>
      </c>
    </row>
    <row r="1394" spans="1:8" x14ac:dyDescent="0.35">
      <c r="A1394">
        <v>66278</v>
      </c>
      <c r="B1394" s="16">
        <v>45350</v>
      </c>
      <c r="C1394" s="15">
        <v>857</v>
      </c>
      <c r="D1394" t="s">
        <v>20</v>
      </c>
      <c r="G1394" s="13">
        <v>33750</v>
      </c>
      <c r="H1394" s="4">
        <f t="shared" si="22"/>
        <v>1041</v>
      </c>
    </row>
    <row r="1395" spans="1:8" x14ac:dyDescent="0.35">
      <c r="A1395">
        <v>48394</v>
      </c>
      <c r="B1395" s="16">
        <v>45350</v>
      </c>
      <c r="C1395" s="15">
        <v>3937</v>
      </c>
      <c r="D1395" t="s">
        <v>21</v>
      </c>
      <c r="G1395" s="13">
        <v>98271</v>
      </c>
      <c r="H1395" s="4">
        <f t="shared" si="22"/>
        <v>4280</v>
      </c>
    </row>
    <row r="1396" spans="1:8" x14ac:dyDescent="0.35">
      <c r="A1396">
        <v>13154</v>
      </c>
      <c r="B1396" s="16">
        <v>45350</v>
      </c>
      <c r="C1396" s="15">
        <v>1593</v>
      </c>
      <c r="D1396" t="s">
        <v>22</v>
      </c>
      <c r="G1396" s="13">
        <v>75189</v>
      </c>
      <c r="H1396" s="4">
        <f t="shared" si="22"/>
        <v>291</v>
      </c>
    </row>
    <row r="1397" spans="1:8" x14ac:dyDescent="0.35">
      <c r="A1397">
        <v>69691</v>
      </c>
      <c r="B1397" s="16">
        <v>45350</v>
      </c>
      <c r="C1397" s="15">
        <v>757</v>
      </c>
      <c r="D1397" t="s">
        <v>20</v>
      </c>
      <c r="G1397" s="13">
        <v>54730</v>
      </c>
      <c r="H1397" s="4">
        <f t="shared" si="22"/>
        <v>83</v>
      </c>
    </row>
    <row r="1398" spans="1:8" x14ac:dyDescent="0.35">
      <c r="A1398">
        <v>44016</v>
      </c>
      <c r="B1398" s="16">
        <v>45350</v>
      </c>
      <c r="C1398" s="15">
        <v>371</v>
      </c>
      <c r="D1398" t="s">
        <v>22</v>
      </c>
      <c r="G1398" s="13">
        <v>79435</v>
      </c>
      <c r="H1398" s="4">
        <f t="shared" si="22"/>
        <v>2697</v>
      </c>
    </row>
    <row r="1399" spans="1:8" x14ac:dyDescent="0.35">
      <c r="A1399">
        <v>10321</v>
      </c>
      <c r="B1399" s="16">
        <v>45350</v>
      </c>
      <c r="C1399" s="15">
        <v>2934</v>
      </c>
      <c r="D1399" t="s">
        <v>20</v>
      </c>
      <c r="G1399" s="13">
        <v>67268</v>
      </c>
      <c r="H1399" s="4">
        <f t="shared" si="22"/>
        <v>3603</v>
      </c>
    </row>
    <row r="1400" spans="1:8" x14ac:dyDescent="0.35">
      <c r="A1400">
        <v>41085</v>
      </c>
      <c r="B1400" s="16">
        <v>45350</v>
      </c>
      <c r="C1400" s="15">
        <v>445</v>
      </c>
      <c r="D1400" t="s">
        <v>22</v>
      </c>
      <c r="G1400" s="13">
        <v>63509</v>
      </c>
      <c r="H1400" s="4">
        <f t="shared" si="22"/>
        <v>4163</v>
      </c>
    </row>
    <row r="1401" spans="1:8" x14ac:dyDescent="0.35">
      <c r="A1401">
        <v>60878</v>
      </c>
      <c r="B1401" s="16">
        <v>45350</v>
      </c>
      <c r="C1401" s="15">
        <v>4463</v>
      </c>
      <c r="D1401" t="s">
        <v>22</v>
      </c>
      <c r="G1401" s="13">
        <v>51754</v>
      </c>
      <c r="H1401" s="4">
        <f t="shared" si="22"/>
        <v>1278</v>
      </c>
    </row>
    <row r="1402" spans="1:8" x14ac:dyDescent="0.35">
      <c r="A1402">
        <v>33750</v>
      </c>
      <c r="B1402" s="16">
        <v>45350</v>
      </c>
      <c r="C1402" s="15">
        <v>1041</v>
      </c>
      <c r="D1402" t="s">
        <v>21</v>
      </c>
      <c r="G1402" s="13">
        <v>30138</v>
      </c>
      <c r="H1402" s="4">
        <f t="shared" si="22"/>
        <v>3052</v>
      </c>
    </row>
    <row r="1403" spans="1:8" x14ac:dyDescent="0.35">
      <c r="A1403">
        <v>98271</v>
      </c>
      <c r="B1403" s="16">
        <v>45350</v>
      </c>
      <c r="C1403" s="15">
        <v>4280</v>
      </c>
      <c r="D1403" t="s">
        <v>20</v>
      </c>
      <c r="G1403" s="13">
        <v>69815</v>
      </c>
      <c r="H1403" s="4">
        <f t="shared" si="22"/>
        <v>390</v>
      </c>
    </row>
    <row r="1404" spans="1:8" x14ac:dyDescent="0.35">
      <c r="A1404">
        <v>75189</v>
      </c>
      <c r="B1404" s="16">
        <v>45350</v>
      </c>
      <c r="C1404" s="15">
        <v>291</v>
      </c>
      <c r="D1404" t="s">
        <v>20</v>
      </c>
      <c r="G1404" s="13">
        <v>87050</v>
      </c>
      <c r="H1404" s="4">
        <f t="shared" si="22"/>
        <v>3731</v>
      </c>
    </row>
    <row r="1405" spans="1:8" x14ac:dyDescent="0.35">
      <c r="A1405">
        <v>54730</v>
      </c>
      <c r="B1405" s="16">
        <v>45350</v>
      </c>
      <c r="C1405" s="15">
        <v>83</v>
      </c>
      <c r="D1405" t="s">
        <v>21</v>
      </c>
      <c r="G1405" s="13">
        <v>89230</v>
      </c>
      <c r="H1405" s="4">
        <f t="shared" si="22"/>
        <v>4241</v>
      </c>
    </row>
    <row r="1406" spans="1:8" x14ac:dyDescent="0.35">
      <c r="A1406">
        <v>79435</v>
      </c>
      <c r="B1406" s="16">
        <v>45350</v>
      </c>
      <c r="C1406" s="15">
        <v>2697</v>
      </c>
      <c r="D1406" t="s">
        <v>22</v>
      </c>
      <c r="G1406" s="13">
        <v>21805</v>
      </c>
      <c r="H1406" s="4">
        <f t="shared" si="22"/>
        <v>3891</v>
      </c>
    </row>
    <row r="1407" spans="1:8" x14ac:dyDescent="0.35">
      <c r="A1407">
        <v>67268</v>
      </c>
      <c r="B1407" s="16">
        <v>45350</v>
      </c>
      <c r="C1407" s="15">
        <v>3603</v>
      </c>
      <c r="D1407" t="s">
        <v>20</v>
      </c>
      <c r="G1407" s="13">
        <v>27148</v>
      </c>
      <c r="H1407" s="4">
        <f t="shared" si="22"/>
        <v>1645</v>
      </c>
    </row>
    <row r="1408" spans="1:8" x14ac:dyDescent="0.35">
      <c r="A1408">
        <v>63509</v>
      </c>
      <c r="B1408" s="16">
        <v>45350</v>
      </c>
      <c r="C1408" s="15">
        <v>4163</v>
      </c>
      <c r="D1408" t="s">
        <v>22</v>
      </c>
      <c r="G1408" s="13">
        <v>81732</v>
      </c>
      <c r="H1408" s="4">
        <f t="shared" si="22"/>
        <v>3960</v>
      </c>
    </row>
    <row r="1409" spans="1:8" x14ac:dyDescent="0.35">
      <c r="A1409">
        <v>51754</v>
      </c>
      <c r="B1409" s="16">
        <v>45350</v>
      </c>
      <c r="C1409" s="15">
        <v>1278</v>
      </c>
      <c r="D1409" t="s">
        <v>21</v>
      </c>
      <c r="G1409" s="13">
        <v>63417</v>
      </c>
      <c r="H1409" s="4">
        <f t="shared" si="22"/>
        <v>4537</v>
      </c>
    </row>
    <row r="1410" spans="1:8" x14ac:dyDescent="0.35">
      <c r="A1410">
        <v>30138</v>
      </c>
      <c r="B1410" s="16">
        <v>45350</v>
      </c>
      <c r="C1410" s="15">
        <v>3052</v>
      </c>
      <c r="D1410" t="s">
        <v>22</v>
      </c>
      <c r="G1410" s="13">
        <v>27582</v>
      </c>
      <c r="H1410" s="4">
        <f t="shared" si="22"/>
        <v>3901</v>
      </c>
    </row>
    <row r="1411" spans="1:8" x14ac:dyDescent="0.35">
      <c r="A1411">
        <v>69815</v>
      </c>
      <c r="B1411" s="16">
        <v>45350</v>
      </c>
      <c r="C1411" s="15">
        <v>390</v>
      </c>
      <c r="D1411" t="s">
        <v>22</v>
      </c>
      <c r="G1411" s="13">
        <v>74155</v>
      </c>
      <c r="H1411" s="4">
        <f t="shared" si="22"/>
        <v>348</v>
      </c>
    </row>
    <row r="1412" spans="1:8" x14ac:dyDescent="0.35">
      <c r="A1412">
        <v>87050</v>
      </c>
      <c r="B1412" s="16">
        <v>45350</v>
      </c>
      <c r="C1412" s="15">
        <v>3731</v>
      </c>
      <c r="D1412" t="s">
        <v>20</v>
      </c>
      <c r="G1412" s="13">
        <v>91235</v>
      </c>
      <c r="H1412" s="4">
        <f t="shared" si="22"/>
        <v>304</v>
      </c>
    </row>
    <row r="1413" spans="1:8" x14ac:dyDescent="0.35">
      <c r="A1413">
        <v>89230</v>
      </c>
      <c r="B1413" s="16">
        <v>45350</v>
      </c>
      <c r="C1413" s="15">
        <v>4241</v>
      </c>
      <c r="D1413" t="s">
        <v>21</v>
      </c>
      <c r="G1413" s="13">
        <v>40292</v>
      </c>
      <c r="H1413" s="4">
        <f t="shared" si="22"/>
        <v>3605</v>
      </c>
    </row>
    <row r="1414" spans="1:8" x14ac:dyDescent="0.35">
      <c r="A1414">
        <v>21805</v>
      </c>
      <c r="B1414" s="16">
        <v>45350</v>
      </c>
      <c r="C1414" s="15">
        <v>3891</v>
      </c>
      <c r="D1414" t="s">
        <v>21</v>
      </c>
      <c r="G1414" s="13">
        <v>96821</v>
      </c>
      <c r="H1414" s="4">
        <f t="shared" ref="H1414:H1477" si="23">AVERAGEIF($A$2:$A$1501,"="&amp;G1414,$C$2:$C$1501)</f>
        <v>3898</v>
      </c>
    </row>
    <row r="1415" spans="1:8" x14ac:dyDescent="0.35">
      <c r="A1415">
        <v>27148</v>
      </c>
      <c r="B1415" s="16">
        <v>45350</v>
      </c>
      <c r="C1415" s="15">
        <v>1645</v>
      </c>
      <c r="D1415" t="s">
        <v>22</v>
      </c>
      <c r="G1415" s="13">
        <v>27432</v>
      </c>
      <c r="H1415" s="4">
        <f t="shared" si="23"/>
        <v>4364</v>
      </c>
    </row>
    <row r="1416" spans="1:8" x14ac:dyDescent="0.35">
      <c r="A1416">
        <v>81732</v>
      </c>
      <c r="B1416" s="16">
        <v>45350</v>
      </c>
      <c r="C1416" s="15">
        <v>3960</v>
      </c>
      <c r="D1416" t="s">
        <v>21</v>
      </c>
      <c r="G1416" s="13">
        <v>27734</v>
      </c>
      <c r="H1416" s="4">
        <f t="shared" si="23"/>
        <v>3753</v>
      </c>
    </row>
    <row r="1417" spans="1:8" x14ac:dyDescent="0.35">
      <c r="A1417">
        <v>63417</v>
      </c>
      <c r="B1417" s="16">
        <v>45350</v>
      </c>
      <c r="C1417" s="15">
        <v>4537</v>
      </c>
      <c r="D1417" t="s">
        <v>21</v>
      </c>
      <c r="G1417" s="13">
        <v>42580</v>
      </c>
      <c r="H1417" s="4">
        <f t="shared" si="23"/>
        <v>3986</v>
      </c>
    </row>
    <row r="1418" spans="1:8" x14ac:dyDescent="0.35">
      <c r="A1418">
        <v>27582</v>
      </c>
      <c r="B1418" s="16">
        <v>45351</v>
      </c>
      <c r="C1418" s="15">
        <v>3901</v>
      </c>
      <c r="D1418" t="s">
        <v>21</v>
      </c>
      <c r="G1418" s="13">
        <v>28696</v>
      </c>
      <c r="H1418" s="4">
        <f t="shared" si="23"/>
        <v>101</v>
      </c>
    </row>
    <row r="1419" spans="1:8" x14ac:dyDescent="0.35">
      <c r="A1419">
        <v>74155</v>
      </c>
      <c r="B1419" s="16">
        <v>45351</v>
      </c>
      <c r="C1419" s="15">
        <v>348</v>
      </c>
      <c r="D1419" t="s">
        <v>21</v>
      </c>
      <c r="G1419" s="13">
        <v>53161</v>
      </c>
      <c r="H1419" s="4">
        <f t="shared" si="23"/>
        <v>1236</v>
      </c>
    </row>
    <row r="1420" spans="1:8" x14ac:dyDescent="0.35">
      <c r="A1420">
        <v>91235</v>
      </c>
      <c r="B1420" s="16">
        <v>45351</v>
      </c>
      <c r="C1420" s="15">
        <v>304</v>
      </c>
      <c r="D1420" t="s">
        <v>21</v>
      </c>
      <c r="G1420" s="13">
        <v>23134</v>
      </c>
      <c r="H1420" s="4">
        <f t="shared" si="23"/>
        <v>2209</v>
      </c>
    </row>
    <row r="1421" spans="1:8" x14ac:dyDescent="0.35">
      <c r="A1421">
        <v>40292</v>
      </c>
      <c r="B1421" s="16">
        <v>45351</v>
      </c>
      <c r="C1421" s="15">
        <v>3605</v>
      </c>
      <c r="D1421" t="s">
        <v>21</v>
      </c>
      <c r="G1421" s="13">
        <v>97439</v>
      </c>
      <c r="H1421" s="4">
        <f t="shared" si="23"/>
        <v>2395</v>
      </c>
    </row>
    <row r="1422" spans="1:8" x14ac:dyDescent="0.35">
      <c r="A1422">
        <v>96821</v>
      </c>
      <c r="B1422" s="16">
        <v>45351</v>
      </c>
      <c r="C1422" s="15">
        <v>3898</v>
      </c>
      <c r="D1422" t="s">
        <v>21</v>
      </c>
      <c r="G1422" s="13">
        <v>50366</v>
      </c>
      <c r="H1422" s="4">
        <f t="shared" si="23"/>
        <v>3786</v>
      </c>
    </row>
    <row r="1423" spans="1:8" x14ac:dyDescent="0.35">
      <c r="A1423">
        <v>27432</v>
      </c>
      <c r="B1423" s="16">
        <v>45351</v>
      </c>
      <c r="C1423" s="15">
        <v>4364</v>
      </c>
      <c r="D1423" t="s">
        <v>22</v>
      </c>
      <c r="G1423" s="13">
        <v>44990</v>
      </c>
      <c r="H1423" s="4">
        <f t="shared" si="23"/>
        <v>863</v>
      </c>
    </row>
    <row r="1424" spans="1:8" x14ac:dyDescent="0.35">
      <c r="A1424">
        <v>27734</v>
      </c>
      <c r="B1424" s="16">
        <v>45351</v>
      </c>
      <c r="C1424" s="15">
        <v>3753</v>
      </c>
      <c r="D1424" t="s">
        <v>22</v>
      </c>
      <c r="G1424" s="13">
        <v>38657</v>
      </c>
      <c r="H1424" s="4">
        <f t="shared" si="23"/>
        <v>1092</v>
      </c>
    </row>
    <row r="1425" spans="1:8" x14ac:dyDescent="0.35">
      <c r="A1425">
        <v>42580</v>
      </c>
      <c r="B1425" s="16">
        <v>45351</v>
      </c>
      <c r="C1425" s="15">
        <v>3986</v>
      </c>
      <c r="D1425" t="s">
        <v>21</v>
      </c>
      <c r="G1425" s="13">
        <v>67427</v>
      </c>
      <c r="H1425" s="4">
        <f t="shared" si="23"/>
        <v>1369</v>
      </c>
    </row>
    <row r="1426" spans="1:8" x14ac:dyDescent="0.35">
      <c r="A1426">
        <v>28696</v>
      </c>
      <c r="B1426" s="16">
        <v>45351</v>
      </c>
      <c r="C1426" s="15">
        <v>101</v>
      </c>
      <c r="D1426" t="s">
        <v>20</v>
      </c>
      <c r="G1426" s="13">
        <v>71443</v>
      </c>
      <c r="H1426" s="4">
        <f t="shared" si="23"/>
        <v>2341</v>
      </c>
    </row>
    <row r="1427" spans="1:8" x14ac:dyDescent="0.35">
      <c r="A1427">
        <v>53161</v>
      </c>
      <c r="B1427" s="16">
        <v>45351</v>
      </c>
      <c r="C1427" s="15">
        <v>1236</v>
      </c>
      <c r="D1427" t="s">
        <v>21</v>
      </c>
      <c r="G1427" s="13">
        <v>10422</v>
      </c>
      <c r="H1427" s="4">
        <f t="shared" si="23"/>
        <v>3168</v>
      </c>
    </row>
    <row r="1428" spans="1:8" x14ac:dyDescent="0.35">
      <c r="A1428">
        <v>23134</v>
      </c>
      <c r="B1428" s="16">
        <v>45351</v>
      </c>
      <c r="C1428" s="15">
        <v>2209</v>
      </c>
      <c r="D1428" t="s">
        <v>20</v>
      </c>
      <c r="G1428" s="13">
        <v>45626</v>
      </c>
      <c r="H1428" s="4">
        <f t="shared" si="23"/>
        <v>78</v>
      </c>
    </row>
    <row r="1429" spans="1:8" x14ac:dyDescent="0.35">
      <c r="A1429">
        <v>97439</v>
      </c>
      <c r="B1429" s="16">
        <v>45351</v>
      </c>
      <c r="C1429" s="15">
        <v>2395</v>
      </c>
      <c r="D1429" t="s">
        <v>21</v>
      </c>
      <c r="G1429" s="13">
        <v>52429</v>
      </c>
      <c r="H1429" s="4">
        <f t="shared" si="23"/>
        <v>2029</v>
      </c>
    </row>
    <row r="1430" spans="1:8" x14ac:dyDescent="0.35">
      <c r="A1430">
        <v>50366</v>
      </c>
      <c r="B1430" s="16">
        <v>45351</v>
      </c>
      <c r="C1430" s="15">
        <v>3786</v>
      </c>
      <c r="D1430" t="s">
        <v>20</v>
      </c>
      <c r="G1430" s="13">
        <v>79672</v>
      </c>
      <c r="H1430" s="4">
        <f t="shared" si="23"/>
        <v>1331</v>
      </c>
    </row>
    <row r="1431" spans="1:8" x14ac:dyDescent="0.35">
      <c r="A1431">
        <v>44990</v>
      </c>
      <c r="B1431" s="16">
        <v>45351</v>
      </c>
      <c r="C1431" s="15">
        <v>863</v>
      </c>
      <c r="D1431" t="s">
        <v>21</v>
      </c>
      <c r="G1431" s="13">
        <v>38060</v>
      </c>
      <c r="H1431" s="4">
        <f t="shared" si="23"/>
        <v>3607</v>
      </c>
    </row>
    <row r="1432" spans="1:8" x14ac:dyDescent="0.35">
      <c r="A1432">
        <v>38657</v>
      </c>
      <c r="B1432" s="16">
        <v>45351</v>
      </c>
      <c r="C1432" s="15">
        <v>1092</v>
      </c>
      <c r="D1432" t="s">
        <v>20</v>
      </c>
      <c r="G1432" s="13">
        <v>84473</v>
      </c>
      <c r="H1432" s="4">
        <f t="shared" si="23"/>
        <v>2977</v>
      </c>
    </row>
    <row r="1433" spans="1:8" x14ac:dyDescent="0.35">
      <c r="A1433">
        <v>67427</v>
      </c>
      <c r="B1433" s="16">
        <v>45351</v>
      </c>
      <c r="C1433" s="15">
        <v>1369</v>
      </c>
      <c r="D1433" t="s">
        <v>21</v>
      </c>
      <c r="G1433" s="13">
        <v>64193</v>
      </c>
      <c r="H1433" s="4">
        <f t="shared" si="23"/>
        <v>1571</v>
      </c>
    </row>
    <row r="1434" spans="1:8" x14ac:dyDescent="0.35">
      <c r="A1434">
        <v>71443</v>
      </c>
      <c r="B1434" s="16">
        <v>45351</v>
      </c>
      <c r="C1434" s="15">
        <v>2341</v>
      </c>
      <c r="D1434" t="s">
        <v>21</v>
      </c>
      <c r="G1434" s="13">
        <v>48845</v>
      </c>
      <c r="H1434" s="4">
        <f t="shared" si="23"/>
        <v>2985</v>
      </c>
    </row>
    <row r="1435" spans="1:8" x14ac:dyDescent="0.35">
      <c r="A1435">
        <v>10422</v>
      </c>
      <c r="B1435" s="16">
        <v>45351</v>
      </c>
      <c r="C1435" s="15">
        <v>3168</v>
      </c>
      <c r="D1435" t="s">
        <v>20</v>
      </c>
      <c r="G1435" s="13">
        <v>11264</v>
      </c>
      <c r="H1435" s="4">
        <f t="shared" si="23"/>
        <v>3304</v>
      </c>
    </row>
    <row r="1436" spans="1:8" x14ac:dyDescent="0.35">
      <c r="A1436">
        <v>45626</v>
      </c>
      <c r="B1436" s="16">
        <v>45351</v>
      </c>
      <c r="C1436" s="15">
        <v>78</v>
      </c>
      <c r="D1436" t="s">
        <v>22</v>
      </c>
      <c r="G1436" s="13">
        <v>42607</v>
      </c>
      <c r="H1436" s="4">
        <f t="shared" si="23"/>
        <v>4398</v>
      </c>
    </row>
    <row r="1437" spans="1:8" x14ac:dyDescent="0.35">
      <c r="A1437">
        <v>52429</v>
      </c>
      <c r="B1437" s="16">
        <v>45351</v>
      </c>
      <c r="C1437" s="15">
        <v>2029</v>
      </c>
      <c r="D1437" t="s">
        <v>22</v>
      </c>
      <c r="G1437" s="13">
        <v>42909</v>
      </c>
      <c r="H1437" s="4">
        <f t="shared" si="23"/>
        <v>1609</v>
      </c>
    </row>
    <row r="1438" spans="1:8" x14ac:dyDescent="0.35">
      <c r="A1438">
        <v>79672</v>
      </c>
      <c r="B1438" s="16">
        <v>45351</v>
      </c>
      <c r="C1438" s="15">
        <v>1331</v>
      </c>
      <c r="D1438" t="s">
        <v>22</v>
      </c>
      <c r="G1438" s="13">
        <v>17803</v>
      </c>
      <c r="H1438" s="4">
        <f t="shared" si="23"/>
        <v>4747</v>
      </c>
    </row>
    <row r="1439" spans="1:8" x14ac:dyDescent="0.35">
      <c r="A1439">
        <v>38060</v>
      </c>
      <c r="B1439" s="16">
        <v>45351</v>
      </c>
      <c r="C1439" s="15">
        <v>3607</v>
      </c>
      <c r="D1439" t="s">
        <v>21</v>
      </c>
      <c r="G1439" s="13">
        <v>47413</v>
      </c>
      <c r="H1439" s="4">
        <f t="shared" si="23"/>
        <v>4494</v>
      </c>
    </row>
    <row r="1440" spans="1:8" x14ac:dyDescent="0.35">
      <c r="A1440">
        <v>84473</v>
      </c>
      <c r="B1440" s="16">
        <v>45351</v>
      </c>
      <c r="C1440" s="15">
        <v>2977</v>
      </c>
      <c r="D1440" t="s">
        <v>22</v>
      </c>
      <c r="G1440" s="13">
        <v>72452</v>
      </c>
      <c r="H1440" s="4">
        <f t="shared" si="23"/>
        <v>4086</v>
      </c>
    </row>
    <row r="1441" spans="1:8" x14ac:dyDescent="0.35">
      <c r="A1441">
        <v>64193</v>
      </c>
      <c r="B1441" s="16">
        <v>45351</v>
      </c>
      <c r="C1441" s="15">
        <v>1571</v>
      </c>
      <c r="D1441" t="s">
        <v>20</v>
      </c>
      <c r="G1441" s="13">
        <v>98959</v>
      </c>
      <c r="H1441" s="4">
        <f t="shared" si="23"/>
        <v>1718</v>
      </c>
    </row>
    <row r="1442" spans="1:8" x14ac:dyDescent="0.35">
      <c r="A1442">
        <v>48845</v>
      </c>
      <c r="B1442" s="16">
        <v>45352</v>
      </c>
      <c r="C1442" s="15">
        <v>2985</v>
      </c>
      <c r="D1442" t="s">
        <v>20</v>
      </c>
      <c r="G1442" s="13">
        <v>74906</v>
      </c>
      <c r="H1442" s="4">
        <f t="shared" si="23"/>
        <v>1690</v>
      </c>
    </row>
    <row r="1443" spans="1:8" x14ac:dyDescent="0.35">
      <c r="A1443">
        <v>11264</v>
      </c>
      <c r="B1443" s="16">
        <v>45352</v>
      </c>
      <c r="C1443" s="15">
        <v>3304</v>
      </c>
      <c r="D1443" t="s">
        <v>21</v>
      </c>
      <c r="G1443" s="13">
        <v>27275</v>
      </c>
      <c r="H1443" s="4">
        <f t="shared" si="23"/>
        <v>2847</v>
      </c>
    </row>
    <row r="1444" spans="1:8" x14ac:dyDescent="0.35">
      <c r="A1444">
        <v>42607</v>
      </c>
      <c r="B1444" s="16">
        <v>45352</v>
      </c>
      <c r="C1444" s="15">
        <v>4398</v>
      </c>
      <c r="D1444" t="s">
        <v>20</v>
      </c>
      <c r="G1444" s="13">
        <v>41123</v>
      </c>
      <c r="H1444" s="4">
        <f t="shared" si="23"/>
        <v>1810</v>
      </c>
    </row>
    <row r="1445" spans="1:8" x14ac:dyDescent="0.35">
      <c r="A1445">
        <v>42909</v>
      </c>
      <c r="B1445" s="16">
        <v>45352</v>
      </c>
      <c r="C1445" s="15">
        <v>1609</v>
      </c>
      <c r="D1445" t="s">
        <v>21</v>
      </c>
      <c r="G1445" s="13">
        <v>94749</v>
      </c>
      <c r="H1445" s="4">
        <f t="shared" si="23"/>
        <v>724</v>
      </c>
    </row>
    <row r="1446" spans="1:8" x14ac:dyDescent="0.35">
      <c r="A1446">
        <v>17803</v>
      </c>
      <c r="B1446" s="16">
        <v>45352</v>
      </c>
      <c r="C1446" s="15">
        <v>4747</v>
      </c>
      <c r="D1446" t="s">
        <v>20</v>
      </c>
      <c r="G1446" s="13">
        <v>20214</v>
      </c>
      <c r="H1446" s="4">
        <f t="shared" si="23"/>
        <v>2744</v>
      </c>
    </row>
    <row r="1447" spans="1:8" x14ac:dyDescent="0.35">
      <c r="A1447">
        <v>47413</v>
      </c>
      <c r="B1447" s="16">
        <v>45352</v>
      </c>
      <c r="C1447" s="15">
        <v>4494</v>
      </c>
      <c r="D1447" t="s">
        <v>22</v>
      </c>
      <c r="G1447" s="13">
        <v>31115</v>
      </c>
      <c r="H1447" s="4">
        <f t="shared" si="23"/>
        <v>1728</v>
      </c>
    </row>
    <row r="1448" spans="1:8" x14ac:dyDescent="0.35">
      <c r="A1448">
        <v>72452</v>
      </c>
      <c r="B1448" s="16">
        <v>45352</v>
      </c>
      <c r="C1448" s="15">
        <v>4086</v>
      </c>
      <c r="D1448" t="s">
        <v>22</v>
      </c>
      <c r="G1448" s="13">
        <v>86465</v>
      </c>
      <c r="H1448" s="4">
        <f t="shared" si="23"/>
        <v>319</v>
      </c>
    </row>
    <row r="1449" spans="1:8" x14ac:dyDescent="0.35">
      <c r="A1449">
        <v>98959</v>
      </c>
      <c r="B1449" s="16">
        <v>45352</v>
      </c>
      <c r="C1449" s="15">
        <v>1718</v>
      </c>
      <c r="D1449" t="s">
        <v>20</v>
      </c>
      <c r="G1449" s="13">
        <v>43672</v>
      </c>
      <c r="H1449" s="4">
        <f t="shared" si="23"/>
        <v>4162</v>
      </c>
    </row>
    <row r="1450" spans="1:8" x14ac:dyDescent="0.35">
      <c r="A1450">
        <v>74906</v>
      </c>
      <c r="B1450" s="16">
        <v>45352</v>
      </c>
      <c r="C1450" s="15">
        <v>1690</v>
      </c>
      <c r="D1450" t="s">
        <v>20</v>
      </c>
      <c r="G1450" s="13">
        <v>12238</v>
      </c>
      <c r="H1450" s="4">
        <f t="shared" si="23"/>
        <v>4389</v>
      </c>
    </row>
    <row r="1451" spans="1:8" x14ac:dyDescent="0.35">
      <c r="A1451">
        <v>90693</v>
      </c>
      <c r="B1451" s="16">
        <v>45352</v>
      </c>
      <c r="C1451" s="15">
        <v>2687</v>
      </c>
      <c r="D1451" t="s">
        <v>21</v>
      </c>
      <c r="G1451" s="13">
        <v>27871</v>
      </c>
      <c r="H1451" s="4">
        <f t="shared" si="23"/>
        <v>2516</v>
      </c>
    </row>
    <row r="1452" spans="1:8" x14ac:dyDescent="0.35">
      <c r="A1452">
        <v>27275</v>
      </c>
      <c r="B1452" s="16">
        <v>45352</v>
      </c>
      <c r="C1452" s="15">
        <v>2847</v>
      </c>
      <c r="D1452" t="s">
        <v>22</v>
      </c>
      <c r="G1452" s="13">
        <v>12515</v>
      </c>
      <c r="H1452" s="4">
        <f t="shared" si="23"/>
        <v>4456</v>
      </c>
    </row>
    <row r="1453" spans="1:8" x14ac:dyDescent="0.35">
      <c r="A1453">
        <v>41123</v>
      </c>
      <c r="B1453" s="16">
        <v>45352</v>
      </c>
      <c r="C1453" s="15">
        <v>1810</v>
      </c>
      <c r="D1453" t="s">
        <v>20</v>
      </c>
      <c r="G1453" s="13">
        <v>68230</v>
      </c>
      <c r="H1453" s="4">
        <f t="shared" si="23"/>
        <v>178</v>
      </c>
    </row>
    <row r="1454" spans="1:8" x14ac:dyDescent="0.35">
      <c r="A1454">
        <v>94749</v>
      </c>
      <c r="B1454" s="16">
        <v>45352</v>
      </c>
      <c r="C1454" s="15">
        <v>724</v>
      </c>
      <c r="D1454" t="s">
        <v>21</v>
      </c>
      <c r="G1454" s="13">
        <v>26774</v>
      </c>
      <c r="H1454" s="4">
        <f t="shared" si="23"/>
        <v>4319</v>
      </c>
    </row>
    <row r="1455" spans="1:8" x14ac:dyDescent="0.35">
      <c r="A1455">
        <v>20214</v>
      </c>
      <c r="B1455" s="16">
        <v>45352</v>
      </c>
      <c r="C1455" s="15">
        <v>2744</v>
      </c>
      <c r="D1455" t="s">
        <v>20</v>
      </c>
      <c r="G1455" s="13">
        <v>78205</v>
      </c>
      <c r="H1455" s="4">
        <f t="shared" si="23"/>
        <v>2756</v>
      </c>
    </row>
    <row r="1456" spans="1:8" x14ac:dyDescent="0.35">
      <c r="A1456">
        <v>31115</v>
      </c>
      <c r="B1456" s="16">
        <v>45352</v>
      </c>
      <c r="C1456" s="15">
        <v>1728</v>
      </c>
      <c r="D1456" t="s">
        <v>22</v>
      </c>
      <c r="G1456" s="13">
        <v>26762</v>
      </c>
      <c r="H1456" s="4">
        <f t="shared" si="23"/>
        <v>2748</v>
      </c>
    </row>
    <row r="1457" spans="1:8" x14ac:dyDescent="0.35">
      <c r="A1457">
        <v>86465</v>
      </c>
      <c r="B1457" s="16">
        <v>45352</v>
      </c>
      <c r="C1457" s="15">
        <v>319</v>
      </c>
      <c r="D1457" t="s">
        <v>21</v>
      </c>
      <c r="G1457" s="13">
        <v>22117</v>
      </c>
      <c r="H1457" s="4">
        <f t="shared" si="23"/>
        <v>3406</v>
      </c>
    </row>
    <row r="1458" spans="1:8" x14ac:dyDescent="0.35">
      <c r="A1458">
        <v>43672</v>
      </c>
      <c r="B1458" s="16">
        <v>45352</v>
      </c>
      <c r="C1458" s="15">
        <v>4162</v>
      </c>
      <c r="D1458" t="s">
        <v>21</v>
      </c>
      <c r="G1458" s="13">
        <v>99513</v>
      </c>
      <c r="H1458" s="4">
        <f t="shared" si="23"/>
        <v>4420</v>
      </c>
    </row>
    <row r="1459" spans="1:8" x14ac:dyDescent="0.35">
      <c r="A1459">
        <v>12238</v>
      </c>
      <c r="B1459" s="16">
        <v>45352</v>
      </c>
      <c r="C1459" s="15">
        <v>4389</v>
      </c>
      <c r="D1459" t="s">
        <v>20</v>
      </c>
      <c r="G1459" s="13">
        <v>54406</v>
      </c>
      <c r="H1459" s="4">
        <f t="shared" si="23"/>
        <v>1639</v>
      </c>
    </row>
    <row r="1460" spans="1:8" x14ac:dyDescent="0.35">
      <c r="A1460">
        <v>27871</v>
      </c>
      <c r="B1460" s="16">
        <v>45352</v>
      </c>
      <c r="C1460" s="15">
        <v>2516</v>
      </c>
      <c r="D1460" t="s">
        <v>20</v>
      </c>
      <c r="G1460" s="13">
        <v>34214</v>
      </c>
      <c r="H1460" s="4">
        <f t="shared" si="23"/>
        <v>524</v>
      </c>
    </row>
    <row r="1461" spans="1:8" x14ac:dyDescent="0.35">
      <c r="A1461">
        <v>12515</v>
      </c>
      <c r="B1461" s="16">
        <v>45352</v>
      </c>
      <c r="C1461" s="15">
        <v>4456</v>
      </c>
      <c r="D1461" t="s">
        <v>20</v>
      </c>
      <c r="G1461" s="13">
        <v>68384</v>
      </c>
      <c r="H1461" s="4">
        <f t="shared" si="23"/>
        <v>3791</v>
      </c>
    </row>
    <row r="1462" spans="1:8" x14ac:dyDescent="0.35">
      <c r="A1462">
        <v>68230</v>
      </c>
      <c r="B1462" s="16">
        <v>45352</v>
      </c>
      <c r="C1462" s="15">
        <v>178</v>
      </c>
      <c r="D1462" t="s">
        <v>22</v>
      </c>
      <c r="G1462" s="13">
        <v>30217</v>
      </c>
      <c r="H1462" s="4">
        <f t="shared" si="23"/>
        <v>2790</v>
      </c>
    </row>
    <row r="1463" spans="1:8" x14ac:dyDescent="0.35">
      <c r="A1463">
        <v>26774</v>
      </c>
      <c r="B1463" s="16">
        <v>45352</v>
      </c>
      <c r="C1463" s="15">
        <v>4319</v>
      </c>
      <c r="D1463" t="s">
        <v>21</v>
      </c>
      <c r="G1463" s="13">
        <v>33167</v>
      </c>
      <c r="H1463" s="4">
        <f t="shared" si="23"/>
        <v>4846</v>
      </c>
    </row>
    <row r="1464" spans="1:8" x14ac:dyDescent="0.35">
      <c r="A1464">
        <v>78205</v>
      </c>
      <c r="B1464" s="16">
        <v>45352</v>
      </c>
      <c r="C1464" s="15">
        <v>2756</v>
      </c>
      <c r="D1464" t="s">
        <v>20</v>
      </c>
      <c r="G1464" s="13">
        <v>68758</v>
      </c>
      <c r="H1464" s="4">
        <f t="shared" si="23"/>
        <v>3941</v>
      </c>
    </row>
    <row r="1465" spans="1:8" x14ac:dyDescent="0.35">
      <c r="A1465">
        <v>26762</v>
      </c>
      <c r="B1465" s="16">
        <v>45352</v>
      </c>
      <c r="C1465" s="15">
        <v>2748</v>
      </c>
      <c r="D1465" t="s">
        <v>21</v>
      </c>
      <c r="G1465" s="13">
        <v>70961</v>
      </c>
      <c r="H1465" s="4">
        <f t="shared" si="23"/>
        <v>4128</v>
      </c>
    </row>
    <row r="1466" spans="1:8" x14ac:dyDescent="0.35">
      <c r="A1466">
        <v>22117</v>
      </c>
      <c r="B1466" s="16">
        <v>45353</v>
      </c>
      <c r="C1466" s="15">
        <v>3406</v>
      </c>
      <c r="D1466" t="s">
        <v>21</v>
      </c>
      <c r="G1466" s="13">
        <v>21512</v>
      </c>
      <c r="H1466" s="4">
        <f t="shared" si="23"/>
        <v>1998</v>
      </c>
    </row>
    <row r="1467" spans="1:8" x14ac:dyDescent="0.35">
      <c r="A1467">
        <v>99513</v>
      </c>
      <c r="B1467" s="16">
        <v>45353</v>
      </c>
      <c r="C1467" s="15">
        <v>4420</v>
      </c>
      <c r="D1467" t="s">
        <v>22</v>
      </c>
      <c r="G1467" s="13">
        <v>57002</v>
      </c>
      <c r="H1467" s="4">
        <f t="shared" si="23"/>
        <v>253</v>
      </c>
    </row>
    <row r="1468" spans="1:8" x14ac:dyDescent="0.35">
      <c r="A1468">
        <v>54406</v>
      </c>
      <c r="B1468" s="16">
        <v>45353</v>
      </c>
      <c r="C1468" s="15">
        <v>1639</v>
      </c>
      <c r="D1468" t="s">
        <v>21</v>
      </c>
      <c r="G1468" s="13">
        <v>58095</v>
      </c>
      <c r="H1468" s="4">
        <f t="shared" si="23"/>
        <v>4196</v>
      </c>
    </row>
    <row r="1469" spans="1:8" x14ac:dyDescent="0.35">
      <c r="A1469">
        <v>34214</v>
      </c>
      <c r="B1469" s="16">
        <v>45353</v>
      </c>
      <c r="C1469" s="15">
        <v>524</v>
      </c>
      <c r="D1469" t="s">
        <v>21</v>
      </c>
      <c r="G1469" s="13">
        <v>41237</v>
      </c>
      <c r="H1469" s="4">
        <f t="shared" si="23"/>
        <v>127</v>
      </c>
    </row>
    <row r="1470" spans="1:8" x14ac:dyDescent="0.35">
      <c r="A1470">
        <v>68384</v>
      </c>
      <c r="B1470" s="16">
        <v>45353</v>
      </c>
      <c r="C1470" s="15">
        <v>3791</v>
      </c>
      <c r="D1470" t="s">
        <v>21</v>
      </c>
      <c r="G1470" s="13">
        <v>32721</v>
      </c>
      <c r="H1470" s="4">
        <f t="shared" si="23"/>
        <v>3379</v>
      </c>
    </row>
    <row r="1471" spans="1:8" x14ac:dyDescent="0.35">
      <c r="A1471">
        <v>30217</v>
      </c>
      <c r="B1471" s="16">
        <v>45353</v>
      </c>
      <c r="C1471" s="15">
        <v>2790</v>
      </c>
      <c r="D1471" t="s">
        <v>22</v>
      </c>
      <c r="G1471" s="13">
        <v>46767</v>
      </c>
      <c r="H1471" s="4">
        <f t="shared" si="23"/>
        <v>2919</v>
      </c>
    </row>
    <row r="1472" spans="1:8" x14ac:dyDescent="0.35">
      <c r="A1472">
        <v>21260</v>
      </c>
      <c r="B1472" s="16">
        <v>45353</v>
      </c>
      <c r="C1472" s="15">
        <v>2767</v>
      </c>
      <c r="D1472" t="s">
        <v>21</v>
      </c>
      <c r="G1472" s="13">
        <v>44804</v>
      </c>
      <c r="H1472" s="4">
        <f t="shared" si="23"/>
        <v>2445</v>
      </c>
    </row>
    <row r="1473" spans="1:8" x14ac:dyDescent="0.35">
      <c r="A1473">
        <v>33167</v>
      </c>
      <c r="B1473" s="16">
        <v>45353</v>
      </c>
      <c r="C1473" s="15">
        <v>4846</v>
      </c>
      <c r="D1473" t="s">
        <v>21</v>
      </c>
      <c r="G1473" s="13">
        <v>54735</v>
      </c>
      <c r="H1473" s="4">
        <f t="shared" si="23"/>
        <v>1208</v>
      </c>
    </row>
    <row r="1474" spans="1:8" x14ac:dyDescent="0.35">
      <c r="A1474">
        <v>68758</v>
      </c>
      <c r="B1474" s="16">
        <v>45353</v>
      </c>
      <c r="C1474" s="15">
        <v>3941</v>
      </c>
      <c r="D1474" t="s">
        <v>22</v>
      </c>
      <c r="G1474" s="13">
        <v>51572</v>
      </c>
      <c r="H1474" s="4">
        <f t="shared" si="23"/>
        <v>4216</v>
      </c>
    </row>
    <row r="1475" spans="1:8" x14ac:dyDescent="0.35">
      <c r="A1475">
        <v>70961</v>
      </c>
      <c r="B1475" s="16">
        <v>45353</v>
      </c>
      <c r="C1475" s="15">
        <v>4128</v>
      </c>
      <c r="D1475" t="s">
        <v>21</v>
      </c>
      <c r="G1475" s="13">
        <v>57756</v>
      </c>
      <c r="H1475" s="4">
        <f t="shared" si="23"/>
        <v>2480</v>
      </c>
    </row>
    <row r="1476" spans="1:8" x14ac:dyDescent="0.35">
      <c r="A1476">
        <v>21512</v>
      </c>
      <c r="B1476" s="16">
        <v>45353</v>
      </c>
      <c r="C1476" s="15">
        <v>1998</v>
      </c>
      <c r="D1476" t="s">
        <v>20</v>
      </c>
      <c r="G1476" s="13">
        <v>25122</v>
      </c>
      <c r="H1476" s="4">
        <f t="shared" si="23"/>
        <v>2156</v>
      </c>
    </row>
    <row r="1477" spans="1:8" x14ac:dyDescent="0.35">
      <c r="A1477">
        <v>57002</v>
      </c>
      <c r="B1477" s="16">
        <v>45353</v>
      </c>
      <c r="C1477" s="15">
        <v>253</v>
      </c>
      <c r="D1477" t="s">
        <v>20</v>
      </c>
      <c r="G1477" s="13">
        <v>81498</v>
      </c>
      <c r="H1477" s="4">
        <f t="shared" si="23"/>
        <v>968</v>
      </c>
    </row>
    <row r="1478" spans="1:8" x14ac:dyDescent="0.35">
      <c r="A1478">
        <v>58095</v>
      </c>
      <c r="B1478" s="16">
        <v>45353</v>
      </c>
      <c r="C1478" s="15">
        <v>4196</v>
      </c>
      <c r="D1478" t="s">
        <v>21</v>
      </c>
      <c r="G1478" s="13">
        <v>31489</v>
      </c>
      <c r="H1478" s="4">
        <f t="shared" ref="H1478:H1491" si="24">AVERAGEIF($A$2:$A$1501,"="&amp;G1478,$C$2:$C$1501)</f>
        <v>520</v>
      </c>
    </row>
    <row r="1479" spans="1:8" x14ac:dyDescent="0.35">
      <c r="A1479">
        <v>41237</v>
      </c>
      <c r="B1479" s="16">
        <v>45353</v>
      </c>
      <c r="C1479" s="15">
        <v>127</v>
      </c>
      <c r="D1479" t="s">
        <v>22</v>
      </c>
      <c r="G1479" s="13">
        <v>26317</v>
      </c>
      <c r="H1479" s="4">
        <f t="shared" si="24"/>
        <v>1387</v>
      </c>
    </row>
    <row r="1480" spans="1:8" x14ac:dyDescent="0.35">
      <c r="A1480">
        <v>32721</v>
      </c>
      <c r="B1480" s="16">
        <v>45353</v>
      </c>
      <c r="C1480" s="15">
        <v>3379</v>
      </c>
      <c r="D1480" t="s">
        <v>20</v>
      </c>
      <c r="G1480" s="13">
        <v>79236</v>
      </c>
      <c r="H1480" s="4">
        <f t="shared" si="24"/>
        <v>3521</v>
      </c>
    </row>
    <row r="1481" spans="1:8" x14ac:dyDescent="0.35">
      <c r="A1481">
        <v>46767</v>
      </c>
      <c r="B1481" s="16">
        <v>45353</v>
      </c>
      <c r="C1481" s="15">
        <v>2919</v>
      </c>
      <c r="D1481" t="s">
        <v>21</v>
      </c>
      <c r="G1481" s="13">
        <v>51810</v>
      </c>
      <c r="H1481" s="4">
        <f t="shared" si="24"/>
        <v>3949</v>
      </c>
    </row>
    <row r="1482" spans="1:8" x14ac:dyDescent="0.35">
      <c r="A1482">
        <v>44804</v>
      </c>
      <c r="B1482" s="16">
        <v>45353</v>
      </c>
      <c r="C1482" s="15">
        <v>2445</v>
      </c>
      <c r="D1482" t="s">
        <v>20</v>
      </c>
      <c r="G1482" s="13">
        <v>52320</v>
      </c>
      <c r="H1482" s="4">
        <f t="shared" si="24"/>
        <v>3501</v>
      </c>
    </row>
    <row r="1483" spans="1:8" x14ac:dyDescent="0.35">
      <c r="A1483">
        <v>54735</v>
      </c>
      <c r="B1483" s="16">
        <v>45353</v>
      </c>
      <c r="C1483" s="15">
        <v>1208</v>
      </c>
      <c r="D1483" t="s">
        <v>20</v>
      </c>
      <c r="G1483" s="13">
        <v>33046</v>
      </c>
      <c r="H1483" s="4">
        <f t="shared" si="24"/>
        <v>4195</v>
      </c>
    </row>
    <row r="1484" spans="1:8" x14ac:dyDescent="0.35">
      <c r="A1484">
        <v>51572</v>
      </c>
      <c r="B1484" s="16">
        <v>45353</v>
      </c>
      <c r="C1484" s="15">
        <v>4216</v>
      </c>
      <c r="D1484" t="s">
        <v>22</v>
      </c>
      <c r="G1484" s="13">
        <v>21387</v>
      </c>
      <c r="H1484" s="4">
        <f t="shared" si="24"/>
        <v>3201</v>
      </c>
    </row>
    <row r="1485" spans="1:8" x14ac:dyDescent="0.35">
      <c r="A1485">
        <v>57756</v>
      </c>
      <c r="B1485" s="16">
        <v>45353</v>
      </c>
      <c r="C1485" s="15">
        <v>2480</v>
      </c>
      <c r="D1485" t="s">
        <v>21</v>
      </c>
      <c r="G1485" s="13">
        <v>35601</v>
      </c>
      <c r="H1485" s="4">
        <f t="shared" si="24"/>
        <v>3325</v>
      </c>
    </row>
    <row r="1486" spans="1:8" x14ac:dyDescent="0.35">
      <c r="A1486">
        <v>25122</v>
      </c>
      <c r="B1486" s="16">
        <v>45353</v>
      </c>
      <c r="C1486" s="15">
        <v>2156</v>
      </c>
      <c r="D1486" t="s">
        <v>22</v>
      </c>
      <c r="G1486" s="13">
        <v>47757</v>
      </c>
      <c r="H1486" s="4">
        <f t="shared" si="24"/>
        <v>611</v>
      </c>
    </row>
    <row r="1487" spans="1:8" x14ac:dyDescent="0.35">
      <c r="A1487">
        <v>81498</v>
      </c>
      <c r="B1487" s="16">
        <v>45353</v>
      </c>
      <c r="C1487" s="15">
        <v>968</v>
      </c>
      <c r="D1487" t="s">
        <v>21</v>
      </c>
      <c r="G1487" s="13">
        <v>33666</v>
      </c>
      <c r="H1487" s="4">
        <f t="shared" si="24"/>
        <v>4385</v>
      </c>
    </row>
    <row r="1488" spans="1:8" x14ac:dyDescent="0.35">
      <c r="A1488">
        <v>31489</v>
      </c>
      <c r="B1488" s="16">
        <v>45353</v>
      </c>
      <c r="C1488" s="15">
        <v>520</v>
      </c>
      <c r="D1488" t="s">
        <v>20</v>
      </c>
      <c r="G1488" s="13">
        <v>84798</v>
      </c>
      <c r="H1488" s="4">
        <f t="shared" si="24"/>
        <v>1196</v>
      </c>
    </row>
    <row r="1489" spans="1:8" x14ac:dyDescent="0.35">
      <c r="A1489">
        <v>26317</v>
      </c>
      <c r="B1489" s="16">
        <v>45353</v>
      </c>
      <c r="C1489" s="15">
        <v>1387</v>
      </c>
      <c r="D1489" t="s">
        <v>22</v>
      </c>
      <c r="G1489" s="13">
        <v>99082</v>
      </c>
      <c r="H1489" s="4">
        <f t="shared" si="24"/>
        <v>2986</v>
      </c>
    </row>
    <row r="1490" spans="1:8" x14ac:dyDescent="0.35">
      <c r="A1490">
        <v>79236</v>
      </c>
      <c r="B1490" s="16">
        <v>45354</v>
      </c>
      <c r="C1490" s="15">
        <v>3521</v>
      </c>
      <c r="D1490" t="s">
        <v>20</v>
      </c>
      <c r="G1490" s="13">
        <v>93137</v>
      </c>
      <c r="H1490" s="4">
        <f t="shared" si="24"/>
        <v>975</v>
      </c>
    </row>
    <row r="1491" spans="1:8" x14ac:dyDescent="0.35">
      <c r="A1491">
        <v>51810</v>
      </c>
      <c r="B1491" s="16">
        <v>45354</v>
      </c>
      <c r="C1491" s="15">
        <v>3949</v>
      </c>
      <c r="D1491" t="s">
        <v>20</v>
      </c>
      <c r="G1491" s="13">
        <v>15058</v>
      </c>
      <c r="H1491" s="4">
        <f t="shared" si="24"/>
        <v>3770</v>
      </c>
    </row>
    <row r="1492" spans="1:8" x14ac:dyDescent="0.35">
      <c r="A1492">
        <v>52320</v>
      </c>
      <c r="B1492" s="16">
        <v>45354</v>
      </c>
      <c r="C1492" s="15">
        <v>3501</v>
      </c>
      <c r="D1492" t="s">
        <v>21</v>
      </c>
    </row>
    <row r="1493" spans="1:8" x14ac:dyDescent="0.35">
      <c r="A1493">
        <v>33046</v>
      </c>
      <c r="B1493" s="16">
        <v>45354</v>
      </c>
      <c r="C1493" s="15">
        <v>4195</v>
      </c>
      <c r="D1493" t="s">
        <v>21</v>
      </c>
    </row>
    <row r="1494" spans="1:8" x14ac:dyDescent="0.35">
      <c r="A1494">
        <v>21387</v>
      </c>
      <c r="B1494" s="16">
        <v>45354</v>
      </c>
      <c r="C1494" s="15">
        <v>3201</v>
      </c>
      <c r="D1494" t="s">
        <v>20</v>
      </c>
    </row>
    <row r="1495" spans="1:8" x14ac:dyDescent="0.35">
      <c r="A1495">
        <v>35601</v>
      </c>
      <c r="B1495" s="16">
        <v>45354</v>
      </c>
      <c r="C1495" s="15">
        <v>3325</v>
      </c>
      <c r="D1495" t="s">
        <v>21</v>
      </c>
    </row>
    <row r="1496" spans="1:8" x14ac:dyDescent="0.35">
      <c r="A1496">
        <v>47757</v>
      </c>
      <c r="B1496" s="16">
        <v>45354</v>
      </c>
      <c r="C1496" s="15">
        <v>611</v>
      </c>
      <c r="D1496" t="s">
        <v>20</v>
      </c>
    </row>
    <row r="1497" spans="1:8" x14ac:dyDescent="0.35">
      <c r="A1497">
        <v>33666</v>
      </c>
      <c r="B1497" s="16">
        <v>45354</v>
      </c>
      <c r="C1497" s="15">
        <v>4385</v>
      </c>
      <c r="D1497" t="s">
        <v>20</v>
      </c>
    </row>
    <row r="1498" spans="1:8" x14ac:dyDescent="0.35">
      <c r="A1498">
        <v>84798</v>
      </c>
      <c r="B1498" s="16">
        <v>45354</v>
      </c>
      <c r="C1498" s="15">
        <v>1196</v>
      </c>
      <c r="D1498" t="s">
        <v>22</v>
      </c>
    </row>
    <row r="1499" spans="1:8" x14ac:dyDescent="0.35">
      <c r="A1499">
        <v>99082</v>
      </c>
      <c r="B1499" s="16">
        <v>45354</v>
      </c>
      <c r="C1499" s="15">
        <v>2986</v>
      </c>
      <c r="D1499" t="s">
        <v>22</v>
      </c>
    </row>
    <row r="1500" spans="1:8" x14ac:dyDescent="0.35">
      <c r="A1500">
        <v>93137</v>
      </c>
      <c r="B1500" s="16">
        <v>45354</v>
      </c>
      <c r="C1500" s="15">
        <v>975</v>
      </c>
      <c r="D1500" t="s">
        <v>21</v>
      </c>
    </row>
    <row r="1501" spans="1:8" x14ac:dyDescent="0.35">
      <c r="A1501">
        <v>15058</v>
      </c>
      <c r="B1501" s="16">
        <v>45354</v>
      </c>
      <c r="C1501" s="15">
        <v>3770</v>
      </c>
      <c r="D150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01"/>
  <sheetViews>
    <sheetView tabSelected="1" workbookViewId="0">
      <selection activeCell="G15" sqref="G15"/>
    </sheetView>
  </sheetViews>
  <sheetFormatPr defaultColWidth="8.90625" defaultRowHeight="14.5" x14ac:dyDescent="0.35"/>
  <cols>
    <col min="1" max="1" width="13.453125" bestFit="1" customWidth="1"/>
    <col min="2" max="2" width="20.36328125" bestFit="1" customWidth="1"/>
    <col min="3" max="3" width="22.81640625" bestFit="1" customWidth="1"/>
    <col min="4" max="4" width="20.1796875" bestFit="1" customWidth="1"/>
    <col min="7" max="7" width="16.81640625" bestFit="1" customWidth="1"/>
    <col min="8" max="8" width="9.81640625" bestFit="1" customWidth="1"/>
    <col min="9" max="9" width="5" customWidth="1"/>
    <col min="10" max="10" width="10.7265625" bestFit="1" customWidth="1"/>
    <col min="11" max="11" width="9.26953125" bestFit="1" customWidth="1"/>
  </cols>
  <sheetData>
    <row r="1" spans="1:11" x14ac:dyDescent="0.35">
      <c r="A1" s="1" t="s">
        <v>16</v>
      </c>
      <c r="B1" s="1" t="s">
        <v>23</v>
      </c>
      <c r="C1" s="1" t="s">
        <v>24</v>
      </c>
      <c r="D1" s="1" t="s">
        <v>25</v>
      </c>
    </row>
    <row r="2" spans="1:11" x14ac:dyDescent="0.35">
      <c r="A2">
        <v>23280</v>
      </c>
      <c r="B2" s="2">
        <v>45321</v>
      </c>
      <c r="C2" s="3">
        <v>99989</v>
      </c>
      <c r="D2" t="s">
        <v>27</v>
      </c>
    </row>
    <row r="3" spans="1:11" x14ac:dyDescent="0.35">
      <c r="A3">
        <v>20607</v>
      </c>
      <c r="B3" s="2">
        <v>45319</v>
      </c>
      <c r="C3" s="3">
        <v>99685</v>
      </c>
      <c r="D3" t="s">
        <v>26</v>
      </c>
      <c r="I3" t="s">
        <v>50</v>
      </c>
      <c r="K3" t="s">
        <v>16</v>
      </c>
    </row>
    <row r="4" spans="1:11" x14ac:dyDescent="0.35">
      <c r="A4">
        <v>49505</v>
      </c>
      <c r="B4" s="2">
        <v>45304</v>
      </c>
      <c r="C4" s="3">
        <v>99657</v>
      </c>
      <c r="D4" t="s">
        <v>28</v>
      </c>
      <c r="G4" t="s">
        <v>29</v>
      </c>
      <c r="H4" s="3">
        <f>+MAX($C$2:$C$1501)</f>
        <v>99989</v>
      </c>
      <c r="I4">
        <f>+COUNTIF($C$2:$C$1501,"="&amp;H4)</f>
        <v>1</v>
      </c>
      <c r="J4" t="str">
        <f>INDEX(D2:D1501,MATCH(MAX(C2:C1501),C2:C1501,0))</f>
        <v>Empresarial</v>
      </c>
      <c r="K4">
        <f>INDEX(A2:A1501,MATCH(MAX(C2:C1501),C2:C1501,0))</f>
        <v>23280</v>
      </c>
    </row>
    <row r="5" spans="1:11" x14ac:dyDescent="0.35">
      <c r="A5">
        <v>20457</v>
      </c>
      <c r="B5" s="2">
        <v>45323</v>
      </c>
      <c r="C5" s="3">
        <v>99574</v>
      </c>
      <c r="D5" t="s">
        <v>26</v>
      </c>
      <c r="G5" t="s">
        <v>30</v>
      </c>
      <c r="H5" s="3">
        <f>+MIN(C2:C1501)</f>
        <v>511</v>
      </c>
      <c r="I5">
        <f>+COUNTIF($C$2:$C$1501,"="&amp;H5)</f>
        <v>1</v>
      </c>
      <c r="J5" t="str">
        <f>INDEX(D2:D1501,MATCH(MIN(C2:C1501),C2:C1501,0))</f>
        <v>Nomina</v>
      </c>
      <c r="K5">
        <f>INDEX(A2:A1501,MATCH(MIN(C2:C1501),C2:C1501,0))</f>
        <v>85547</v>
      </c>
    </row>
    <row r="6" spans="1:11" x14ac:dyDescent="0.35">
      <c r="A6">
        <v>30292</v>
      </c>
      <c r="B6" s="2">
        <v>45298</v>
      </c>
      <c r="C6" s="3">
        <v>99498</v>
      </c>
      <c r="D6" t="s">
        <v>26</v>
      </c>
    </row>
    <row r="7" spans="1:11" x14ac:dyDescent="0.35">
      <c r="A7">
        <v>96355</v>
      </c>
      <c r="B7" s="2">
        <v>45315</v>
      </c>
      <c r="C7" s="3">
        <v>99496</v>
      </c>
      <c r="D7" t="s">
        <v>28</v>
      </c>
    </row>
    <row r="8" spans="1:11" x14ac:dyDescent="0.35">
      <c r="A8">
        <v>23720</v>
      </c>
      <c r="B8" s="2">
        <v>45324</v>
      </c>
      <c r="C8" s="3">
        <v>99488</v>
      </c>
      <c r="D8" t="s">
        <v>28</v>
      </c>
    </row>
    <row r="9" spans="1:11" x14ac:dyDescent="0.35">
      <c r="A9">
        <v>96500</v>
      </c>
      <c r="B9" s="2">
        <v>45334</v>
      </c>
      <c r="C9" s="3">
        <v>99381</v>
      </c>
      <c r="D9" t="s">
        <v>26</v>
      </c>
    </row>
    <row r="10" spans="1:11" x14ac:dyDescent="0.35">
      <c r="A10">
        <v>63186</v>
      </c>
      <c r="B10" s="2">
        <v>45296</v>
      </c>
      <c r="C10" s="3">
        <v>99361</v>
      </c>
      <c r="D10" t="s">
        <v>27</v>
      </c>
    </row>
    <row r="11" spans="1:11" x14ac:dyDescent="0.35">
      <c r="A11">
        <v>32283</v>
      </c>
      <c r="B11" s="2">
        <v>45341</v>
      </c>
      <c r="C11" s="3">
        <v>99337</v>
      </c>
      <c r="D11" t="s">
        <v>28</v>
      </c>
    </row>
    <row r="12" spans="1:11" x14ac:dyDescent="0.35">
      <c r="A12">
        <v>94414</v>
      </c>
      <c r="B12" s="2">
        <v>45342</v>
      </c>
      <c r="C12" s="3">
        <v>99329</v>
      </c>
      <c r="D12" t="s">
        <v>26</v>
      </c>
    </row>
    <row r="13" spans="1:11" x14ac:dyDescent="0.35">
      <c r="A13">
        <v>57538</v>
      </c>
      <c r="B13" s="2">
        <v>45348</v>
      </c>
      <c r="C13" s="3">
        <v>99278</v>
      </c>
      <c r="D13" t="s">
        <v>27</v>
      </c>
    </row>
    <row r="14" spans="1:11" x14ac:dyDescent="0.35">
      <c r="A14">
        <v>98971</v>
      </c>
      <c r="B14" s="2">
        <v>45342</v>
      </c>
      <c r="C14" s="3">
        <v>99176</v>
      </c>
      <c r="D14" t="s">
        <v>28</v>
      </c>
    </row>
    <row r="15" spans="1:11" x14ac:dyDescent="0.35">
      <c r="A15">
        <v>65867</v>
      </c>
      <c r="B15" s="2">
        <v>45324</v>
      </c>
      <c r="C15" s="3">
        <v>99059</v>
      </c>
      <c r="D15" t="s">
        <v>26</v>
      </c>
    </row>
    <row r="16" spans="1:11" x14ac:dyDescent="0.35">
      <c r="A16">
        <v>83608</v>
      </c>
      <c r="B16" s="2">
        <v>45303</v>
      </c>
      <c r="C16" s="3">
        <v>98941</v>
      </c>
      <c r="D16" t="s">
        <v>28</v>
      </c>
    </row>
    <row r="17" spans="1:4" x14ac:dyDescent="0.35">
      <c r="A17">
        <v>37844</v>
      </c>
      <c r="B17" s="2">
        <v>45324</v>
      </c>
      <c r="C17" s="3">
        <v>98888</v>
      </c>
      <c r="D17" t="s">
        <v>27</v>
      </c>
    </row>
    <row r="18" spans="1:4" x14ac:dyDescent="0.35">
      <c r="A18">
        <v>60317</v>
      </c>
      <c r="B18" s="2">
        <v>45352</v>
      </c>
      <c r="C18" s="3">
        <v>98861</v>
      </c>
      <c r="D18" t="s">
        <v>27</v>
      </c>
    </row>
    <row r="19" spans="1:4" x14ac:dyDescent="0.35">
      <c r="A19">
        <v>66674</v>
      </c>
      <c r="B19" s="2">
        <v>45297</v>
      </c>
      <c r="C19" s="3">
        <v>98859</v>
      </c>
      <c r="D19" t="s">
        <v>28</v>
      </c>
    </row>
    <row r="20" spans="1:4" x14ac:dyDescent="0.35">
      <c r="A20">
        <v>30307</v>
      </c>
      <c r="B20" s="2">
        <v>45322</v>
      </c>
      <c r="C20" s="3">
        <v>98792</v>
      </c>
      <c r="D20" t="s">
        <v>27</v>
      </c>
    </row>
    <row r="21" spans="1:4" x14ac:dyDescent="0.35">
      <c r="A21">
        <v>19198</v>
      </c>
      <c r="B21" s="2">
        <v>45339</v>
      </c>
      <c r="C21" s="3">
        <v>98743</v>
      </c>
      <c r="D21" t="s">
        <v>28</v>
      </c>
    </row>
    <row r="22" spans="1:4" x14ac:dyDescent="0.35">
      <c r="A22">
        <v>93593</v>
      </c>
      <c r="B22" s="2">
        <v>45310</v>
      </c>
      <c r="C22" s="3">
        <v>98685</v>
      </c>
      <c r="D22" t="s">
        <v>28</v>
      </c>
    </row>
    <row r="23" spans="1:4" x14ac:dyDescent="0.35">
      <c r="A23">
        <v>80427</v>
      </c>
      <c r="B23" s="2">
        <v>45340</v>
      </c>
      <c r="C23" s="3">
        <v>98670</v>
      </c>
      <c r="D23" t="s">
        <v>27</v>
      </c>
    </row>
    <row r="24" spans="1:4" x14ac:dyDescent="0.35">
      <c r="A24">
        <v>26286</v>
      </c>
      <c r="B24" s="2">
        <v>45292</v>
      </c>
      <c r="C24" s="3">
        <v>98638</v>
      </c>
      <c r="D24" t="s">
        <v>26</v>
      </c>
    </row>
    <row r="25" spans="1:4" x14ac:dyDescent="0.35">
      <c r="A25">
        <v>47796</v>
      </c>
      <c r="B25" s="2">
        <v>45340</v>
      </c>
      <c r="C25" s="3">
        <v>98636</v>
      </c>
      <c r="D25" t="s">
        <v>26</v>
      </c>
    </row>
    <row r="26" spans="1:4" x14ac:dyDescent="0.35">
      <c r="A26">
        <v>79640</v>
      </c>
      <c r="B26" s="2">
        <v>45307</v>
      </c>
      <c r="C26" s="3">
        <v>98500</v>
      </c>
      <c r="D26" t="s">
        <v>27</v>
      </c>
    </row>
    <row r="27" spans="1:4" x14ac:dyDescent="0.35">
      <c r="A27">
        <v>57014</v>
      </c>
      <c r="B27" s="2">
        <v>45351</v>
      </c>
      <c r="C27" s="3">
        <v>98461</v>
      </c>
      <c r="D27" t="s">
        <v>26</v>
      </c>
    </row>
    <row r="28" spans="1:4" x14ac:dyDescent="0.35">
      <c r="A28">
        <v>62253</v>
      </c>
      <c r="B28" s="2">
        <v>45311</v>
      </c>
      <c r="C28" s="3">
        <v>98437</v>
      </c>
      <c r="D28" t="s">
        <v>28</v>
      </c>
    </row>
    <row r="29" spans="1:4" x14ac:dyDescent="0.35">
      <c r="A29">
        <v>23127</v>
      </c>
      <c r="B29" s="2">
        <v>45293</v>
      </c>
      <c r="C29" s="3">
        <v>98396</v>
      </c>
      <c r="D29" t="s">
        <v>28</v>
      </c>
    </row>
    <row r="30" spans="1:4" x14ac:dyDescent="0.35">
      <c r="A30">
        <v>16073</v>
      </c>
      <c r="B30" s="2">
        <v>45330</v>
      </c>
      <c r="C30" s="3">
        <v>98358</v>
      </c>
      <c r="D30" t="s">
        <v>26</v>
      </c>
    </row>
    <row r="31" spans="1:4" x14ac:dyDescent="0.35">
      <c r="A31">
        <v>97181</v>
      </c>
      <c r="B31" s="2">
        <v>45310</v>
      </c>
      <c r="C31" s="3">
        <v>98342</v>
      </c>
      <c r="D31" t="s">
        <v>28</v>
      </c>
    </row>
    <row r="32" spans="1:4" x14ac:dyDescent="0.35">
      <c r="A32">
        <v>56608</v>
      </c>
      <c r="B32" s="2">
        <v>45299</v>
      </c>
      <c r="C32" s="3">
        <v>98324</v>
      </c>
      <c r="D32" t="s">
        <v>26</v>
      </c>
    </row>
    <row r="33" spans="1:4" x14ac:dyDescent="0.35">
      <c r="A33">
        <v>13387</v>
      </c>
      <c r="B33" s="2">
        <v>45309</v>
      </c>
      <c r="C33" s="3">
        <v>98113</v>
      </c>
      <c r="D33" t="s">
        <v>27</v>
      </c>
    </row>
    <row r="34" spans="1:4" x14ac:dyDescent="0.35">
      <c r="A34">
        <v>62248</v>
      </c>
      <c r="B34" s="2">
        <v>45342</v>
      </c>
      <c r="C34" s="3">
        <v>98112</v>
      </c>
      <c r="D34" t="s">
        <v>26</v>
      </c>
    </row>
    <row r="35" spans="1:4" x14ac:dyDescent="0.35">
      <c r="A35">
        <v>52980</v>
      </c>
      <c r="B35" s="2">
        <v>45327</v>
      </c>
      <c r="C35" s="3">
        <v>98095</v>
      </c>
      <c r="D35" t="s">
        <v>28</v>
      </c>
    </row>
    <row r="36" spans="1:4" x14ac:dyDescent="0.35">
      <c r="A36">
        <v>82143</v>
      </c>
      <c r="B36" s="2">
        <v>45309</v>
      </c>
      <c r="C36" s="3">
        <v>98032</v>
      </c>
      <c r="D36" t="s">
        <v>26</v>
      </c>
    </row>
    <row r="37" spans="1:4" x14ac:dyDescent="0.35">
      <c r="A37">
        <v>12526</v>
      </c>
      <c r="B37" s="2">
        <v>45304</v>
      </c>
      <c r="C37" s="3">
        <v>98007</v>
      </c>
      <c r="D37" t="s">
        <v>28</v>
      </c>
    </row>
    <row r="38" spans="1:4" x14ac:dyDescent="0.35">
      <c r="A38">
        <v>51978</v>
      </c>
      <c r="B38" s="2">
        <v>45339</v>
      </c>
      <c r="C38" s="3">
        <v>98007</v>
      </c>
      <c r="D38" t="s">
        <v>27</v>
      </c>
    </row>
    <row r="39" spans="1:4" x14ac:dyDescent="0.35">
      <c r="A39">
        <v>63795</v>
      </c>
      <c r="B39" s="2">
        <v>45350</v>
      </c>
      <c r="C39" s="3">
        <v>97919</v>
      </c>
      <c r="D39" t="s">
        <v>27</v>
      </c>
    </row>
    <row r="40" spans="1:4" x14ac:dyDescent="0.35">
      <c r="A40">
        <v>58336</v>
      </c>
      <c r="B40" s="2">
        <v>45324</v>
      </c>
      <c r="C40" s="3">
        <v>97917</v>
      </c>
      <c r="D40" t="s">
        <v>26</v>
      </c>
    </row>
    <row r="41" spans="1:4" x14ac:dyDescent="0.35">
      <c r="A41">
        <v>30235</v>
      </c>
      <c r="B41" s="2">
        <v>45353</v>
      </c>
      <c r="C41" s="3">
        <v>97898</v>
      </c>
      <c r="D41" t="s">
        <v>27</v>
      </c>
    </row>
    <row r="42" spans="1:4" x14ac:dyDescent="0.35">
      <c r="A42">
        <v>98700</v>
      </c>
      <c r="B42" s="2">
        <v>45341</v>
      </c>
      <c r="C42" s="3">
        <v>97854</v>
      </c>
      <c r="D42" t="s">
        <v>26</v>
      </c>
    </row>
    <row r="43" spans="1:4" x14ac:dyDescent="0.35">
      <c r="A43">
        <v>73979</v>
      </c>
      <c r="B43" s="2">
        <v>45296</v>
      </c>
      <c r="C43" s="3">
        <v>97846</v>
      </c>
      <c r="D43" t="s">
        <v>26</v>
      </c>
    </row>
    <row r="44" spans="1:4" x14ac:dyDescent="0.35">
      <c r="A44">
        <v>68325</v>
      </c>
      <c r="B44" s="2">
        <v>45328</v>
      </c>
      <c r="C44" s="3">
        <v>97837</v>
      </c>
      <c r="D44" t="s">
        <v>27</v>
      </c>
    </row>
    <row r="45" spans="1:4" x14ac:dyDescent="0.35">
      <c r="A45">
        <v>96443</v>
      </c>
      <c r="B45" s="2">
        <v>45322</v>
      </c>
      <c r="C45" s="3">
        <v>97742</v>
      </c>
      <c r="D45" t="s">
        <v>26</v>
      </c>
    </row>
    <row r="46" spans="1:4" x14ac:dyDescent="0.35">
      <c r="A46">
        <v>51597</v>
      </c>
      <c r="B46" s="2">
        <v>45305</v>
      </c>
      <c r="C46" s="3">
        <v>97615</v>
      </c>
      <c r="D46" t="s">
        <v>26</v>
      </c>
    </row>
    <row r="47" spans="1:4" x14ac:dyDescent="0.35">
      <c r="A47">
        <v>99159</v>
      </c>
      <c r="B47" s="2">
        <v>45339</v>
      </c>
      <c r="C47" s="3">
        <v>97602</v>
      </c>
      <c r="D47" t="s">
        <v>26</v>
      </c>
    </row>
    <row r="48" spans="1:4" x14ac:dyDescent="0.35">
      <c r="A48">
        <v>21108</v>
      </c>
      <c r="B48" s="2">
        <v>45353</v>
      </c>
      <c r="C48" s="3">
        <v>97573</v>
      </c>
      <c r="D48" t="s">
        <v>27</v>
      </c>
    </row>
    <row r="49" spans="1:4" x14ac:dyDescent="0.35">
      <c r="A49">
        <v>73866</v>
      </c>
      <c r="B49" s="2">
        <v>45314</v>
      </c>
      <c r="C49" s="3">
        <v>97565</v>
      </c>
      <c r="D49" t="s">
        <v>26</v>
      </c>
    </row>
    <row r="50" spans="1:4" x14ac:dyDescent="0.35">
      <c r="A50">
        <v>31483</v>
      </c>
      <c r="B50" s="2">
        <v>45333</v>
      </c>
      <c r="C50" s="3">
        <v>97500</v>
      </c>
      <c r="D50" t="s">
        <v>26</v>
      </c>
    </row>
    <row r="51" spans="1:4" x14ac:dyDescent="0.35">
      <c r="A51">
        <v>55137</v>
      </c>
      <c r="B51" s="2">
        <v>45316</v>
      </c>
      <c r="C51" s="3">
        <v>97416</v>
      </c>
      <c r="D51" t="s">
        <v>28</v>
      </c>
    </row>
    <row r="52" spans="1:4" x14ac:dyDescent="0.35">
      <c r="A52">
        <v>49879</v>
      </c>
      <c r="B52" s="2">
        <v>45293</v>
      </c>
      <c r="C52" s="3">
        <v>97298</v>
      </c>
      <c r="D52" t="s">
        <v>27</v>
      </c>
    </row>
    <row r="53" spans="1:4" x14ac:dyDescent="0.35">
      <c r="A53">
        <v>67806</v>
      </c>
      <c r="B53" s="2">
        <v>45297</v>
      </c>
      <c r="C53" s="3">
        <v>97130</v>
      </c>
      <c r="D53" t="s">
        <v>27</v>
      </c>
    </row>
    <row r="54" spans="1:4" x14ac:dyDescent="0.35">
      <c r="A54">
        <v>18203</v>
      </c>
      <c r="B54" s="2">
        <v>45332</v>
      </c>
      <c r="C54" s="3">
        <v>97108</v>
      </c>
      <c r="D54" t="s">
        <v>26</v>
      </c>
    </row>
    <row r="55" spans="1:4" x14ac:dyDescent="0.35">
      <c r="A55">
        <v>67216</v>
      </c>
      <c r="B55" s="2">
        <v>45307</v>
      </c>
      <c r="C55" s="3">
        <v>96933</v>
      </c>
      <c r="D55" t="s">
        <v>27</v>
      </c>
    </row>
    <row r="56" spans="1:4" x14ac:dyDescent="0.35">
      <c r="A56">
        <v>88344</v>
      </c>
      <c r="B56" s="2">
        <v>45344</v>
      </c>
      <c r="C56" s="3">
        <v>96690</v>
      </c>
      <c r="D56" t="s">
        <v>28</v>
      </c>
    </row>
    <row r="57" spans="1:4" x14ac:dyDescent="0.35">
      <c r="A57">
        <v>41510</v>
      </c>
      <c r="B57" s="2">
        <v>45352</v>
      </c>
      <c r="C57" s="3">
        <v>96648</v>
      </c>
      <c r="D57" t="s">
        <v>27</v>
      </c>
    </row>
    <row r="58" spans="1:4" x14ac:dyDescent="0.35">
      <c r="A58">
        <v>32078</v>
      </c>
      <c r="B58" s="2">
        <v>45314</v>
      </c>
      <c r="C58" s="3">
        <v>96585</v>
      </c>
      <c r="D58" t="s">
        <v>28</v>
      </c>
    </row>
    <row r="59" spans="1:4" x14ac:dyDescent="0.35">
      <c r="A59">
        <v>84056</v>
      </c>
      <c r="B59" s="2">
        <v>45323</v>
      </c>
      <c r="C59" s="3">
        <v>96441</v>
      </c>
      <c r="D59" t="s">
        <v>28</v>
      </c>
    </row>
    <row r="60" spans="1:4" x14ac:dyDescent="0.35">
      <c r="A60">
        <v>48827</v>
      </c>
      <c r="B60" s="2">
        <v>45293</v>
      </c>
      <c r="C60" s="3">
        <v>96434</v>
      </c>
      <c r="D60" t="s">
        <v>28</v>
      </c>
    </row>
    <row r="61" spans="1:4" x14ac:dyDescent="0.35">
      <c r="A61">
        <v>86969</v>
      </c>
      <c r="B61" s="2">
        <v>45318</v>
      </c>
      <c r="C61" s="3">
        <v>96219</v>
      </c>
      <c r="D61" t="s">
        <v>27</v>
      </c>
    </row>
    <row r="62" spans="1:4" x14ac:dyDescent="0.35">
      <c r="A62">
        <v>20529</v>
      </c>
      <c r="B62" s="2">
        <v>45298</v>
      </c>
      <c r="C62" s="3">
        <v>96090</v>
      </c>
      <c r="D62" t="s">
        <v>26</v>
      </c>
    </row>
    <row r="63" spans="1:4" x14ac:dyDescent="0.35">
      <c r="A63">
        <v>77537</v>
      </c>
      <c r="B63" s="2">
        <v>45348</v>
      </c>
      <c r="C63" s="3">
        <v>96035</v>
      </c>
      <c r="D63" t="s">
        <v>27</v>
      </c>
    </row>
    <row r="64" spans="1:4" x14ac:dyDescent="0.35">
      <c r="A64">
        <v>88959</v>
      </c>
      <c r="B64" s="2">
        <v>45318</v>
      </c>
      <c r="C64" s="3">
        <v>96011</v>
      </c>
      <c r="D64" t="s">
        <v>28</v>
      </c>
    </row>
    <row r="65" spans="1:4" x14ac:dyDescent="0.35">
      <c r="A65">
        <v>33508</v>
      </c>
      <c r="B65" s="2">
        <v>45317</v>
      </c>
      <c r="C65" s="3">
        <v>95998</v>
      </c>
      <c r="D65" t="s">
        <v>26</v>
      </c>
    </row>
    <row r="66" spans="1:4" x14ac:dyDescent="0.35">
      <c r="A66">
        <v>26362</v>
      </c>
      <c r="B66" s="2">
        <v>45335</v>
      </c>
      <c r="C66" s="3">
        <v>95972</v>
      </c>
      <c r="D66" t="s">
        <v>26</v>
      </c>
    </row>
    <row r="67" spans="1:4" x14ac:dyDescent="0.35">
      <c r="A67">
        <v>63659</v>
      </c>
      <c r="B67" s="2">
        <v>45292</v>
      </c>
      <c r="C67" s="3">
        <v>95902</v>
      </c>
      <c r="D67" t="s">
        <v>26</v>
      </c>
    </row>
    <row r="68" spans="1:4" x14ac:dyDescent="0.35">
      <c r="A68">
        <v>77248</v>
      </c>
      <c r="B68" s="2">
        <v>45314</v>
      </c>
      <c r="C68" s="3">
        <v>95849</v>
      </c>
      <c r="D68" t="s">
        <v>27</v>
      </c>
    </row>
    <row r="69" spans="1:4" x14ac:dyDescent="0.35">
      <c r="A69">
        <v>89642</v>
      </c>
      <c r="B69" s="2">
        <v>45327</v>
      </c>
      <c r="C69" s="3">
        <v>95704</v>
      </c>
      <c r="D69" t="s">
        <v>26</v>
      </c>
    </row>
    <row r="70" spans="1:4" x14ac:dyDescent="0.35">
      <c r="A70">
        <v>90979</v>
      </c>
      <c r="B70" s="2">
        <v>45299</v>
      </c>
      <c r="C70" s="3">
        <v>95648</v>
      </c>
      <c r="D70" t="s">
        <v>26</v>
      </c>
    </row>
    <row r="71" spans="1:4" x14ac:dyDescent="0.35">
      <c r="A71">
        <v>83701</v>
      </c>
      <c r="B71" s="2">
        <v>45349</v>
      </c>
      <c r="C71" s="3">
        <v>95520</v>
      </c>
      <c r="D71" t="s">
        <v>28</v>
      </c>
    </row>
    <row r="72" spans="1:4" x14ac:dyDescent="0.35">
      <c r="A72">
        <v>14301</v>
      </c>
      <c r="B72" s="2">
        <v>45292</v>
      </c>
      <c r="C72" s="3">
        <v>95454</v>
      </c>
      <c r="D72" t="s">
        <v>27</v>
      </c>
    </row>
    <row r="73" spans="1:4" x14ac:dyDescent="0.35">
      <c r="A73">
        <v>82100</v>
      </c>
      <c r="B73" s="2">
        <v>45296</v>
      </c>
      <c r="C73" s="3">
        <v>95394</v>
      </c>
      <c r="D73" t="s">
        <v>28</v>
      </c>
    </row>
    <row r="74" spans="1:4" x14ac:dyDescent="0.35">
      <c r="A74">
        <v>28786</v>
      </c>
      <c r="B74" s="2">
        <v>45316</v>
      </c>
      <c r="C74" s="3">
        <v>95324</v>
      </c>
      <c r="D74" t="s">
        <v>28</v>
      </c>
    </row>
    <row r="75" spans="1:4" x14ac:dyDescent="0.35">
      <c r="A75">
        <v>21976</v>
      </c>
      <c r="B75" s="2">
        <v>45297</v>
      </c>
      <c r="C75" s="3">
        <v>95319</v>
      </c>
      <c r="D75" t="s">
        <v>26</v>
      </c>
    </row>
    <row r="76" spans="1:4" x14ac:dyDescent="0.35">
      <c r="A76">
        <v>27050</v>
      </c>
      <c r="B76" s="2">
        <v>45300</v>
      </c>
      <c r="C76" s="3">
        <v>95302</v>
      </c>
      <c r="D76" t="s">
        <v>28</v>
      </c>
    </row>
    <row r="77" spans="1:4" x14ac:dyDescent="0.35">
      <c r="A77">
        <v>40227</v>
      </c>
      <c r="B77" s="2">
        <v>45303</v>
      </c>
      <c r="C77" s="3">
        <v>95265</v>
      </c>
      <c r="D77" t="s">
        <v>26</v>
      </c>
    </row>
    <row r="78" spans="1:4" x14ac:dyDescent="0.35">
      <c r="A78">
        <v>12243</v>
      </c>
      <c r="B78" s="2">
        <v>45331</v>
      </c>
      <c r="C78" s="3">
        <v>95211</v>
      </c>
      <c r="D78" t="s">
        <v>28</v>
      </c>
    </row>
    <row r="79" spans="1:4" x14ac:dyDescent="0.35">
      <c r="A79">
        <v>91090</v>
      </c>
      <c r="B79" s="2">
        <v>45311</v>
      </c>
      <c r="C79" s="3">
        <v>95133</v>
      </c>
      <c r="D79" t="s">
        <v>26</v>
      </c>
    </row>
    <row r="80" spans="1:4" x14ac:dyDescent="0.35">
      <c r="A80">
        <v>92872</v>
      </c>
      <c r="B80" s="2">
        <v>45308</v>
      </c>
      <c r="C80" s="3">
        <v>95125</v>
      </c>
      <c r="D80" t="s">
        <v>27</v>
      </c>
    </row>
    <row r="81" spans="1:4" x14ac:dyDescent="0.35">
      <c r="A81">
        <v>10564</v>
      </c>
      <c r="B81" s="2">
        <v>45317</v>
      </c>
      <c r="C81" s="3">
        <v>95044</v>
      </c>
      <c r="D81" t="s">
        <v>28</v>
      </c>
    </row>
    <row r="82" spans="1:4" x14ac:dyDescent="0.35">
      <c r="A82">
        <v>51400</v>
      </c>
      <c r="B82" s="2">
        <v>45302</v>
      </c>
      <c r="C82" s="3">
        <v>94863</v>
      </c>
      <c r="D82" t="s">
        <v>28</v>
      </c>
    </row>
    <row r="83" spans="1:4" x14ac:dyDescent="0.35">
      <c r="A83">
        <v>47340</v>
      </c>
      <c r="B83" s="2">
        <v>45343</v>
      </c>
      <c r="C83" s="3">
        <v>94838</v>
      </c>
      <c r="D83" t="s">
        <v>28</v>
      </c>
    </row>
    <row r="84" spans="1:4" x14ac:dyDescent="0.35">
      <c r="A84">
        <v>81398</v>
      </c>
      <c r="B84" s="2">
        <v>45312</v>
      </c>
      <c r="C84" s="3">
        <v>94682</v>
      </c>
      <c r="D84" t="s">
        <v>28</v>
      </c>
    </row>
    <row r="85" spans="1:4" x14ac:dyDescent="0.35">
      <c r="A85">
        <v>48976</v>
      </c>
      <c r="B85" s="2">
        <v>45307</v>
      </c>
      <c r="C85" s="3">
        <v>94664</v>
      </c>
      <c r="D85" t="s">
        <v>27</v>
      </c>
    </row>
    <row r="86" spans="1:4" x14ac:dyDescent="0.35">
      <c r="A86">
        <v>10749</v>
      </c>
      <c r="B86" s="2">
        <v>45313</v>
      </c>
      <c r="C86" s="3">
        <v>94639</v>
      </c>
      <c r="D86" t="s">
        <v>26</v>
      </c>
    </row>
    <row r="87" spans="1:4" x14ac:dyDescent="0.35">
      <c r="A87">
        <v>39961</v>
      </c>
      <c r="B87" s="2">
        <v>45341</v>
      </c>
      <c r="C87" s="3">
        <v>94332</v>
      </c>
      <c r="D87" t="s">
        <v>26</v>
      </c>
    </row>
    <row r="88" spans="1:4" x14ac:dyDescent="0.35">
      <c r="A88">
        <v>88291</v>
      </c>
      <c r="B88" s="2">
        <v>45318</v>
      </c>
      <c r="C88" s="3">
        <v>94326</v>
      </c>
      <c r="D88" t="s">
        <v>26</v>
      </c>
    </row>
    <row r="89" spans="1:4" x14ac:dyDescent="0.35">
      <c r="A89">
        <v>31720</v>
      </c>
      <c r="B89" s="2">
        <v>45324</v>
      </c>
      <c r="C89" s="3">
        <v>94274</v>
      </c>
      <c r="D89" t="s">
        <v>26</v>
      </c>
    </row>
    <row r="90" spans="1:4" x14ac:dyDescent="0.35">
      <c r="A90">
        <v>24568</v>
      </c>
      <c r="B90" s="2">
        <v>45349</v>
      </c>
      <c r="C90" s="3">
        <v>94230</v>
      </c>
      <c r="D90" t="s">
        <v>26</v>
      </c>
    </row>
    <row r="91" spans="1:4" x14ac:dyDescent="0.35">
      <c r="A91">
        <v>17606</v>
      </c>
      <c r="B91" s="2">
        <v>45348</v>
      </c>
      <c r="C91" s="3">
        <v>94148</v>
      </c>
      <c r="D91" t="s">
        <v>28</v>
      </c>
    </row>
    <row r="92" spans="1:4" x14ac:dyDescent="0.35">
      <c r="A92">
        <v>41755</v>
      </c>
      <c r="B92" s="2">
        <v>45318</v>
      </c>
      <c r="C92" s="3">
        <v>94115</v>
      </c>
      <c r="D92" t="s">
        <v>27</v>
      </c>
    </row>
    <row r="93" spans="1:4" x14ac:dyDescent="0.35">
      <c r="A93">
        <v>74692</v>
      </c>
      <c r="B93" s="2">
        <v>45316</v>
      </c>
      <c r="C93" s="3">
        <v>94018</v>
      </c>
      <c r="D93" t="s">
        <v>27</v>
      </c>
    </row>
    <row r="94" spans="1:4" x14ac:dyDescent="0.35">
      <c r="A94">
        <v>24491</v>
      </c>
      <c r="B94" s="2">
        <v>45330</v>
      </c>
      <c r="C94" s="3">
        <v>93930</v>
      </c>
      <c r="D94" t="s">
        <v>28</v>
      </c>
    </row>
    <row r="95" spans="1:4" x14ac:dyDescent="0.35">
      <c r="A95">
        <v>24608</v>
      </c>
      <c r="B95" s="2">
        <v>45324</v>
      </c>
      <c r="C95" s="3">
        <v>93808</v>
      </c>
      <c r="D95" t="s">
        <v>26</v>
      </c>
    </row>
    <row r="96" spans="1:4" x14ac:dyDescent="0.35">
      <c r="A96">
        <v>74721</v>
      </c>
      <c r="B96" s="2">
        <v>45300</v>
      </c>
      <c r="C96" s="3">
        <v>93805</v>
      </c>
      <c r="D96" t="s">
        <v>26</v>
      </c>
    </row>
    <row r="97" spans="1:4" x14ac:dyDescent="0.35">
      <c r="A97">
        <v>18135</v>
      </c>
      <c r="B97" s="2">
        <v>45345</v>
      </c>
      <c r="C97" s="3">
        <v>93656</v>
      </c>
      <c r="D97" t="s">
        <v>28</v>
      </c>
    </row>
    <row r="98" spans="1:4" x14ac:dyDescent="0.35">
      <c r="A98">
        <v>28259</v>
      </c>
      <c r="B98" s="2">
        <v>45333</v>
      </c>
      <c r="C98" s="3">
        <v>93631</v>
      </c>
      <c r="D98" t="s">
        <v>28</v>
      </c>
    </row>
    <row r="99" spans="1:4" x14ac:dyDescent="0.35">
      <c r="A99">
        <v>56772</v>
      </c>
      <c r="B99" s="2">
        <v>45307</v>
      </c>
      <c r="C99" s="3">
        <v>93629</v>
      </c>
      <c r="D99" t="s">
        <v>27</v>
      </c>
    </row>
    <row r="100" spans="1:4" x14ac:dyDescent="0.35">
      <c r="A100">
        <v>70307</v>
      </c>
      <c r="B100" s="2">
        <v>45332</v>
      </c>
      <c r="C100" s="3">
        <v>93604</v>
      </c>
      <c r="D100" t="s">
        <v>26</v>
      </c>
    </row>
    <row r="101" spans="1:4" x14ac:dyDescent="0.35">
      <c r="A101">
        <v>89480</v>
      </c>
      <c r="B101" s="2">
        <v>45345</v>
      </c>
      <c r="C101" s="3">
        <v>93598</v>
      </c>
      <c r="D101" t="s">
        <v>26</v>
      </c>
    </row>
    <row r="102" spans="1:4" x14ac:dyDescent="0.35">
      <c r="A102">
        <v>21686</v>
      </c>
      <c r="B102" s="2">
        <v>45309</v>
      </c>
      <c r="C102" s="3">
        <v>93523</v>
      </c>
      <c r="D102" t="s">
        <v>28</v>
      </c>
    </row>
    <row r="103" spans="1:4" x14ac:dyDescent="0.35">
      <c r="A103">
        <v>85932</v>
      </c>
      <c r="B103" s="2">
        <v>45335</v>
      </c>
      <c r="C103" s="3">
        <v>93479</v>
      </c>
      <c r="D103" t="s">
        <v>28</v>
      </c>
    </row>
    <row r="104" spans="1:4" x14ac:dyDescent="0.35">
      <c r="A104">
        <v>51901</v>
      </c>
      <c r="B104" s="2">
        <v>45295</v>
      </c>
      <c r="C104" s="3">
        <v>93460</v>
      </c>
      <c r="D104" t="s">
        <v>28</v>
      </c>
    </row>
    <row r="105" spans="1:4" x14ac:dyDescent="0.35">
      <c r="A105">
        <v>18949</v>
      </c>
      <c r="B105" s="2">
        <v>45348</v>
      </c>
      <c r="C105" s="3">
        <v>93380</v>
      </c>
      <c r="D105" t="s">
        <v>27</v>
      </c>
    </row>
    <row r="106" spans="1:4" x14ac:dyDescent="0.35">
      <c r="A106">
        <v>62733</v>
      </c>
      <c r="B106" s="2">
        <v>45303</v>
      </c>
      <c r="C106" s="3">
        <v>93339</v>
      </c>
      <c r="D106" t="s">
        <v>27</v>
      </c>
    </row>
    <row r="107" spans="1:4" x14ac:dyDescent="0.35">
      <c r="A107">
        <v>67904</v>
      </c>
      <c r="B107" s="2">
        <v>45313</v>
      </c>
      <c r="C107" s="3">
        <v>93282</v>
      </c>
      <c r="D107" t="s">
        <v>27</v>
      </c>
    </row>
    <row r="108" spans="1:4" x14ac:dyDescent="0.35">
      <c r="A108">
        <v>10294</v>
      </c>
      <c r="B108" s="2">
        <v>45295</v>
      </c>
      <c r="C108" s="3">
        <v>93274</v>
      </c>
      <c r="D108" t="s">
        <v>27</v>
      </c>
    </row>
    <row r="109" spans="1:4" x14ac:dyDescent="0.35">
      <c r="A109">
        <v>16772</v>
      </c>
      <c r="B109" s="2">
        <v>45309</v>
      </c>
      <c r="C109" s="3">
        <v>93212</v>
      </c>
      <c r="D109" t="s">
        <v>27</v>
      </c>
    </row>
    <row r="110" spans="1:4" x14ac:dyDescent="0.35">
      <c r="A110">
        <v>39694</v>
      </c>
      <c r="B110" s="2">
        <v>45317</v>
      </c>
      <c r="C110" s="3">
        <v>93017</v>
      </c>
      <c r="D110" t="s">
        <v>26</v>
      </c>
    </row>
    <row r="111" spans="1:4" x14ac:dyDescent="0.35">
      <c r="A111">
        <v>96457</v>
      </c>
      <c r="B111" s="2">
        <v>45296</v>
      </c>
      <c r="C111" s="3">
        <v>92962</v>
      </c>
      <c r="D111" t="s">
        <v>27</v>
      </c>
    </row>
    <row r="112" spans="1:4" x14ac:dyDescent="0.35">
      <c r="A112">
        <v>24894</v>
      </c>
      <c r="B112" s="2">
        <v>45296</v>
      </c>
      <c r="C112" s="3">
        <v>92936</v>
      </c>
      <c r="D112" t="s">
        <v>27</v>
      </c>
    </row>
    <row r="113" spans="1:4" x14ac:dyDescent="0.35">
      <c r="A113">
        <v>24321</v>
      </c>
      <c r="B113" s="2">
        <v>45305</v>
      </c>
      <c r="C113" s="3">
        <v>92927</v>
      </c>
      <c r="D113" t="s">
        <v>26</v>
      </c>
    </row>
    <row r="114" spans="1:4" x14ac:dyDescent="0.35">
      <c r="A114">
        <v>25857</v>
      </c>
      <c r="B114" s="2">
        <v>45322</v>
      </c>
      <c r="C114" s="3">
        <v>92922</v>
      </c>
      <c r="D114" t="s">
        <v>27</v>
      </c>
    </row>
    <row r="115" spans="1:4" x14ac:dyDescent="0.35">
      <c r="A115">
        <v>70462</v>
      </c>
      <c r="B115" s="2">
        <v>45351</v>
      </c>
      <c r="C115" s="3">
        <v>92874</v>
      </c>
      <c r="D115" t="s">
        <v>28</v>
      </c>
    </row>
    <row r="116" spans="1:4" x14ac:dyDescent="0.35">
      <c r="A116">
        <v>53031</v>
      </c>
      <c r="B116" s="2">
        <v>45326</v>
      </c>
      <c r="C116" s="3">
        <v>92843</v>
      </c>
      <c r="D116" t="s">
        <v>26</v>
      </c>
    </row>
    <row r="117" spans="1:4" x14ac:dyDescent="0.35">
      <c r="A117">
        <v>92944</v>
      </c>
      <c r="B117" s="2">
        <v>45297</v>
      </c>
      <c r="C117" s="3">
        <v>92792</v>
      </c>
      <c r="D117" t="s">
        <v>28</v>
      </c>
    </row>
    <row r="118" spans="1:4" x14ac:dyDescent="0.35">
      <c r="A118">
        <v>46060</v>
      </c>
      <c r="B118" s="2">
        <v>45316</v>
      </c>
      <c r="C118" s="3">
        <v>92738</v>
      </c>
      <c r="D118" t="s">
        <v>26</v>
      </c>
    </row>
    <row r="119" spans="1:4" x14ac:dyDescent="0.35">
      <c r="A119">
        <v>96029</v>
      </c>
      <c r="B119" s="2">
        <v>45292</v>
      </c>
      <c r="C119" s="3">
        <v>92648</v>
      </c>
      <c r="D119" t="s">
        <v>28</v>
      </c>
    </row>
    <row r="120" spans="1:4" x14ac:dyDescent="0.35">
      <c r="A120">
        <v>46861</v>
      </c>
      <c r="B120" s="2">
        <v>45335</v>
      </c>
      <c r="C120" s="3">
        <v>92510</v>
      </c>
      <c r="D120" t="s">
        <v>28</v>
      </c>
    </row>
    <row r="121" spans="1:4" x14ac:dyDescent="0.35">
      <c r="A121">
        <v>42013</v>
      </c>
      <c r="B121" s="2">
        <v>45312</v>
      </c>
      <c r="C121" s="3">
        <v>92484</v>
      </c>
      <c r="D121" t="s">
        <v>26</v>
      </c>
    </row>
    <row r="122" spans="1:4" x14ac:dyDescent="0.35">
      <c r="A122">
        <v>24275</v>
      </c>
      <c r="B122" s="2">
        <v>45321</v>
      </c>
      <c r="C122" s="3">
        <v>92451</v>
      </c>
      <c r="D122" t="s">
        <v>26</v>
      </c>
    </row>
    <row r="123" spans="1:4" x14ac:dyDescent="0.35">
      <c r="A123">
        <v>77886</v>
      </c>
      <c r="B123" s="2">
        <v>45321</v>
      </c>
      <c r="C123" s="3">
        <v>92411</v>
      </c>
      <c r="D123" t="s">
        <v>28</v>
      </c>
    </row>
    <row r="124" spans="1:4" x14ac:dyDescent="0.35">
      <c r="A124">
        <v>74809</v>
      </c>
      <c r="B124" s="2">
        <v>45341</v>
      </c>
      <c r="C124" s="3">
        <v>92264</v>
      </c>
      <c r="D124" t="s">
        <v>28</v>
      </c>
    </row>
    <row r="125" spans="1:4" x14ac:dyDescent="0.35">
      <c r="A125">
        <v>43417</v>
      </c>
      <c r="B125" s="2">
        <v>45345</v>
      </c>
      <c r="C125" s="3">
        <v>92154</v>
      </c>
      <c r="D125" t="s">
        <v>27</v>
      </c>
    </row>
    <row r="126" spans="1:4" x14ac:dyDescent="0.35">
      <c r="A126">
        <v>75883</v>
      </c>
      <c r="B126" s="2">
        <v>45306</v>
      </c>
      <c r="C126" s="3">
        <v>91840</v>
      </c>
      <c r="D126" t="s">
        <v>26</v>
      </c>
    </row>
    <row r="127" spans="1:4" x14ac:dyDescent="0.35">
      <c r="A127">
        <v>66189</v>
      </c>
      <c r="B127" s="2">
        <v>45348</v>
      </c>
      <c r="C127" s="3">
        <v>91799</v>
      </c>
      <c r="D127" t="s">
        <v>27</v>
      </c>
    </row>
    <row r="128" spans="1:4" x14ac:dyDescent="0.35">
      <c r="A128">
        <v>97196</v>
      </c>
      <c r="B128" s="2">
        <v>45322</v>
      </c>
      <c r="C128" s="3">
        <v>91786</v>
      </c>
      <c r="D128" t="s">
        <v>28</v>
      </c>
    </row>
    <row r="129" spans="1:4" x14ac:dyDescent="0.35">
      <c r="A129">
        <v>70692</v>
      </c>
      <c r="B129" s="2">
        <v>45337</v>
      </c>
      <c r="C129" s="3">
        <v>91676</v>
      </c>
      <c r="D129" t="s">
        <v>27</v>
      </c>
    </row>
    <row r="130" spans="1:4" x14ac:dyDescent="0.35">
      <c r="A130">
        <v>49622</v>
      </c>
      <c r="B130" s="2">
        <v>45344</v>
      </c>
      <c r="C130" s="3">
        <v>91586</v>
      </c>
      <c r="D130" t="s">
        <v>26</v>
      </c>
    </row>
    <row r="131" spans="1:4" x14ac:dyDescent="0.35">
      <c r="A131">
        <v>32884</v>
      </c>
      <c r="B131" s="2">
        <v>45318</v>
      </c>
      <c r="C131" s="3">
        <v>91541</v>
      </c>
      <c r="D131" t="s">
        <v>26</v>
      </c>
    </row>
    <row r="132" spans="1:4" x14ac:dyDescent="0.35">
      <c r="A132">
        <v>61549</v>
      </c>
      <c r="B132" s="2">
        <v>45314</v>
      </c>
      <c r="C132" s="3">
        <v>91443</v>
      </c>
      <c r="D132" t="s">
        <v>28</v>
      </c>
    </row>
    <row r="133" spans="1:4" x14ac:dyDescent="0.35">
      <c r="A133">
        <v>66028</v>
      </c>
      <c r="B133" s="2">
        <v>45325</v>
      </c>
      <c r="C133" s="3">
        <v>91418</v>
      </c>
      <c r="D133" t="s">
        <v>26</v>
      </c>
    </row>
    <row r="134" spans="1:4" x14ac:dyDescent="0.35">
      <c r="A134">
        <v>63548</v>
      </c>
      <c r="B134" s="2">
        <v>45305</v>
      </c>
      <c r="C134" s="3">
        <v>91319</v>
      </c>
      <c r="D134" t="s">
        <v>28</v>
      </c>
    </row>
    <row r="135" spans="1:4" x14ac:dyDescent="0.35">
      <c r="A135">
        <v>91602</v>
      </c>
      <c r="B135" s="2">
        <v>45349</v>
      </c>
      <c r="C135" s="3">
        <v>91310</v>
      </c>
      <c r="D135" t="s">
        <v>28</v>
      </c>
    </row>
    <row r="136" spans="1:4" x14ac:dyDescent="0.35">
      <c r="A136">
        <v>61016</v>
      </c>
      <c r="B136" s="2">
        <v>45306</v>
      </c>
      <c r="C136" s="3">
        <v>91287</v>
      </c>
      <c r="D136" t="s">
        <v>28</v>
      </c>
    </row>
    <row r="137" spans="1:4" x14ac:dyDescent="0.35">
      <c r="A137">
        <v>58419</v>
      </c>
      <c r="B137" s="2">
        <v>45318</v>
      </c>
      <c r="C137" s="3">
        <v>91217</v>
      </c>
      <c r="D137" t="s">
        <v>28</v>
      </c>
    </row>
    <row r="138" spans="1:4" x14ac:dyDescent="0.35">
      <c r="A138">
        <v>75959</v>
      </c>
      <c r="B138" s="2">
        <v>45341</v>
      </c>
      <c r="C138" s="3">
        <v>91079</v>
      </c>
      <c r="D138" t="s">
        <v>28</v>
      </c>
    </row>
    <row r="139" spans="1:4" x14ac:dyDescent="0.35">
      <c r="A139">
        <v>77196</v>
      </c>
      <c r="B139" s="2">
        <v>45325</v>
      </c>
      <c r="C139" s="3">
        <v>90982</v>
      </c>
      <c r="D139" t="s">
        <v>28</v>
      </c>
    </row>
    <row r="140" spans="1:4" x14ac:dyDescent="0.35">
      <c r="A140">
        <v>20139</v>
      </c>
      <c r="B140" s="2">
        <v>45319</v>
      </c>
      <c r="C140" s="3">
        <v>90972</v>
      </c>
      <c r="D140" t="s">
        <v>28</v>
      </c>
    </row>
    <row r="141" spans="1:4" x14ac:dyDescent="0.35">
      <c r="A141">
        <v>30316</v>
      </c>
      <c r="B141" s="2">
        <v>45346</v>
      </c>
      <c r="C141" s="3">
        <v>90848</v>
      </c>
      <c r="D141" t="s">
        <v>27</v>
      </c>
    </row>
    <row r="142" spans="1:4" x14ac:dyDescent="0.35">
      <c r="A142">
        <v>25725</v>
      </c>
      <c r="B142" s="2">
        <v>45339</v>
      </c>
      <c r="C142" s="3">
        <v>90812</v>
      </c>
      <c r="D142" t="s">
        <v>28</v>
      </c>
    </row>
    <row r="143" spans="1:4" x14ac:dyDescent="0.35">
      <c r="A143">
        <v>46880</v>
      </c>
      <c r="B143" s="2">
        <v>45331</v>
      </c>
      <c r="C143" s="3">
        <v>90774</v>
      </c>
      <c r="D143" t="s">
        <v>28</v>
      </c>
    </row>
    <row r="144" spans="1:4" x14ac:dyDescent="0.35">
      <c r="A144">
        <v>79073</v>
      </c>
      <c r="B144" s="2">
        <v>45339</v>
      </c>
      <c r="C144" s="3">
        <v>90731</v>
      </c>
      <c r="D144" t="s">
        <v>26</v>
      </c>
    </row>
    <row r="145" spans="1:4" x14ac:dyDescent="0.35">
      <c r="A145">
        <v>15972</v>
      </c>
      <c r="B145" s="2">
        <v>45333</v>
      </c>
      <c r="C145" s="3">
        <v>90635</v>
      </c>
      <c r="D145" t="s">
        <v>26</v>
      </c>
    </row>
    <row r="146" spans="1:4" x14ac:dyDescent="0.35">
      <c r="A146">
        <v>61973</v>
      </c>
      <c r="B146" s="2">
        <v>45313</v>
      </c>
      <c r="C146" s="3">
        <v>90630</v>
      </c>
      <c r="D146" t="s">
        <v>28</v>
      </c>
    </row>
    <row r="147" spans="1:4" x14ac:dyDescent="0.35">
      <c r="A147">
        <v>33106</v>
      </c>
      <c r="B147" s="2">
        <v>45350</v>
      </c>
      <c r="C147" s="3">
        <v>90524</v>
      </c>
      <c r="D147" t="s">
        <v>28</v>
      </c>
    </row>
    <row r="148" spans="1:4" x14ac:dyDescent="0.35">
      <c r="A148">
        <v>99424</v>
      </c>
      <c r="B148" s="2">
        <v>45328</v>
      </c>
      <c r="C148" s="3">
        <v>90437</v>
      </c>
      <c r="D148" t="s">
        <v>28</v>
      </c>
    </row>
    <row r="149" spans="1:4" x14ac:dyDescent="0.35">
      <c r="A149">
        <v>79603</v>
      </c>
      <c r="B149" s="2">
        <v>45333</v>
      </c>
      <c r="C149" s="3">
        <v>90417</v>
      </c>
      <c r="D149" t="s">
        <v>28</v>
      </c>
    </row>
    <row r="150" spans="1:4" x14ac:dyDescent="0.35">
      <c r="A150">
        <v>92801</v>
      </c>
      <c r="B150" s="2">
        <v>45300</v>
      </c>
      <c r="C150" s="3">
        <v>90394</v>
      </c>
      <c r="D150" t="s">
        <v>28</v>
      </c>
    </row>
    <row r="151" spans="1:4" x14ac:dyDescent="0.35">
      <c r="A151">
        <v>24512</v>
      </c>
      <c r="B151" s="2">
        <v>45341</v>
      </c>
      <c r="C151" s="3">
        <v>90359</v>
      </c>
      <c r="D151" t="s">
        <v>28</v>
      </c>
    </row>
    <row r="152" spans="1:4" x14ac:dyDescent="0.35">
      <c r="A152">
        <v>40591</v>
      </c>
      <c r="B152" s="2">
        <v>45318</v>
      </c>
      <c r="C152" s="3">
        <v>90099</v>
      </c>
      <c r="D152" t="s">
        <v>27</v>
      </c>
    </row>
    <row r="153" spans="1:4" x14ac:dyDescent="0.35">
      <c r="A153">
        <v>15417</v>
      </c>
      <c r="B153" s="2">
        <v>45299</v>
      </c>
      <c r="C153" s="3">
        <v>90010</v>
      </c>
      <c r="D153" t="s">
        <v>27</v>
      </c>
    </row>
    <row r="154" spans="1:4" x14ac:dyDescent="0.35">
      <c r="A154">
        <v>66487</v>
      </c>
      <c r="B154" s="2">
        <v>45303</v>
      </c>
      <c r="C154" s="3">
        <v>89979</v>
      </c>
      <c r="D154" t="s">
        <v>27</v>
      </c>
    </row>
    <row r="155" spans="1:4" x14ac:dyDescent="0.35">
      <c r="A155">
        <v>33042</v>
      </c>
      <c r="B155" s="2">
        <v>45340</v>
      </c>
      <c r="C155" s="3">
        <v>89947</v>
      </c>
      <c r="D155" t="s">
        <v>26</v>
      </c>
    </row>
    <row r="156" spans="1:4" x14ac:dyDescent="0.35">
      <c r="A156">
        <v>26181</v>
      </c>
      <c r="B156" s="2">
        <v>45310</v>
      </c>
      <c r="C156" s="3">
        <v>89944</v>
      </c>
      <c r="D156" t="s">
        <v>27</v>
      </c>
    </row>
    <row r="157" spans="1:4" x14ac:dyDescent="0.35">
      <c r="A157">
        <v>38950</v>
      </c>
      <c r="B157" s="2">
        <v>45343</v>
      </c>
      <c r="C157" s="3">
        <v>89798</v>
      </c>
      <c r="D157" t="s">
        <v>26</v>
      </c>
    </row>
    <row r="158" spans="1:4" x14ac:dyDescent="0.35">
      <c r="A158">
        <v>12574</v>
      </c>
      <c r="B158" s="2">
        <v>45310</v>
      </c>
      <c r="C158" s="3">
        <v>89500</v>
      </c>
      <c r="D158" t="s">
        <v>27</v>
      </c>
    </row>
    <row r="159" spans="1:4" x14ac:dyDescent="0.35">
      <c r="A159">
        <v>24162</v>
      </c>
      <c r="B159" s="2">
        <v>45292</v>
      </c>
      <c r="C159" s="3">
        <v>89432</v>
      </c>
      <c r="D159" t="s">
        <v>26</v>
      </c>
    </row>
    <row r="160" spans="1:4" x14ac:dyDescent="0.35">
      <c r="A160">
        <v>18077</v>
      </c>
      <c r="B160" s="2">
        <v>45302</v>
      </c>
      <c r="C160" s="3">
        <v>89377</v>
      </c>
      <c r="D160" t="s">
        <v>28</v>
      </c>
    </row>
    <row r="161" spans="1:4" x14ac:dyDescent="0.35">
      <c r="A161">
        <v>39698</v>
      </c>
      <c r="B161" s="2">
        <v>45300</v>
      </c>
      <c r="C161" s="3">
        <v>89376</v>
      </c>
      <c r="D161" t="s">
        <v>27</v>
      </c>
    </row>
    <row r="162" spans="1:4" x14ac:dyDescent="0.35">
      <c r="A162">
        <v>76390</v>
      </c>
      <c r="B162" s="2">
        <v>45304</v>
      </c>
      <c r="C162" s="3">
        <v>89273</v>
      </c>
      <c r="D162" t="s">
        <v>27</v>
      </c>
    </row>
    <row r="163" spans="1:4" x14ac:dyDescent="0.35">
      <c r="A163">
        <v>93996</v>
      </c>
      <c r="B163" s="2">
        <v>45298</v>
      </c>
      <c r="C163" s="3">
        <v>89257</v>
      </c>
      <c r="D163" t="s">
        <v>26</v>
      </c>
    </row>
    <row r="164" spans="1:4" x14ac:dyDescent="0.35">
      <c r="A164">
        <v>25256</v>
      </c>
      <c r="B164" s="2">
        <v>45302</v>
      </c>
      <c r="C164" s="3">
        <v>89244</v>
      </c>
      <c r="D164" t="s">
        <v>28</v>
      </c>
    </row>
    <row r="165" spans="1:4" x14ac:dyDescent="0.35">
      <c r="A165">
        <v>62209</v>
      </c>
      <c r="B165" s="2">
        <v>45292</v>
      </c>
      <c r="C165" s="3">
        <v>89231</v>
      </c>
      <c r="D165" t="s">
        <v>27</v>
      </c>
    </row>
    <row r="166" spans="1:4" x14ac:dyDescent="0.35">
      <c r="A166">
        <v>53046</v>
      </c>
      <c r="B166" s="2">
        <v>45321</v>
      </c>
      <c r="C166" s="3">
        <v>89139</v>
      </c>
      <c r="D166" t="s">
        <v>28</v>
      </c>
    </row>
    <row r="167" spans="1:4" x14ac:dyDescent="0.35">
      <c r="A167">
        <v>73790</v>
      </c>
      <c r="B167" s="2">
        <v>45294</v>
      </c>
      <c r="C167" s="3">
        <v>89138</v>
      </c>
      <c r="D167" t="s">
        <v>28</v>
      </c>
    </row>
    <row r="168" spans="1:4" x14ac:dyDescent="0.35">
      <c r="A168">
        <v>93405</v>
      </c>
      <c r="B168" s="2">
        <v>45332</v>
      </c>
      <c r="C168" s="3">
        <v>89122</v>
      </c>
      <c r="D168" t="s">
        <v>28</v>
      </c>
    </row>
    <row r="169" spans="1:4" x14ac:dyDescent="0.35">
      <c r="A169">
        <v>95617</v>
      </c>
      <c r="B169" s="2">
        <v>45331</v>
      </c>
      <c r="C169" s="3">
        <v>88886</v>
      </c>
      <c r="D169" t="s">
        <v>28</v>
      </c>
    </row>
    <row r="170" spans="1:4" x14ac:dyDescent="0.35">
      <c r="A170">
        <v>60539</v>
      </c>
      <c r="B170" s="2">
        <v>45305</v>
      </c>
      <c r="C170" s="3">
        <v>88607</v>
      </c>
      <c r="D170" t="s">
        <v>26</v>
      </c>
    </row>
    <row r="171" spans="1:4" x14ac:dyDescent="0.35">
      <c r="A171">
        <v>63805</v>
      </c>
      <c r="B171" s="2">
        <v>45311</v>
      </c>
      <c r="C171" s="3">
        <v>88577</v>
      </c>
      <c r="D171" t="s">
        <v>28</v>
      </c>
    </row>
    <row r="172" spans="1:4" x14ac:dyDescent="0.35">
      <c r="A172">
        <v>13367</v>
      </c>
      <c r="B172" s="2">
        <v>45321</v>
      </c>
      <c r="C172" s="3">
        <v>88472</v>
      </c>
      <c r="D172" t="s">
        <v>26</v>
      </c>
    </row>
    <row r="173" spans="1:4" x14ac:dyDescent="0.35">
      <c r="A173">
        <v>54918</v>
      </c>
      <c r="B173" s="2">
        <v>45293</v>
      </c>
      <c r="C173" s="3">
        <v>88422</v>
      </c>
      <c r="D173" t="s">
        <v>26</v>
      </c>
    </row>
    <row r="174" spans="1:4" x14ac:dyDescent="0.35">
      <c r="A174">
        <v>26171</v>
      </c>
      <c r="B174" s="2">
        <v>45324</v>
      </c>
      <c r="C174" s="3">
        <v>88376</v>
      </c>
      <c r="D174" t="s">
        <v>27</v>
      </c>
    </row>
    <row r="175" spans="1:4" x14ac:dyDescent="0.35">
      <c r="A175">
        <v>52217</v>
      </c>
      <c r="B175" s="2">
        <v>45307</v>
      </c>
      <c r="C175" s="3">
        <v>88187</v>
      </c>
      <c r="D175" t="s">
        <v>26</v>
      </c>
    </row>
    <row r="176" spans="1:4" x14ac:dyDescent="0.35">
      <c r="A176">
        <v>81927</v>
      </c>
      <c r="B176" s="2">
        <v>45308</v>
      </c>
      <c r="C176" s="3">
        <v>88100</v>
      </c>
      <c r="D176" t="s">
        <v>26</v>
      </c>
    </row>
    <row r="177" spans="1:4" x14ac:dyDescent="0.35">
      <c r="A177">
        <v>18528</v>
      </c>
      <c r="B177" s="2">
        <v>45333</v>
      </c>
      <c r="C177" s="3">
        <v>88092</v>
      </c>
      <c r="D177" t="s">
        <v>27</v>
      </c>
    </row>
    <row r="178" spans="1:4" x14ac:dyDescent="0.35">
      <c r="A178">
        <v>13696</v>
      </c>
      <c r="B178" s="2">
        <v>45319</v>
      </c>
      <c r="C178" s="3">
        <v>87984</v>
      </c>
      <c r="D178" t="s">
        <v>26</v>
      </c>
    </row>
    <row r="179" spans="1:4" x14ac:dyDescent="0.35">
      <c r="A179">
        <v>72337</v>
      </c>
      <c r="B179" s="2">
        <v>45300</v>
      </c>
      <c r="C179" s="3">
        <v>87863</v>
      </c>
      <c r="D179" t="s">
        <v>27</v>
      </c>
    </row>
    <row r="180" spans="1:4" x14ac:dyDescent="0.35">
      <c r="A180">
        <v>75108</v>
      </c>
      <c r="B180" s="2">
        <v>45328</v>
      </c>
      <c r="C180" s="3">
        <v>87455</v>
      </c>
      <c r="D180" t="s">
        <v>26</v>
      </c>
    </row>
    <row r="181" spans="1:4" x14ac:dyDescent="0.35">
      <c r="A181">
        <v>57638</v>
      </c>
      <c r="B181" s="2">
        <v>45348</v>
      </c>
      <c r="C181" s="3">
        <v>87308</v>
      </c>
      <c r="D181" t="s">
        <v>26</v>
      </c>
    </row>
    <row r="182" spans="1:4" x14ac:dyDescent="0.35">
      <c r="A182">
        <v>35979</v>
      </c>
      <c r="B182" s="2">
        <v>45302</v>
      </c>
      <c r="C182" s="3">
        <v>87257</v>
      </c>
      <c r="D182" t="s">
        <v>28</v>
      </c>
    </row>
    <row r="183" spans="1:4" x14ac:dyDescent="0.35">
      <c r="A183">
        <v>81164</v>
      </c>
      <c r="B183" s="2">
        <v>45336</v>
      </c>
      <c r="C183" s="3">
        <v>87210</v>
      </c>
      <c r="D183" t="s">
        <v>27</v>
      </c>
    </row>
    <row r="184" spans="1:4" x14ac:dyDescent="0.35">
      <c r="A184">
        <v>84496</v>
      </c>
      <c r="B184" s="2">
        <v>45305</v>
      </c>
      <c r="C184" s="3">
        <v>87192</v>
      </c>
      <c r="D184" t="s">
        <v>28</v>
      </c>
    </row>
    <row r="185" spans="1:4" x14ac:dyDescent="0.35">
      <c r="A185">
        <v>12825</v>
      </c>
      <c r="B185" s="2">
        <v>45298</v>
      </c>
      <c r="C185" s="3">
        <v>87136</v>
      </c>
      <c r="D185" t="s">
        <v>27</v>
      </c>
    </row>
    <row r="186" spans="1:4" x14ac:dyDescent="0.35">
      <c r="A186">
        <v>46743</v>
      </c>
      <c r="B186" s="2">
        <v>45352</v>
      </c>
      <c r="C186" s="3">
        <v>87088</v>
      </c>
      <c r="D186" t="s">
        <v>26</v>
      </c>
    </row>
    <row r="187" spans="1:4" x14ac:dyDescent="0.35">
      <c r="A187">
        <v>82375</v>
      </c>
      <c r="B187" s="2">
        <v>45331</v>
      </c>
      <c r="C187" s="3">
        <v>87087</v>
      </c>
      <c r="D187" t="s">
        <v>27</v>
      </c>
    </row>
    <row r="188" spans="1:4" x14ac:dyDescent="0.35">
      <c r="A188">
        <v>27215</v>
      </c>
      <c r="B188" s="2">
        <v>45323</v>
      </c>
      <c r="C188" s="3">
        <v>87059</v>
      </c>
      <c r="D188" t="s">
        <v>27</v>
      </c>
    </row>
    <row r="189" spans="1:4" x14ac:dyDescent="0.35">
      <c r="A189">
        <v>92782</v>
      </c>
      <c r="B189" s="2">
        <v>45334</v>
      </c>
      <c r="C189" s="3">
        <v>87020</v>
      </c>
      <c r="D189" t="s">
        <v>28</v>
      </c>
    </row>
    <row r="190" spans="1:4" x14ac:dyDescent="0.35">
      <c r="A190">
        <v>61017</v>
      </c>
      <c r="B190" s="2">
        <v>45301</v>
      </c>
      <c r="C190" s="3">
        <v>86979</v>
      </c>
      <c r="D190" t="s">
        <v>28</v>
      </c>
    </row>
    <row r="191" spans="1:4" x14ac:dyDescent="0.35">
      <c r="A191">
        <v>44789</v>
      </c>
      <c r="B191" s="2">
        <v>45353</v>
      </c>
      <c r="C191" s="3">
        <v>86928</v>
      </c>
      <c r="D191" t="s">
        <v>26</v>
      </c>
    </row>
    <row r="192" spans="1:4" x14ac:dyDescent="0.35">
      <c r="A192">
        <v>66139</v>
      </c>
      <c r="B192" s="2">
        <v>45350</v>
      </c>
      <c r="C192" s="3">
        <v>86922</v>
      </c>
      <c r="D192" t="s">
        <v>26</v>
      </c>
    </row>
    <row r="193" spans="1:4" x14ac:dyDescent="0.35">
      <c r="A193">
        <v>52191</v>
      </c>
      <c r="B193" s="2">
        <v>45347</v>
      </c>
      <c r="C193" s="3">
        <v>86881</v>
      </c>
      <c r="D193" t="s">
        <v>26</v>
      </c>
    </row>
    <row r="194" spans="1:4" x14ac:dyDescent="0.35">
      <c r="A194">
        <v>77409</v>
      </c>
      <c r="B194" s="2">
        <v>45303</v>
      </c>
      <c r="C194" s="3">
        <v>86802</v>
      </c>
      <c r="D194" t="s">
        <v>26</v>
      </c>
    </row>
    <row r="195" spans="1:4" x14ac:dyDescent="0.35">
      <c r="A195">
        <v>39672</v>
      </c>
      <c r="B195" s="2">
        <v>45350</v>
      </c>
      <c r="C195" s="3">
        <v>86733</v>
      </c>
      <c r="D195" t="s">
        <v>28</v>
      </c>
    </row>
    <row r="196" spans="1:4" x14ac:dyDescent="0.35">
      <c r="A196">
        <v>18385</v>
      </c>
      <c r="B196" s="2">
        <v>45295</v>
      </c>
      <c r="C196" s="3">
        <v>86632</v>
      </c>
      <c r="D196" t="s">
        <v>27</v>
      </c>
    </row>
    <row r="197" spans="1:4" x14ac:dyDescent="0.35">
      <c r="A197">
        <v>10333</v>
      </c>
      <c r="B197" s="2">
        <v>45316</v>
      </c>
      <c r="C197" s="3">
        <v>86553</v>
      </c>
      <c r="D197" t="s">
        <v>28</v>
      </c>
    </row>
    <row r="198" spans="1:4" x14ac:dyDescent="0.35">
      <c r="A198">
        <v>80584</v>
      </c>
      <c r="B198" s="2">
        <v>45344</v>
      </c>
      <c r="C198" s="3">
        <v>86530</v>
      </c>
      <c r="D198" t="s">
        <v>26</v>
      </c>
    </row>
    <row r="199" spans="1:4" x14ac:dyDescent="0.35">
      <c r="A199">
        <v>39349</v>
      </c>
      <c r="B199" s="2">
        <v>45347</v>
      </c>
      <c r="C199" s="3">
        <v>86471</v>
      </c>
      <c r="D199" t="s">
        <v>26</v>
      </c>
    </row>
    <row r="200" spans="1:4" x14ac:dyDescent="0.35">
      <c r="A200">
        <v>77909</v>
      </c>
      <c r="B200" s="2">
        <v>45345</v>
      </c>
      <c r="C200" s="3">
        <v>86352</v>
      </c>
      <c r="D200" t="s">
        <v>26</v>
      </c>
    </row>
    <row r="201" spans="1:4" x14ac:dyDescent="0.35">
      <c r="A201">
        <v>53206</v>
      </c>
      <c r="B201" s="2">
        <v>45315</v>
      </c>
      <c r="C201" s="3">
        <v>86341</v>
      </c>
      <c r="D201" t="s">
        <v>27</v>
      </c>
    </row>
    <row r="202" spans="1:4" x14ac:dyDescent="0.35">
      <c r="A202">
        <v>74442</v>
      </c>
      <c r="B202" s="2">
        <v>45296</v>
      </c>
      <c r="C202" s="3">
        <v>86298</v>
      </c>
      <c r="D202" t="s">
        <v>27</v>
      </c>
    </row>
    <row r="203" spans="1:4" x14ac:dyDescent="0.35">
      <c r="A203">
        <v>57707</v>
      </c>
      <c r="B203" s="2">
        <v>45339</v>
      </c>
      <c r="C203" s="3">
        <v>86286</v>
      </c>
      <c r="D203" t="s">
        <v>26</v>
      </c>
    </row>
    <row r="204" spans="1:4" x14ac:dyDescent="0.35">
      <c r="A204">
        <v>79201</v>
      </c>
      <c r="B204" s="2">
        <v>45298</v>
      </c>
      <c r="C204" s="3">
        <v>86205</v>
      </c>
      <c r="D204" t="s">
        <v>26</v>
      </c>
    </row>
    <row r="205" spans="1:4" x14ac:dyDescent="0.35">
      <c r="A205">
        <v>41374</v>
      </c>
      <c r="B205" s="2">
        <v>45330</v>
      </c>
      <c r="C205" s="3">
        <v>86177</v>
      </c>
      <c r="D205" t="s">
        <v>26</v>
      </c>
    </row>
    <row r="206" spans="1:4" x14ac:dyDescent="0.35">
      <c r="A206">
        <v>91824</v>
      </c>
      <c r="B206" s="2">
        <v>45326</v>
      </c>
      <c r="C206" s="3">
        <v>86169</v>
      </c>
      <c r="D206" t="s">
        <v>26</v>
      </c>
    </row>
    <row r="207" spans="1:4" x14ac:dyDescent="0.35">
      <c r="A207">
        <v>23032</v>
      </c>
      <c r="B207" s="2">
        <v>45327</v>
      </c>
      <c r="C207" s="3">
        <v>86050</v>
      </c>
      <c r="D207" t="s">
        <v>26</v>
      </c>
    </row>
    <row r="208" spans="1:4" x14ac:dyDescent="0.35">
      <c r="A208">
        <v>37343</v>
      </c>
      <c r="B208" s="2">
        <v>45294</v>
      </c>
      <c r="C208" s="3">
        <v>85979</v>
      </c>
      <c r="D208" t="s">
        <v>28</v>
      </c>
    </row>
    <row r="209" spans="1:4" x14ac:dyDescent="0.35">
      <c r="A209">
        <v>71841</v>
      </c>
      <c r="B209" s="2">
        <v>45307</v>
      </c>
      <c r="C209" s="3">
        <v>85974</v>
      </c>
      <c r="D209" t="s">
        <v>28</v>
      </c>
    </row>
    <row r="210" spans="1:4" x14ac:dyDescent="0.35">
      <c r="A210">
        <v>94031</v>
      </c>
      <c r="B210" s="2">
        <v>45342</v>
      </c>
      <c r="C210" s="3">
        <v>85933</v>
      </c>
      <c r="D210" t="s">
        <v>27</v>
      </c>
    </row>
    <row r="211" spans="1:4" x14ac:dyDescent="0.35">
      <c r="A211">
        <v>68843</v>
      </c>
      <c r="B211" s="2">
        <v>45306</v>
      </c>
      <c r="C211" s="3">
        <v>85917</v>
      </c>
      <c r="D211" t="s">
        <v>27</v>
      </c>
    </row>
    <row r="212" spans="1:4" x14ac:dyDescent="0.35">
      <c r="A212">
        <v>91631</v>
      </c>
      <c r="B212" s="2">
        <v>45337</v>
      </c>
      <c r="C212" s="3">
        <v>85856</v>
      </c>
      <c r="D212" t="s">
        <v>26</v>
      </c>
    </row>
    <row r="213" spans="1:4" x14ac:dyDescent="0.35">
      <c r="A213">
        <v>35226</v>
      </c>
      <c r="B213" s="2">
        <v>45334</v>
      </c>
      <c r="C213" s="3">
        <v>85832</v>
      </c>
      <c r="D213" t="s">
        <v>27</v>
      </c>
    </row>
    <row r="214" spans="1:4" x14ac:dyDescent="0.35">
      <c r="A214">
        <v>16023</v>
      </c>
      <c r="B214" s="2">
        <v>45309</v>
      </c>
      <c r="C214" s="3">
        <v>85810</v>
      </c>
      <c r="D214" t="s">
        <v>27</v>
      </c>
    </row>
    <row r="215" spans="1:4" x14ac:dyDescent="0.35">
      <c r="A215">
        <v>39510</v>
      </c>
      <c r="B215" s="2">
        <v>45300</v>
      </c>
      <c r="C215" s="3">
        <v>85716</v>
      </c>
      <c r="D215" t="s">
        <v>28</v>
      </c>
    </row>
    <row r="216" spans="1:4" x14ac:dyDescent="0.35">
      <c r="A216">
        <v>27128</v>
      </c>
      <c r="B216" s="2">
        <v>45334</v>
      </c>
      <c r="C216" s="3">
        <v>85583</v>
      </c>
      <c r="D216" t="s">
        <v>28</v>
      </c>
    </row>
    <row r="217" spans="1:4" x14ac:dyDescent="0.35">
      <c r="A217">
        <v>49542</v>
      </c>
      <c r="B217" s="2">
        <v>45306</v>
      </c>
      <c r="C217" s="3">
        <v>85563</v>
      </c>
      <c r="D217" t="s">
        <v>28</v>
      </c>
    </row>
    <row r="218" spans="1:4" x14ac:dyDescent="0.35">
      <c r="A218">
        <v>65837</v>
      </c>
      <c r="B218" s="2">
        <v>45320</v>
      </c>
      <c r="C218" s="3">
        <v>85485</v>
      </c>
      <c r="D218" t="s">
        <v>28</v>
      </c>
    </row>
    <row r="219" spans="1:4" x14ac:dyDescent="0.35">
      <c r="A219">
        <v>87277</v>
      </c>
      <c r="B219" s="2">
        <v>45301</v>
      </c>
      <c r="C219" s="3">
        <v>85404</v>
      </c>
      <c r="D219" t="s">
        <v>28</v>
      </c>
    </row>
    <row r="220" spans="1:4" x14ac:dyDescent="0.35">
      <c r="A220">
        <v>78013</v>
      </c>
      <c r="B220" s="2">
        <v>45331</v>
      </c>
      <c r="C220" s="3">
        <v>85399</v>
      </c>
      <c r="D220" t="s">
        <v>27</v>
      </c>
    </row>
    <row r="221" spans="1:4" x14ac:dyDescent="0.35">
      <c r="A221">
        <v>29061</v>
      </c>
      <c r="B221" s="2">
        <v>45295</v>
      </c>
      <c r="C221" s="3">
        <v>85373</v>
      </c>
      <c r="D221" t="s">
        <v>27</v>
      </c>
    </row>
    <row r="222" spans="1:4" x14ac:dyDescent="0.35">
      <c r="A222">
        <v>86425</v>
      </c>
      <c r="B222" s="2">
        <v>45339</v>
      </c>
      <c r="C222" s="3">
        <v>85325</v>
      </c>
      <c r="D222" t="s">
        <v>27</v>
      </c>
    </row>
    <row r="223" spans="1:4" x14ac:dyDescent="0.35">
      <c r="A223">
        <v>34025</v>
      </c>
      <c r="B223" s="2">
        <v>45306</v>
      </c>
      <c r="C223" s="3">
        <v>85283</v>
      </c>
      <c r="D223" t="s">
        <v>26</v>
      </c>
    </row>
    <row r="224" spans="1:4" x14ac:dyDescent="0.35">
      <c r="A224">
        <v>90956</v>
      </c>
      <c r="B224" s="2">
        <v>45334</v>
      </c>
      <c r="C224" s="3">
        <v>85233</v>
      </c>
      <c r="D224" t="s">
        <v>28</v>
      </c>
    </row>
    <row r="225" spans="1:4" x14ac:dyDescent="0.35">
      <c r="A225">
        <v>88962</v>
      </c>
      <c r="B225" s="2">
        <v>45322</v>
      </c>
      <c r="C225" s="3">
        <v>85219</v>
      </c>
      <c r="D225" t="s">
        <v>27</v>
      </c>
    </row>
    <row r="226" spans="1:4" x14ac:dyDescent="0.35">
      <c r="A226">
        <v>11876</v>
      </c>
      <c r="B226" s="2">
        <v>45309</v>
      </c>
      <c r="C226" s="3">
        <v>85157</v>
      </c>
      <c r="D226" t="s">
        <v>27</v>
      </c>
    </row>
    <row r="227" spans="1:4" x14ac:dyDescent="0.35">
      <c r="A227">
        <v>24574</v>
      </c>
      <c r="B227" s="2">
        <v>45352</v>
      </c>
      <c r="C227" s="3">
        <v>85015</v>
      </c>
      <c r="D227" t="s">
        <v>27</v>
      </c>
    </row>
    <row r="228" spans="1:4" x14ac:dyDescent="0.35">
      <c r="A228">
        <v>40935</v>
      </c>
      <c r="B228" s="2">
        <v>45332</v>
      </c>
      <c r="C228" s="3">
        <v>84892</v>
      </c>
      <c r="D228" t="s">
        <v>28</v>
      </c>
    </row>
    <row r="229" spans="1:4" x14ac:dyDescent="0.35">
      <c r="A229">
        <v>13551</v>
      </c>
      <c r="B229" s="2">
        <v>45295</v>
      </c>
      <c r="C229" s="3">
        <v>84881</v>
      </c>
      <c r="D229" t="s">
        <v>27</v>
      </c>
    </row>
    <row r="230" spans="1:4" x14ac:dyDescent="0.35">
      <c r="A230">
        <v>46254</v>
      </c>
      <c r="B230" s="2">
        <v>45334</v>
      </c>
      <c r="C230" s="3">
        <v>84757</v>
      </c>
      <c r="D230" t="s">
        <v>28</v>
      </c>
    </row>
    <row r="231" spans="1:4" x14ac:dyDescent="0.35">
      <c r="A231">
        <v>52667</v>
      </c>
      <c r="B231" s="2">
        <v>45347</v>
      </c>
      <c r="C231" s="3">
        <v>84707</v>
      </c>
      <c r="D231" t="s">
        <v>27</v>
      </c>
    </row>
    <row r="232" spans="1:4" x14ac:dyDescent="0.35">
      <c r="A232">
        <v>33772</v>
      </c>
      <c r="B232" s="2">
        <v>45345</v>
      </c>
      <c r="C232" s="3">
        <v>84652</v>
      </c>
      <c r="D232" t="s">
        <v>26</v>
      </c>
    </row>
    <row r="233" spans="1:4" x14ac:dyDescent="0.35">
      <c r="A233">
        <v>18320</v>
      </c>
      <c r="B233" s="2">
        <v>45299</v>
      </c>
      <c r="C233" s="3">
        <v>84600</v>
      </c>
      <c r="D233" t="s">
        <v>27</v>
      </c>
    </row>
    <row r="234" spans="1:4" x14ac:dyDescent="0.35">
      <c r="A234">
        <v>39839</v>
      </c>
      <c r="B234" s="2">
        <v>45347</v>
      </c>
      <c r="C234" s="3">
        <v>84518</v>
      </c>
      <c r="D234" t="s">
        <v>27</v>
      </c>
    </row>
    <row r="235" spans="1:4" x14ac:dyDescent="0.35">
      <c r="A235">
        <v>73037</v>
      </c>
      <c r="B235" s="2">
        <v>45348</v>
      </c>
      <c r="C235" s="3">
        <v>84411</v>
      </c>
      <c r="D235" t="s">
        <v>27</v>
      </c>
    </row>
    <row r="236" spans="1:4" x14ac:dyDescent="0.35">
      <c r="A236">
        <v>31245</v>
      </c>
      <c r="B236" s="2">
        <v>45312</v>
      </c>
      <c r="C236" s="3">
        <v>84196</v>
      </c>
      <c r="D236" t="s">
        <v>28</v>
      </c>
    </row>
    <row r="237" spans="1:4" x14ac:dyDescent="0.35">
      <c r="A237">
        <v>57069</v>
      </c>
      <c r="B237" s="2">
        <v>45316</v>
      </c>
      <c r="C237" s="3">
        <v>84195</v>
      </c>
      <c r="D237" t="s">
        <v>27</v>
      </c>
    </row>
    <row r="238" spans="1:4" x14ac:dyDescent="0.35">
      <c r="A238">
        <v>77129</v>
      </c>
      <c r="B238" s="2">
        <v>45316</v>
      </c>
      <c r="C238" s="3">
        <v>84188</v>
      </c>
      <c r="D238" t="s">
        <v>26</v>
      </c>
    </row>
    <row r="239" spans="1:4" x14ac:dyDescent="0.35">
      <c r="A239">
        <v>22108</v>
      </c>
      <c r="B239" s="2">
        <v>45292</v>
      </c>
      <c r="C239" s="3">
        <v>84132</v>
      </c>
      <c r="D239" t="s">
        <v>27</v>
      </c>
    </row>
    <row r="240" spans="1:4" x14ac:dyDescent="0.35">
      <c r="A240">
        <v>55878</v>
      </c>
      <c r="B240" s="2">
        <v>45340</v>
      </c>
      <c r="C240" s="3">
        <v>84006</v>
      </c>
      <c r="D240" t="s">
        <v>28</v>
      </c>
    </row>
    <row r="241" spans="1:4" x14ac:dyDescent="0.35">
      <c r="A241">
        <v>19385</v>
      </c>
      <c r="B241" s="2">
        <v>45295</v>
      </c>
      <c r="C241" s="3">
        <v>83968</v>
      </c>
      <c r="D241" t="s">
        <v>26</v>
      </c>
    </row>
    <row r="242" spans="1:4" x14ac:dyDescent="0.35">
      <c r="A242">
        <v>75711</v>
      </c>
      <c r="B242" s="2">
        <v>45324</v>
      </c>
      <c r="C242" s="3">
        <v>83962</v>
      </c>
      <c r="D242" t="s">
        <v>27</v>
      </c>
    </row>
    <row r="243" spans="1:4" x14ac:dyDescent="0.35">
      <c r="A243">
        <v>70051</v>
      </c>
      <c r="B243" s="2">
        <v>45326</v>
      </c>
      <c r="C243" s="3">
        <v>83931</v>
      </c>
      <c r="D243" t="s">
        <v>28</v>
      </c>
    </row>
    <row r="244" spans="1:4" x14ac:dyDescent="0.35">
      <c r="A244">
        <v>77594</v>
      </c>
      <c r="B244" s="2">
        <v>45329</v>
      </c>
      <c r="C244" s="3">
        <v>83924</v>
      </c>
      <c r="D244" t="s">
        <v>26</v>
      </c>
    </row>
    <row r="245" spans="1:4" x14ac:dyDescent="0.35">
      <c r="A245">
        <v>97428</v>
      </c>
      <c r="B245" s="2">
        <v>45339</v>
      </c>
      <c r="C245" s="3">
        <v>83873</v>
      </c>
      <c r="D245" t="s">
        <v>28</v>
      </c>
    </row>
    <row r="246" spans="1:4" x14ac:dyDescent="0.35">
      <c r="A246">
        <v>46028</v>
      </c>
      <c r="B246" s="2">
        <v>45297</v>
      </c>
      <c r="C246" s="3">
        <v>83864</v>
      </c>
      <c r="D246" t="s">
        <v>27</v>
      </c>
    </row>
    <row r="247" spans="1:4" x14ac:dyDescent="0.35">
      <c r="A247">
        <v>95935</v>
      </c>
      <c r="B247" s="2">
        <v>45292</v>
      </c>
      <c r="C247" s="3">
        <v>83804</v>
      </c>
      <c r="D247" t="s">
        <v>27</v>
      </c>
    </row>
    <row r="248" spans="1:4" x14ac:dyDescent="0.35">
      <c r="A248">
        <v>15852</v>
      </c>
      <c r="B248" s="2">
        <v>45318</v>
      </c>
      <c r="C248" s="3">
        <v>83786</v>
      </c>
      <c r="D248" t="s">
        <v>28</v>
      </c>
    </row>
    <row r="249" spans="1:4" x14ac:dyDescent="0.35">
      <c r="A249">
        <v>52807</v>
      </c>
      <c r="B249" s="2">
        <v>45297</v>
      </c>
      <c r="C249" s="3">
        <v>83742</v>
      </c>
      <c r="D249" t="s">
        <v>28</v>
      </c>
    </row>
    <row r="250" spans="1:4" x14ac:dyDescent="0.35">
      <c r="A250">
        <v>42229</v>
      </c>
      <c r="B250" s="2">
        <v>45333</v>
      </c>
      <c r="C250" s="3">
        <v>83734</v>
      </c>
      <c r="D250" t="s">
        <v>26</v>
      </c>
    </row>
    <row r="251" spans="1:4" x14ac:dyDescent="0.35">
      <c r="A251">
        <v>53846</v>
      </c>
      <c r="B251" s="2">
        <v>45320</v>
      </c>
      <c r="C251" s="3">
        <v>83696</v>
      </c>
      <c r="D251" t="s">
        <v>27</v>
      </c>
    </row>
    <row r="252" spans="1:4" x14ac:dyDescent="0.35">
      <c r="A252">
        <v>69840</v>
      </c>
      <c r="B252" s="2">
        <v>45311</v>
      </c>
      <c r="C252" s="3">
        <v>83690</v>
      </c>
      <c r="D252" t="s">
        <v>27</v>
      </c>
    </row>
    <row r="253" spans="1:4" x14ac:dyDescent="0.35">
      <c r="A253">
        <v>47420</v>
      </c>
      <c r="B253" s="2">
        <v>45344</v>
      </c>
      <c r="C253" s="3">
        <v>83688</v>
      </c>
      <c r="D253" t="s">
        <v>28</v>
      </c>
    </row>
    <row r="254" spans="1:4" x14ac:dyDescent="0.35">
      <c r="A254">
        <v>25562</v>
      </c>
      <c r="B254" s="2">
        <v>45327</v>
      </c>
      <c r="C254" s="3">
        <v>83676</v>
      </c>
      <c r="D254" t="s">
        <v>27</v>
      </c>
    </row>
    <row r="255" spans="1:4" x14ac:dyDescent="0.35">
      <c r="A255">
        <v>77486</v>
      </c>
      <c r="B255" s="2">
        <v>45315</v>
      </c>
      <c r="C255" s="3">
        <v>83653</v>
      </c>
      <c r="D255" t="s">
        <v>26</v>
      </c>
    </row>
    <row r="256" spans="1:4" x14ac:dyDescent="0.35">
      <c r="A256">
        <v>86860</v>
      </c>
      <c r="B256" s="2">
        <v>45341</v>
      </c>
      <c r="C256" s="3">
        <v>83634</v>
      </c>
      <c r="D256" t="s">
        <v>26</v>
      </c>
    </row>
    <row r="257" spans="1:4" x14ac:dyDescent="0.35">
      <c r="A257">
        <v>46205</v>
      </c>
      <c r="B257" s="2">
        <v>45342</v>
      </c>
      <c r="C257" s="3">
        <v>83593</v>
      </c>
      <c r="D257" t="s">
        <v>26</v>
      </c>
    </row>
    <row r="258" spans="1:4" x14ac:dyDescent="0.35">
      <c r="A258">
        <v>40227</v>
      </c>
      <c r="B258" s="2">
        <v>45310</v>
      </c>
      <c r="C258" s="3">
        <v>83589</v>
      </c>
      <c r="D258" t="s">
        <v>26</v>
      </c>
    </row>
    <row r="259" spans="1:4" x14ac:dyDescent="0.35">
      <c r="A259">
        <v>64090</v>
      </c>
      <c r="B259" s="2">
        <v>45297</v>
      </c>
      <c r="C259" s="3">
        <v>83549</v>
      </c>
      <c r="D259" t="s">
        <v>28</v>
      </c>
    </row>
    <row r="260" spans="1:4" x14ac:dyDescent="0.35">
      <c r="A260">
        <v>37828</v>
      </c>
      <c r="B260" s="2">
        <v>45325</v>
      </c>
      <c r="C260" s="3">
        <v>83422</v>
      </c>
      <c r="D260" t="s">
        <v>27</v>
      </c>
    </row>
    <row r="261" spans="1:4" x14ac:dyDescent="0.35">
      <c r="A261">
        <v>79313</v>
      </c>
      <c r="B261" s="2">
        <v>45325</v>
      </c>
      <c r="C261" s="3">
        <v>83346</v>
      </c>
      <c r="D261" t="s">
        <v>28</v>
      </c>
    </row>
    <row r="262" spans="1:4" x14ac:dyDescent="0.35">
      <c r="A262">
        <v>75244</v>
      </c>
      <c r="B262" s="2">
        <v>45326</v>
      </c>
      <c r="C262" s="3">
        <v>83342</v>
      </c>
      <c r="D262" t="s">
        <v>26</v>
      </c>
    </row>
    <row r="263" spans="1:4" x14ac:dyDescent="0.35">
      <c r="A263">
        <v>96253</v>
      </c>
      <c r="B263" s="2">
        <v>45354</v>
      </c>
      <c r="C263" s="3">
        <v>83336</v>
      </c>
      <c r="D263" t="s">
        <v>28</v>
      </c>
    </row>
    <row r="264" spans="1:4" x14ac:dyDescent="0.35">
      <c r="A264">
        <v>78116</v>
      </c>
      <c r="B264" s="2">
        <v>45336</v>
      </c>
      <c r="C264" s="3">
        <v>83176</v>
      </c>
      <c r="D264" t="s">
        <v>26</v>
      </c>
    </row>
    <row r="265" spans="1:4" x14ac:dyDescent="0.35">
      <c r="A265">
        <v>15836</v>
      </c>
      <c r="B265" s="2">
        <v>45338</v>
      </c>
      <c r="C265" s="3">
        <v>83118</v>
      </c>
      <c r="D265" t="s">
        <v>26</v>
      </c>
    </row>
    <row r="266" spans="1:4" x14ac:dyDescent="0.35">
      <c r="A266">
        <v>68997</v>
      </c>
      <c r="B266" s="2">
        <v>45348</v>
      </c>
      <c r="C266" s="3">
        <v>82891</v>
      </c>
      <c r="D266" t="s">
        <v>26</v>
      </c>
    </row>
    <row r="267" spans="1:4" x14ac:dyDescent="0.35">
      <c r="A267">
        <v>61132</v>
      </c>
      <c r="B267" s="2">
        <v>45335</v>
      </c>
      <c r="C267" s="3">
        <v>82875</v>
      </c>
      <c r="D267" t="s">
        <v>28</v>
      </c>
    </row>
    <row r="268" spans="1:4" x14ac:dyDescent="0.35">
      <c r="A268">
        <v>79536</v>
      </c>
      <c r="B268" s="2">
        <v>45346</v>
      </c>
      <c r="C268" s="3">
        <v>82841</v>
      </c>
      <c r="D268" t="s">
        <v>28</v>
      </c>
    </row>
    <row r="269" spans="1:4" x14ac:dyDescent="0.35">
      <c r="A269">
        <v>33604</v>
      </c>
      <c r="B269" s="2">
        <v>45316</v>
      </c>
      <c r="C269" s="3">
        <v>82625</v>
      </c>
      <c r="D269" t="s">
        <v>28</v>
      </c>
    </row>
    <row r="270" spans="1:4" x14ac:dyDescent="0.35">
      <c r="A270">
        <v>59226</v>
      </c>
      <c r="B270" s="2">
        <v>45343</v>
      </c>
      <c r="C270" s="3">
        <v>82478</v>
      </c>
      <c r="D270" t="s">
        <v>26</v>
      </c>
    </row>
    <row r="271" spans="1:4" x14ac:dyDescent="0.35">
      <c r="A271">
        <v>71996</v>
      </c>
      <c r="B271" s="2">
        <v>45319</v>
      </c>
      <c r="C271" s="3">
        <v>82394</v>
      </c>
      <c r="D271" t="s">
        <v>26</v>
      </c>
    </row>
    <row r="272" spans="1:4" x14ac:dyDescent="0.35">
      <c r="A272">
        <v>90657</v>
      </c>
      <c r="B272" s="2">
        <v>45327</v>
      </c>
      <c r="C272" s="3">
        <v>82380</v>
      </c>
      <c r="D272" t="s">
        <v>26</v>
      </c>
    </row>
    <row r="273" spans="1:4" x14ac:dyDescent="0.35">
      <c r="A273">
        <v>98557</v>
      </c>
      <c r="B273" s="2">
        <v>45328</v>
      </c>
      <c r="C273" s="3">
        <v>82094</v>
      </c>
      <c r="D273" t="s">
        <v>27</v>
      </c>
    </row>
    <row r="274" spans="1:4" x14ac:dyDescent="0.35">
      <c r="A274">
        <v>52771</v>
      </c>
      <c r="B274" s="2">
        <v>45337</v>
      </c>
      <c r="C274" s="3">
        <v>82058</v>
      </c>
      <c r="D274" t="s">
        <v>28</v>
      </c>
    </row>
    <row r="275" spans="1:4" x14ac:dyDescent="0.35">
      <c r="A275">
        <v>32829</v>
      </c>
      <c r="B275" s="2">
        <v>45296</v>
      </c>
      <c r="C275" s="3">
        <v>81836</v>
      </c>
      <c r="D275" t="s">
        <v>27</v>
      </c>
    </row>
    <row r="276" spans="1:4" x14ac:dyDescent="0.35">
      <c r="A276">
        <v>70346</v>
      </c>
      <c r="B276" s="2">
        <v>45340</v>
      </c>
      <c r="C276" s="3">
        <v>81666</v>
      </c>
      <c r="D276" t="s">
        <v>28</v>
      </c>
    </row>
    <row r="277" spans="1:4" x14ac:dyDescent="0.35">
      <c r="A277">
        <v>27769</v>
      </c>
      <c r="B277" s="2">
        <v>45331</v>
      </c>
      <c r="C277" s="3">
        <v>81647</v>
      </c>
      <c r="D277" t="s">
        <v>28</v>
      </c>
    </row>
    <row r="278" spans="1:4" x14ac:dyDescent="0.35">
      <c r="A278">
        <v>44644</v>
      </c>
      <c r="B278" s="2">
        <v>45311</v>
      </c>
      <c r="C278" s="3">
        <v>81585</v>
      </c>
      <c r="D278" t="s">
        <v>26</v>
      </c>
    </row>
    <row r="279" spans="1:4" x14ac:dyDescent="0.35">
      <c r="A279">
        <v>43019</v>
      </c>
      <c r="B279" s="2">
        <v>45296</v>
      </c>
      <c r="C279" s="3">
        <v>81431</v>
      </c>
      <c r="D279" t="s">
        <v>27</v>
      </c>
    </row>
    <row r="280" spans="1:4" x14ac:dyDescent="0.35">
      <c r="A280">
        <v>52288</v>
      </c>
      <c r="B280" s="2">
        <v>45298</v>
      </c>
      <c r="C280" s="3">
        <v>81381</v>
      </c>
      <c r="D280" t="s">
        <v>28</v>
      </c>
    </row>
    <row r="281" spans="1:4" x14ac:dyDescent="0.35">
      <c r="A281">
        <v>80497</v>
      </c>
      <c r="B281" s="2">
        <v>45292</v>
      </c>
      <c r="C281" s="3">
        <v>81372</v>
      </c>
      <c r="D281" t="s">
        <v>27</v>
      </c>
    </row>
    <row r="282" spans="1:4" x14ac:dyDescent="0.35">
      <c r="A282">
        <v>99970</v>
      </c>
      <c r="B282" s="2">
        <v>45309</v>
      </c>
      <c r="C282" s="3">
        <v>81371</v>
      </c>
      <c r="D282" t="s">
        <v>28</v>
      </c>
    </row>
    <row r="283" spans="1:4" x14ac:dyDescent="0.35">
      <c r="A283">
        <v>18669</v>
      </c>
      <c r="B283" s="2">
        <v>45300</v>
      </c>
      <c r="C283" s="3">
        <v>81208</v>
      </c>
      <c r="D283" t="s">
        <v>26</v>
      </c>
    </row>
    <row r="284" spans="1:4" x14ac:dyDescent="0.35">
      <c r="A284">
        <v>83020</v>
      </c>
      <c r="B284" s="2">
        <v>45315</v>
      </c>
      <c r="C284" s="3">
        <v>81160</v>
      </c>
      <c r="D284" t="s">
        <v>28</v>
      </c>
    </row>
    <row r="285" spans="1:4" x14ac:dyDescent="0.35">
      <c r="A285">
        <v>10917</v>
      </c>
      <c r="B285" s="2">
        <v>45323</v>
      </c>
      <c r="C285" s="3">
        <v>81017</v>
      </c>
      <c r="D285" t="s">
        <v>26</v>
      </c>
    </row>
    <row r="286" spans="1:4" x14ac:dyDescent="0.35">
      <c r="A286">
        <v>49246</v>
      </c>
      <c r="B286" s="2">
        <v>45300</v>
      </c>
      <c r="C286" s="3">
        <v>80917</v>
      </c>
      <c r="D286" t="s">
        <v>26</v>
      </c>
    </row>
    <row r="287" spans="1:4" x14ac:dyDescent="0.35">
      <c r="A287">
        <v>77444</v>
      </c>
      <c r="B287" s="2">
        <v>45321</v>
      </c>
      <c r="C287" s="3">
        <v>80776</v>
      </c>
      <c r="D287" t="s">
        <v>28</v>
      </c>
    </row>
    <row r="288" spans="1:4" x14ac:dyDescent="0.35">
      <c r="A288">
        <v>90777</v>
      </c>
      <c r="B288" s="2">
        <v>45326</v>
      </c>
      <c r="C288" s="3">
        <v>80616</v>
      </c>
      <c r="D288" t="s">
        <v>26</v>
      </c>
    </row>
    <row r="289" spans="1:4" x14ac:dyDescent="0.35">
      <c r="A289">
        <v>91857</v>
      </c>
      <c r="B289" s="2">
        <v>45315</v>
      </c>
      <c r="C289" s="3">
        <v>80579</v>
      </c>
      <c r="D289" t="s">
        <v>27</v>
      </c>
    </row>
    <row r="290" spans="1:4" x14ac:dyDescent="0.35">
      <c r="A290">
        <v>35267</v>
      </c>
      <c r="B290" s="2">
        <v>45323</v>
      </c>
      <c r="C290" s="3">
        <v>80471</v>
      </c>
      <c r="D290" t="s">
        <v>28</v>
      </c>
    </row>
    <row r="291" spans="1:4" x14ac:dyDescent="0.35">
      <c r="A291">
        <v>68684</v>
      </c>
      <c r="B291" s="2">
        <v>45349</v>
      </c>
      <c r="C291" s="3">
        <v>80403</v>
      </c>
      <c r="D291" t="s">
        <v>26</v>
      </c>
    </row>
    <row r="292" spans="1:4" x14ac:dyDescent="0.35">
      <c r="A292">
        <v>75295</v>
      </c>
      <c r="B292" s="2">
        <v>45340</v>
      </c>
      <c r="C292" s="3">
        <v>80370</v>
      </c>
      <c r="D292" t="s">
        <v>28</v>
      </c>
    </row>
    <row r="293" spans="1:4" x14ac:dyDescent="0.35">
      <c r="A293">
        <v>42824</v>
      </c>
      <c r="B293" s="2">
        <v>45307</v>
      </c>
      <c r="C293" s="3">
        <v>80324</v>
      </c>
      <c r="D293" t="s">
        <v>26</v>
      </c>
    </row>
    <row r="294" spans="1:4" x14ac:dyDescent="0.35">
      <c r="A294">
        <v>86553</v>
      </c>
      <c r="B294" s="2">
        <v>45352</v>
      </c>
      <c r="C294" s="3">
        <v>80266</v>
      </c>
      <c r="D294" t="s">
        <v>27</v>
      </c>
    </row>
    <row r="295" spans="1:4" x14ac:dyDescent="0.35">
      <c r="A295">
        <v>45226</v>
      </c>
      <c r="B295" s="2">
        <v>45318</v>
      </c>
      <c r="C295" s="3">
        <v>80188</v>
      </c>
      <c r="D295" t="s">
        <v>28</v>
      </c>
    </row>
    <row r="296" spans="1:4" x14ac:dyDescent="0.35">
      <c r="A296">
        <v>40958</v>
      </c>
      <c r="B296" s="2">
        <v>45305</v>
      </c>
      <c r="C296" s="3">
        <v>80162</v>
      </c>
      <c r="D296" t="s">
        <v>26</v>
      </c>
    </row>
    <row r="297" spans="1:4" x14ac:dyDescent="0.35">
      <c r="A297">
        <v>24095</v>
      </c>
      <c r="B297" s="2">
        <v>45334</v>
      </c>
      <c r="C297" s="3">
        <v>80159</v>
      </c>
      <c r="D297" t="s">
        <v>27</v>
      </c>
    </row>
    <row r="298" spans="1:4" x14ac:dyDescent="0.35">
      <c r="A298">
        <v>56107</v>
      </c>
      <c r="B298" s="2">
        <v>45353</v>
      </c>
      <c r="C298" s="3">
        <v>80157</v>
      </c>
      <c r="D298" t="s">
        <v>26</v>
      </c>
    </row>
    <row r="299" spans="1:4" x14ac:dyDescent="0.35">
      <c r="A299">
        <v>36267</v>
      </c>
      <c r="B299" s="2">
        <v>45321</v>
      </c>
      <c r="C299" s="3">
        <v>80083</v>
      </c>
      <c r="D299" t="s">
        <v>26</v>
      </c>
    </row>
    <row r="300" spans="1:4" x14ac:dyDescent="0.35">
      <c r="A300">
        <v>93218</v>
      </c>
      <c r="B300" s="2">
        <v>45325</v>
      </c>
      <c r="C300" s="3">
        <v>79988</v>
      </c>
      <c r="D300" t="s">
        <v>27</v>
      </c>
    </row>
    <row r="301" spans="1:4" x14ac:dyDescent="0.35">
      <c r="A301">
        <v>62548</v>
      </c>
      <c r="B301" s="2">
        <v>45304</v>
      </c>
      <c r="C301" s="3">
        <v>79983</v>
      </c>
      <c r="D301" t="s">
        <v>26</v>
      </c>
    </row>
    <row r="302" spans="1:4" x14ac:dyDescent="0.35">
      <c r="A302">
        <v>65696</v>
      </c>
      <c r="B302" s="2">
        <v>45351</v>
      </c>
      <c r="C302" s="3">
        <v>79959</v>
      </c>
      <c r="D302" t="s">
        <v>27</v>
      </c>
    </row>
    <row r="303" spans="1:4" x14ac:dyDescent="0.35">
      <c r="A303">
        <v>56060</v>
      </c>
      <c r="B303" s="2">
        <v>45312</v>
      </c>
      <c r="C303" s="3">
        <v>79919</v>
      </c>
      <c r="D303" t="s">
        <v>27</v>
      </c>
    </row>
    <row r="304" spans="1:4" x14ac:dyDescent="0.35">
      <c r="A304">
        <v>74865</v>
      </c>
      <c r="B304" s="2">
        <v>45312</v>
      </c>
      <c r="C304" s="3">
        <v>79901</v>
      </c>
      <c r="D304" t="s">
        <v>28</v>
      </c>
    </row>
    <row r="305" spans="1:4" x14ac:dyDescent="0.35">
      <c r="A305">
        <v>99981</v>
      </c>
      <c r="B305" s="2">
        <v>45304</v>
      </c>
      <c r="C305" s="3">
        <v>79876</v>
      </c>
      <c r="D305" t="s">
        <v>28</v>
      </c>
    </row>
    <row r="306" spans="1:4" x14ac:dyDescent="0.35">
      <c r="A306">
        <v>34142</v>
      </c>
      <c r="B306" s="2">
        <v>45346</v>
      </c>
      <c r="C306" s="3">
        <v>79846</v>
      </c>
      <c r="D306" t="s">
        <v>27</v>
      </c>
    </row>
    <row r="307" spans="1:4" x14ac:dyDescent="0.35">
      <c r="A307">
        <v>79179</v>
      </c>
      <c r="B307" s="2">
        <v>45306</v>
      </c>
      <c r="C307" s="3">
        <v>79833</v>
      </c>
      <c r="D307" t="s">
        <v>26</v>
      </c>
    </row>
    <row r="308" spans="1:4" x14ac:dyDescent="0.35">
      <c r="A308">
        <v>63693</v>
      </c>
      <c r="B308" s="2">
        <v>45349</v>
      </c>
      <c r="C308" s="3">
        <v>79796</v>
      </c>
      <c r="D308" t="s">
        <v>26</v>
      </c>
    </row>
    <row r="309" spans="1:4" x14ac:dyDescent="0.35">
      <c r="A309">
        <v>35871</v>
      </c>
      <c r="B309" s="2">
        <v>45308</v>
      </c>
      <c r="C309" s="3">
        <v>79547</v>
      </c>
      <c r="D309" t="s">
        <v>27</v>
      </c>
    </row>
    <row r="310" spans="1:4" x14ac:dyDescent="0.35">
      <c r="A310">
        <v>67772</v>
      </c>
      <c r="B310" s="2">
        <v>45334</v>
      </c>
      <c r="C310" s="3">
        <v>79497</v>
      </c>
      <c r="D310" t="s">
        <v>26</v>
      </c>
    </row>
    <row r="311" spans="1:4" x14ac:dyDescent="0.35">
      <c r="A311">
        <v>51994</v>
      </c>
      <c r="B311" s="2">
        <v>45343</v>
      </c>
      <c r="C311" s="3">
        <v>79153</v>
      </c>
      <c r="D311" t="s">
        <v>26</v>
      </c>
    </row>
    <row r="312" spans="1:4" x14ac:dyDescent="0.35">
      <c r="A312">
        <v>66172</v>
      </c>
      <c r="B312" s="2">
        <v>45345</v>
      </c>
      <c r="C312" s="3">
        <v>79080</v>
      </c>
      <c r="D312" t="s">
        <v>28</v>
      </c>
    </row>
    <row r="313" spans="1:4" x14ac:dyDescent="0.35">
      <c r="A313">
        <v>75125</v>
      </c>
      <c r="B313" s="2">
        <v>45297</v>
      </c>
      <c r="C313" s="3">
        <v>79024</v>
      </c>
      <c r="D313" t="s">
        <v>28</v>
      </c>
    </row>
    <row r="314" spans="1:4" x14ac:dyDescent="0.35">
      <c r="A314">
        <v>76023</v>
      </c>
      <c r="B314" s="2">
        <v>45320</v>
      </c>
      <c r="C314" s="3">
        <v>78920</v>
      </c>
      <c r="D314" t="s">
        <v>28</v>
      </c>
    </row>
    <row r="315" spans="1:4" x14ac:dyDescent="0.35">
      <c r="A315">
        <v>69305</v>
      </c>
      <c r="B315" s="2">
        <v>45335</v>
      </c>
      <c r="C315" s="3">
        <v>78738</v>
      </c>
      <c r="D315" t="s">
        <v>26</v>
      </c>
    </row>
    <row r="316" spans="1:4" x14ac:dyDescent="0.35">
      <c r="A316">
        <v>97590</v>
      </c>
      <c r="B316" s="2">
        <v>45338</v>
      </c>
      <c r="C316" s="3">
        <v>78705</v>
      </c>
      <c r="D316" t="s">
        <v>27</v>
      </c>
    </row>
    <row r="317" spans="1:4" x14ac:dyDescent="0.35">
      <c r="A317">
        <v>16433</v>
      </c>
      <c r="B317" s="2">
        <v>45325</v>
      </c>
      <c r="C317" s="3">
        <v>78646</v>
      </c>
      <c r="D317" t="s">
        <v>27</v>
      </c>
    </row>
    <row r="318" spans="1:4" x14ac:dyDescent="0.35">
      <c r="A318">
        <v>53388</v>
      </c>
      <c r="B318" s="2">
        <v>45296</v>
      </c>
      <c r="C318" s="3">
        <v>78627</v>
      </c>
      <c r="D318" t="s">
        <v>28</v>
      </c>
    </row>
    <row r="319" spans="1:4" x14ac:dyDescent="0.35">
      <c r="A319">
        <v>85486</v>
      </c>
      <c r="B319" s="2">
        <v>45328</v>
      </c>
      <c r="C319" s="3">
        <v>78602</v>
      </c>
      <c r="D319" t="s">
        <v>27</v>
      </c>
    </row>
    <row r="320" spans="1:4" x14ac:dyDescent="0.35">
      <c r="A320">
        <v>72926</v>
      </c>
      <c r="B320" s="2">
        <v>45293</v>
      </c>
      <c r="C320" s="3">
        <v>78534</v>
      </c>
      <c r="D320" t="s">
        <v>28</v>
      </c>
    </row>
    <row r="321" spans="1:4" x14ac:dyDescent="0.35">
      <c r="A321">
        <v>82453</v>
      </c>
      <c r="B321" s="2">
        <v>45314</v>
      </c>
      <c r="C321" s="3">
        <v>78519</v>
      </c>
      <c r="D321" t="s">
        <v>27</v>
      </c>
    </row>
    <row r="322" spans="1:4" x14ac:dyDescent="0.35">
      <c r="A322">
        <v>59787</v>
      </c>
      <c r="B322" s="2">
        <v>45326</v>
      </c>
      <c r="C322" s="3">
        <v>78506</v>
      </c>
      <c r="D322" t="s">
        <v>27</v>
      </c>
    </row>
    <row r="323" spans="1:4" x14ac:dyDescent="0.35">
      <c r="A323">
        <v>20568</v>
      </c>
      <c r="B323" s="2">
        <v>45325</v>
      </c>
      <c r="C323" s="3">
        <v>78476</v>
      </c>
      <c r="D323" t="s">
        <v>28</v>
      </c>
    </row>
    <row r="324" spans="1:4" x14ac:dyDescent="0.35">
      <c r="A324">
        <v>94336</v>
      </c>
      <c r="B324" s="2">
        <v>45323</v>
      </c>
      <c r="C324" s="3">
        <v>78408</v>
      </c>
      <c r="D324" t="s">
        <v>27</v>
      </c>
    </row>
    <row r="325" spans="1:4" x14ac:dyDescent="0.35">
      <c r="A325">
        <v>34882</v>
      </c>
      <c r="B325" s="2">
        <v>45329</v>
      </c>
      <c r="C325" s="3">
        <v>78367</v>
      </c>
      <c r="D325" t="s">
        <v>26</v>
      </c>
    </row>
    <row r="326" spans="1:4" x14ac:dyDescent="0.35">
      <c r="A326">
        <v>79600</v>
      </c>
      <c r="B326" s="2">
        <v>45335</v>
      </c>
      <c r="C326" s="3">
        <v>78274</v>
      </c>
      <c r="D326" t="s">
        <v>26</v>
      </c>
    </row>
    <row r="327" spans="1:4" x14ac:dyDescent="0.35">
      <c r="A327">
        <v>72476</v>
      </c>
      <c r="B327" s="2">
        <v>45308</v>
      </c>
      <c r="C327" s="3">
        <v>78262</v>
      </c>
      <c r="D327" t="s">
        <v>27</v>
      </c>
    </row>
    <row r="328" spans="1:4" x14ac:dyDescent="0.35">
      <c r="A328">
        <v>35361</v>
      </c>
      <c r="B328" s="2">
        <v>45300</v>
      </c>
      <c r="C328" s="3">
        <v>78196</v>
      </c>
      <c r="D328" t="s">
        <v>27</v>
      </c>
    </row>
    <row r="329" spans="1:4" x14ac:dyDescent="0.35">
      <c r="A329">
        <v>14290</v>
      </c>
      <c r="B329" s="2">
        <v>45313</v>
      </c>
      <c r="C329" s="3">
        <v>77943</v>
      </c>
      <c r="D329" t="s">
        <v>27</v>
      </c>
    </row>
    <row r="330" spans="1:4" x14ac:dyDescent="0.35">
      <c r="A330">
        <v>65068</v>
      </c>
      <c r="B330" s="2">
        <v>45319</v>
      </c>
      <c r="C330" s="3">
        <v>77894</v>
      </c>
      <c r="D330" t="s">
        <v>27</v>
      </c>
    </row>
    <row r="331" spans="1:4" x14ac:dyDescent="0.35">
      <c r="A331">
        <v>79020</v>
      </c>
      <c r="B331" s="2">
        <v>45353</v>
      </c>
      <c r="C331" s="3">
        <v>77869</v>
      </c>
      <c r="D331" t="s">
        <v>26</v>
      </c>
    </row>
    <row r="332" spans="1:4" x14ac:dyDescent="0.35">
      <c r="A332">
        <v>60313</v>
      </c>
      <c r="B332" s="2">
        <v>45310</v>
      </c>
      <c r="C332" s="3">
        <v>77833</v>
      </c>
      <c r="D332" t="s">
        <v>27</v>
      </c>
    </row>
    <row r="333" spans="1:4" x14ac:dyDescent="0.35">
      <c r="A333">
        <v>40312</v>
      </c>
      <c r="B333" s="2">
        <v>45351</v>
      </c>
      <c r="C333" s="3">
        <v>77814</v>
      </c>
      <c r="D333" t="s">
        <v>28</v>
      </c>
    </row>
    <row r="334" spans="1:4" x14ac:dyDescent="0.35">
      <c r="A334">
        <v>63642</v>
      </c>
      <c r="B334" s="2">
        <v>45334</v>
      </c>
      <c r="C334" s="3">
        <v>77781</v>
      </c>
      <c r="D334" t="s">
        <v>27</v>
      </c>
    </row>
    <row r="335" spans="1:4" x14ac:dyDescent="0.35">
      <c r="A335">
        <v>39641</v>
      </c>
      <c r="B335" s="2">
        <v>45293</v>
      </c>
      <c r="C335" s="3">
        <v>77734</v>
      </c>
      <c r="D335" t="s">
        <v>26</v>
      </c>
    </row>
    <row r="336" spans="1:4" x14ac:dyDescent="0.35">
      <c r="A336">
        <v>78315</v>
      </c>
      <c r="B336" s="2">
        <v>45319</v>
      </c>
      <c r="C336" s="3">
        <v>77731</v>
      </c>
      <c r="D336" t="s">
        <v>26</v>
      </c>
    </row>
    <row r="337" spans="1:4" x14ac:dyDescent="0.35">
      <c r="A337">
        <v>97522</v>
      </c>
      <c r="B337" s="2">
        <v>45338</v>
      </c>
      <c r="C337" s="3">
        <v>77698</v>
      </c>
      <c r="D337" t="s">
        <v>28</v>
      </c>
    </row>
    <row r="338" spans="1:4" x14ac:dyDescent="0.35">
      <c r="A338">
        <v>74711</v>
      </c>
      <c r="B338" s="2">
        <v>45324</v>
      </c>
      <c r="C338" s="3">
        <v>77651</v>
      </c>
      <c r="D338" t="s">
        <v>26</v>
      </c>
    </row>
    <row r="339" spans="1:4" x14ac:dyDescent="0.35">
      <c r="A339">
        <v>48485</v>
      </c>
      <c r="B339" s="2">
        <v>45303</v>
      </c>
      <c r="C339" s="3">
        <v>77619</v>
      </c>
      <c r="D339" t="s">
        <v>28</v>
      </c>
    </row>
    <row r="340" spans="1:4" x14ac:dyDescent="0.35">
      <c r="A340">
        <v>92616</v>
      </c>
      <c r="B340" s="2">
        <v>45310</v>
      </c>
      <c r="C340" s="3">
        <v>77605</v>
      </c>
      <c r="D340" t="s">
        <v>27</v>
      </c>
    </row>
    <row r="341" spans="1:4" x14ac:dyDescent="0.35">
      <c r="A341">
        <v>24028</v>
      </c>
      <c r="B341" s="2">
        <v>45344</v>
      </c>
      <c r="C341" s="3">
        <v>77585</v>
      </c>
      <c r="D341" t="s">
        <v>27</v>
      </c>
    </row>
    <row r="342" spans="1:4" x14ac:dyDescent="0.35">
      <c r="A342">
        <v>12459</v>
      </c>
      <c r="B342" s="2">
        <v>45294</v>
      </c>
      <c r="C342" s="3">
        <v>77532</v>
      </c>
      <c r="D342" t="s">
        <v>27</v>
      </c>
    </row>
    <row r="343" spans="1:4" x14ac:dyDescent="0.35">
      <c r="A343">
        <v>17813</v>
      </c>
      <c r="B343" s="2">
        <v>45292</v>
      </c>
      <c r="C343" s="3">
        <v>77507</v>
      </c>
      <c r="D343" t="s">
        <v>28</v>
      </c>
    </row>
    <row r="344" spans="1:4" x14ac:dyDescent="0.35">
      <c r="A344">
        <v>91288</v>
      </c>
      <c r="B344" s="2">
        <v>45351</v>
      </c>
      <c r="C344" s="3">
        <v>77490</v>
      </c>
      <c r="D344" t="s">
        <v>26</v>
      </c>
    </row>
    <row r="345" spans="1:4" x14ac:dyDescent="0.35">
      <c r="A345">
        <v>38855</v>
      </c>
      <c r="B345" s="2">
        <v>45329</v>
      </c>
      <c r="C345" s="3">
        <v>77480</v>
      </c>
      <c r="D345" t="s">
        <v>26</v>
      </c>
    </row>
    <row r="346" spans="1:4" x14ac:dyDescent="0.35">
      <c r="A346">
        <v>76000</v>
      </c>
      <c r="B346" s="2">
        <v>45299</v>
      </c>
      <c r="C346" s="3">
        <v>77477</v>
      </c>
      <c r="D346" t="s">
        <v>28</v>
      </c>
    </row>
    <row r="347" spans="1:4" x14ac:dyDescent="0.35">
      <c r="A347">
        <v>53020</v>
      </c>
      <c r="B347" s="2">
        <v>45324</v>
      </c>
      <c r="C347" s="3">
        <v>77446</v>
      </c>
      <c r="D347" t="s">
        <v>27</v>
      </c>
    </row>
    <row r="348" spans="1:4" x14ac:dyDescent="0.35">
      <c r="A348">
        <v>69052</v>
      </c>
      <c r="B348" s="2">
        <v>45293</v>
      </c>
      <c r="C348" s="3">
        <v>77346</v>
      </c>
      <c r="D348" t="s">
        <v>26</v>
      </c>
    </row>
    <row r="349" spans="1:4" x14ac:dyDescent="0.35">
      <c r="A349">
        <v>61289</v>
      </c>
      <c r="B349" s="2">
        <v>45299</v>
      </c>
      <c r="C349" s="3">
        <v>77276</v>
      </c>
      <c r="D349" t="s">
        <v>28</v>
      </c>
    </row>
    <row r="350" spans="1:4" x14ac:dyDescent="0.35">
      <c r="A350">
        <v>90088</v>
      </c>
      <c r="B350" s="2">
        <v>45313</v>
      </c>
      <c r="C350" s="3">
        <v>77224</v>
      </c>
      <c r="D350" t="s">
        <v>27</v>
      </c>
    </row>
    <row r="351" spans="1:4" x14ac:dyDescent="0.35">
      <c r="A351">
        <v>81336</v>
      </c>
      <c r="B351" s="2">
        <v>45304</v>
      </c>
      <c r="C351" s="3">
        <v>77176</v>
      </c>
      <c r="D351" t="s">
        <v>27</v>
      </c>
    </row>
    <row r="352" spans="1:4" x14ac:dyDescent="0.35">
      <c r="A352">
        <v>27131</v>
      </c>
      <c r="B352" s="2">
        <v>45299</v>
      </c>
      <c r="C352" s="3">
        <v>77033</v>
      </c>
      <c r="D352" t="s">
        <v>27</v>
      </c>
    </row>
    <row r="353" spans="1:4" x14ac:dyDescent="0.35">
      <c r="A353">
        <v>95011</v>
      </c>
      <c r="B353" s="2">
        <v>45294</v>
      </c>
      <c r="C353" s="3">
        <v>76937</v>
      </c>
      <c r="D353" t="s">
        <v>28</v>
      </c>
    </row>
    <row r="354" spans="1:4" x14ac:dyDescent="0.35">
      <c r="A354">
        <v>52968</v>
      </c>
      <c r="B354" s="2">
        <v>45331</v>
      </c>
      <c r="C354" s="3">
        <v>76861</v>
      </c>
      <c r="D354" t="s">
        <v>28</v>
      </c>
    </row>
    <row r="355" spans="1:4" x14ac:dyDescent="0.35">
      <c r="A355">
        <v>87859</v>
      </c>
      <c r="B355" s="2">
        <v>45294</v>
      </c>
      <c r="C355" s="3">
        <v>76834</v>
      </c>
      <c r="D355" t="s">
        <v>27</v>
      </c>
    </row>
    <row r="356" spans="1:4" x14ac:dyDescent="0.35">
      <c r="A356">
        <v>22590</v>
      </c>
      <c r="B356" s="2">
        <v>45308</v>
      </c>
      <c r="C356" s="3">
        <v>76814</v>
      </c>
      <c r="D356" t="s">
        <v>27</v>
      </c>
    </row>
    <row r="357" spans="1:4" x14ac:dyDescent="0.35">
      <c r="A357">
        <v>65943</v>
      </c>
      <c r="B357" s="2">
        <v>45320</v>
      </c>
      <c r="C357" s="3">
        <v>76617</v>
      </c>
      <c r="D357" t="s">
        <v>26</v>
      </c>
    </row>
    <row r="358" spans="1:4" x14ac:dyDescent="0.35">
      <c r="A358">
        <v>38721</v>
      </c>
      <c r="B358" s="2">
        <v>45323</v>
      </c>
      <c r="C358" s="3">
        <v>76578</v>
      </c>
      <c r="D358" t="s">
        <v>26</v>
      </c>
    </row>
    <row r="359" spans="1:4" x14ac:dyDescent="0.35">
      <c r="A359">
        <v>94169</v>
      </c>
      <c r="B359" s="2">
        <v>45318</v>
      </c>
      <c r="C359" s="3">
        <v>76522</v>
      </c>
      <c r="D359" t="s">
        <v>26</v>
      </c>
    </row>
    <row r="360" spans="1:4" x14ac:dyDescent="0.35">
      <c r="A360">
        <v>77043</v>
      </c>
      <c r="B360" s="2">
        <v>45346</v>
      </c>
      <c r="C360" s="3">
        <v>76510</v>
      </c>
      <c r="D360" t="s">
        <v>26</v>
      </c>
    </row>
    <row r="361" spans="1:4" x14ac:dyDescent="0.35">
      <c r="A361">
        <v>99770</v>
      </c>
      <c r="B361" s="2">
        <v>45323</v>
      </c>
      <c r="C361" s="3">
        <v>76383</v>
      </c>
      <c r="D361" t="s">
        <v>27</v>
      </c>
    </row>
    <row r="362" spans="1:4" x14ac:dyDescent="0.35">
      <c r="A362">
        <v>21293</v>
      </c>
      <c r="B362" s="2">
        <v>45312</v>
      </c>
      <c r="C362" s="3">
        <v>76297</v>
      </c>
      <c r="D362" t="s">
        <v>26</v>
      </c>
    </row>
    <row r="363" spans="1:4" x14ac:dyDescent="0.35">
      <c r="A363">
        <v>40072</v>
      </c>
      <c r="B363" s="2">
        <v>45309</v>
      </c>
      <c r="C363" s="3">
        <v>76295</v>
      </c>
      <c r="D363" t="s">
        <v>27</v>
      </c>
    </row>
    <row r="364" spans="1:4" x14ac:dyDescent="0.35">
      <c r="A364">
        <v>39185</v>
      </c>
      <c r="B364" s="2">
        <v>45338</v>
      </c>
      <c r="C364" s="3">
        <v>75939</v>
      </c>
      <c r="D364" t="s">
        <v>27</v>
      </c>
    </row>
    <row r="365" spans="1:4" x14ac:dyDescent="0.35">
      <c r="A365">
        <v>46076</v>
      </c>
      <c r="B365" s="2">
        <v>45315</v>
      </c>
      <c r="C365" s="3">
        <v>75894</v>
      </c>
      <c r="D365" t="s">
        <v>26</v>
      </c>
    </row>
    <row r="366" spans="1:4" x14ac:dyDescent="0.35">
      <c r="A366">
        <v>52028</v>
      </c>
      <c r="B366" s="2">
        <v>45310</v>
      </c>
      <c r="C366" s="3">
        <v>75854</v>
      </c>
      <c r="D366" t="s">
        <v>27</v>
      </c>
    </row>
    <row r="367" spans="1:4" x14ac:dyDescent="0.35">
      <c r="A367">
        <v>56359</v>
      </c>
      <c r="B367" s="2">
        <v>45328</v>
      </c>
      <c r="C367" s="3">
        <v>75802</v>
      </c>
      <c r="D367" t="s">
        <v>27</v>
      </c>
    </row>
    <row r="368" spans="1:4" x14ac:dyDescent="0.35">
      <c r="A368">
        <v>80422</v>
      </c>
      <c r="B368" s="2">
        <v>45319</v>
      </c>
      <c r="C368" s="3">
        <v>75725</v>
      </c>
      <c r="D368" t="s">
        <v>27</v>
      </c>
    </row>
    <row r="369" spans="1:4" x14ac:dyDescent="0.35">
      <c r="A369">
        <v>97082</v>
      </c>
      <c r="B369" s="2">
        <v>45349</v>
      </c>
      <c r="C369" s="3">
        <v>75652</v>
      </c>
      <c r="D369" t="s">
        <v>27</v>
      </c>
    </row>
    <row r="370" spans="1:4" x14ac:dyDescent="0.35">
      <c r="A370">
        <v>13713</v>
      </c>
      <c r="B370" s="2">
        <v>45293</v>
      </c>
      <c r="C370" s="3">
        <v>75640</v>
      </c>
      <c r="D370" t="s">
        <v>27</v>
      </c>
    </row>
    <row r="371" spans="1:4" x14ac:dyDescent="0.35">
      <c r="A371">
        <v>81685</v>
      </c>
      <c r="B371" s="2">
        <v>45316</v>
      </c>
      <c r="C371" s="3">
        <v>75386</v>
      </c>
      <c r="D371" t="s">
        <v>27</v>
      </c>
    </row>
    <row r="372" spans="1:4" x14ac:dyDescent="0.35">
      <c r="A372">
        <v>39736</v>
      </c>
      <c r="B372" s="2">
        <v>45325</v>
      </c>
      <c r="C372" s="3">
        <v>75381</v>
      </c>
      <c r="D372" t="s">
        <v>28</v>
      </c>
    </row>
    <row r="373" spans="1:4" x14ac:dyDescent="0.35">
      <c r="A373">
        <v>32490</v>
      </c>
      <c r="B373" s="2">
        <v>45322</v>
      </c>
      <c r="C373" s="3">
        <v>75359</v>
      </c>
      <c r="D373" t="s">
        <v>26</v>
      </c>
    </row>
    <row r="374" spans="1:4" x14ac:dyDescent="0.35">
      <c r="A374">
        <v>68652</v>
      </c>
      <c r="B374" s="2">
        <v>45306</v>
      </c>
      <c r="C374" s="3">
        <v>75356</v>
      </c>
      <c r="D374" t="s">
        <v>26</v>
      </c>
    </row>
    <row r="375" spans="1:4" x14ac:dyDescent="0.35">
      <c r="A375">
        <v>51600</v>
      </c>
      <c r="B375" s="2">
        <v>45317</v>
      </c>
      <c r="C375" s="3">
        <v>75315</v>
      </c>
      <c r="D375" t="s">
        <v>27</v>
      </c>
    </row>
    <row r="376" spans="1:4" x14ac:dyDescent="0.35">
      <c r="A376">
        <v>64021</v>
      </c>
      <c r="B376" s="2">
        <v>45316</v>
      </c>
      <c r="C376" s="3">
        <v>75222</v>
      </c>
      <c r="D376" t="s">
        <v>28</v>
      </c>
    </row>
    <row r="377" spans="1:4" x14ac:dyDescent="0.35">
      <c r="A377">
        <v>98073</v>
      </c>
      <c r="B377" s="2">
        <v>45331</v>
      </c>
      <c r="C377" s="3">
        <v>75194</v>
      </c>
      <c r="D377" t="s">
        <v>28</v>
      </c>
    </row>
    <row r="378" spans="1:4" x14ac:dyDescent="0.35">
      <c r="A378">
        <v>67007</v>
      </c>
      <c r="B378" s="2">
        <v>45343</v>
      </c>
      <c r="C378" s="3">
        <v>75128</v>
      </c>
      <c r="D378" t="s">
        <v>26</v>
      </c>
    </row>
    <row r="379" spans="1:4" x14ac:dyDescent="0.35">
      <c r="A379">
        <v>27364</v>
      </c>
      <c r="B379" s="2">
        <v>45319</v>
      </c>
      <c r="C379" s="3">
        <v>74942</v>
      </c>
      <c r="D379" t="s">
        <v>26</v>
      </c>
    </row>
    <row r="380" spans="1:4" x14ac:dyDescent="0.35">
      <c r="A380">
        <v>29438</v>
      </c>
      <c r="B380" s="2">
        <v>45302</v>
      </c>
      <c r="C380" s="3">
        <v>74896</v>
      </c>
      <c r="D380" t="s">
        <v>26</v>
      </c>
    </row>
    <row r="381" spans="1:4" x14ac:dyDescent="0.35">
      <c r="A381">
        <v>74426</v>
      </c>
      <c r="B381" s="2">
        <v>45336</v>
      </c>
      <c r="C381" s="3">
        <v>74891</v>
      </c>
      <c r="D381" t="s">
        <v>28</v>
      </c>
    </row>
    <row r="382" spans="1:4" x14ac:dyDescent="0.35">
      <c r="A382">
        <v>83614</v>
      </c>
      <c r="B382" s="2">
        <v>45348</v>
      </c>
      <c r="C382" s="3">
        <v>74871</v>
      </c>
      <c r="D382" t="s">
        <v>27</v>
      </c>
    </row>
    <row r="383" spans="1:4" x14ac:dyDescent="0.35">
      <c r="A383">
        <v>83050</v>
      </c>
      <c r="B383" s="2">
        <v>45300</v>
      </c>
      <c r="C383" s="3">
        <v>74836</v>
      </c>
      <c r="D383" t="s">
        <v>26</v>
      </c>
    </row>
    <row r="384" spans="1:4" x14ac:dyDescent="0.35">
      <c r="A384">
        <v>30685</v>
      </c>
      <c r="B384" s="2">
        <v>45338</v>
      </c>
      <c r="C384" s="3">
        <v>74682</v>
      </c>
      <c r="D384" t="s">
        <v>28</v>
      </c>
    </row>
    <row r="385" spans="1:4" x14ac:dyDescent="0.35">
      <c r="A385">
        <v>41272</v>
      </c>
      <c r="B385" s="2">
        <v>45304</v>
      </c>
      <c r="C385" s="3">
        <v>74670</v>
      </c>
      <c r="D385" t="s">
        <v>27</v>
      </c>
    </row>
    <row r="386" spans="1:4" x14ac:dyDescent="0.35">
      <c r="A386">
        <v>64389</v>
      </c>
      <c r="B386" s="2">
        <v>45320</v>
      </c>
      <c r="C386" s="3">
        <v>74638</v>
      </c>
      <c r="D386" t="s">
        <v>26</v>
      </c>
    </row>
    <row r="387" spans="1:4" x14ac:dyDescent="0.35">
      <c r="A387">
        <v>58514</v>
      </c>
      <c r="B387" s="2">
        <v>45312</v>
      </c>
      <c r="C387" s="3">
        <v>74631</v>
      </c>
      <c r="D387" t="s">
        <v>27</v>
      </c>
    </row>
    <row r="388" spans="1:4" x14ac:dyDescent="0.35">
      <c r="A388">
        <v>68574</v>
      </c>
      <c r="B388" s="2">
        <v>45344</v>
      </c>
      <c r="C388" s="3">
        <v>74535</v>
      </c>
      <c r="D388" t="s">
        <v>27</v>
      </c>
    </row>
    <row r="389" spans="1:4" x14ac:dyDescent="0.35">
      <c r="A389">
        <v>66700</v>
      </c>
      <c r="B389" s="2">
        <v>45347</v>
      </c>
      <c r="C389" s="3">
        <v>74449</v>
      </c>
      <c r="D389" t="s">
        <v>28</v>
      </c>
    </row>
    <row r="390" spans="1:4" x14ac:dyDescent="0.35">
      <c r="A390">
        <v>53178</v>
      </c>
      <c r="B390" s="2">
        <v>45326</v>
      </c>
      <c r="C390" s="3">
        <v>74201</v>
      </c>
      <c r="D390" t="s">
        <v>27</v>
      </c>
    </row>
    <row r="391" spans="1:4" x14ac:dyDescent="0.35">
      <c r="A391">
        <v>55991</v>
      </c>
      <c r="B391" s="2">
        <v>45328</v>
      </c>
      <c r="C391" s="3">
        <v>74180</v>
      </c>
      <c r="D391" t="s">
        <v>28</v>
      </c>
    </row>
    <row r="392" spans="1:4" x14ac:dyDescent="0.35">
      <c r="A392">
        <v>86662</v>
      </c>
      <c r="B392" s="2">
        <v>45332</v>
      </c>
      <c r="C392" s="3">
        <v>74168</v>
      </c>
      <c r="D392" t="s">
        <v>26</v>
      </c>
    </row>
    <row r="393" spans="1:4" x14ac:dyDescent="0.35">
      <c r="A393">
        <v>69915</v>
      </c>
      <c r="B393" s="2">
        <v>45298</v>
      </c>
      <c r="C393" s="3">
        <v>74153</v>
      </c>
      <c r="D393" t="s">
        <v>27</v>
      </c>
    </row>
    <row r="394" spans="1:4" x14ac:dyDescent="0.35">
      <c r="A394">
        <v>44790</v>
      </c>
      <c r="B394" s="2">
        <v>45335</v>
      </c>
      <c r="C394" s="3">
        <v>74146</v>
      </c>
      <c r="D394" t="s">
        <v>26</v>
      </c>
    </row>
    <row r="395" spans="1:4" x14ac:dyDescent="0.35">
      <c r="A395">
        <v>29254</v>
      </c>
      <c r="B395" s="2">
        <v>45350</v>
      </c>
      <c r="C395" s="3">
        <v>74060</v>
      </c>
      <c r="D395" t="s">
        <v>28</v>
      </c>
    </row>
    <row r="396" spans="1:4" x14ac:dyDescent="0.35">
      <c r="A396">
        <v>75339</v>
      </c>
      <c r="B396" s="2">
        <v>45343</v>
      </c>
      <c r="C396" s="3">
        <v>73948</v>
      </c>
      <c r="D396" t="s">
        <v>27</v>
      </c>
    </row>
    <row r="397" spans="1:4" x14ac:dyDescent="0.35">
      <c r="A397">
        <v>14692</v>
      </c>
      <c r="B397" s="2">
        <v>45326</v>
      </c>
      <c r="C397" s="3">
        <v>73738</v>
      </c>
      <c r="D397" t="s">
        <v>26</v>
      </c>
    </row>
    <row r="398" spans="1:4" x14ac:dyDescent="0.35">
      <c r="A398">
        <v>10392</v>
      </c>
      <c r="B398" s="2">
        <v>45326</v>
      </c>
      <c r="C398" s="3">
        <v>73730</v>
      </c>
      <c r="D398" t="s">
        <v>28</v>
      </c>
    </row>
    <row r="399" spans="1:4" x14ac:dyDescent="0.35">
      <c r="A399">
        <v>68532</v>
      </c>
      <c r="B399" s="2">
        <v>45333</v>
      </c>
      <c r="C399" s="3">
        <v>73454</v>
      </c>
      <c r="D399" t="s">
        <v>28</v>
      </c>
    </row>
    <row r="400" spans="1:4" x14ac:dyDescent="0.35">
      <c r="A400">
        <v>45075</v>
      </c>
      <c r="B400" s="2">
        <v>45294</v>
      </c>
      <c r="C400" s="3">
        <v>73422</v>
      </c>
      <c r="D400" t="s">
        <v>28</v>
      </c>
    </row>
    <row r="401" spans="1:4" x14ac:dyDescent="0.35">
      <c r="A401">
        <v>15452</v>
      </c>
      <c r="B401" s="2">
        <v>45337</v>
      </c>
      <c r="C401" s="3">
        <v>73353</v>
      </c>
      <c r="D401" t="s">
        <v>28</v>
      </c>
    </row>
    <row r="402" spans="1:4" x14ac:dyDescent="0.35">
      <c r="A402">
        <v>14969</v>
      </c>
      <c r="B402" s="2">
        <v>45313</v>
      </c>
      <c r="C402" s="3">
        <v>73141</v>
      </c>
      <c r="D402" t="s">
        <v>28</v>
      </c>
    </row>
    <row r="403" spans="1:4" x14ac:dyDescent="0.35">
      <c r="A403">
        <v>92733</v>
      </c>
      <c r="B403" s="2">
        <v>45300</v>
      </c>
      <c r="C403" s="3">
        <v>73074</v>
      </c>
      <c r="D403" t="s">
        <v>28</v>
      </c>
    </row>
    <row r="404" spans="1:4" x14ac:dyDescent="0.35">
      <c r="A404">
        <v>83445</v>
      </c>
      <c r="B404" s="2">
        <v>45351</v>
      </c>
      <c r="C404" s="3">
        <v>72988</v>
      </c>
      <c r="D404" t="s">
        <v>27</v>
      </c>
    </row>
    <row r="405" spans="1:4" x14ac:dyDescent="0.35">
      <c r="A405">
        <v>34669</v>
      </c>
      <c r="B405" s="2">
        <v>45332</v>
      </c>
      <c r="C405" s="3">
        <v>72938</v>
      </c>
      <c r="D405" t="s">
        <v>26</v>
      </c>
    </row>
    <row r="406" spans="1:4" x14ac:dyDescent="0.35">
      <c r="A406">
        <v>50697</v>
      </c>
      <c r="B406" s="2">
        <v>45339</v>
      </c>
      <c r="C406" s="3">
        <v>72888</v>
      </c>
      <c r="D406" t="s">
        <v>26</v>
      </c>
    </row>
    <row r="407" spans="1:4" x14ac:dyDescent="0.35">
      <c r="A407">
        <v>24694</v>
      </c>
      <c r="B407" s="2">
        <v>45353</v>
      </c>
      <c r="C407" s="3">
        <v>72884</v>
      </c>
      <c r="D407" t="s">
        <v>26</v>
      </c>
    </row>
    <row r="408" spans="1:4" x14ac:dyDescent="0.35">
      <c r="A408">
        <v>58553</v>
      </c>
      <c r="B408" s="2">
        <v>45329</v>
      </c>
      <c r="C408" s="3">
        <v>72818</v>
      </c>
      <c r="D408" t="s">
        <v>28</v>
      </c>
    </row>
    <row r="409" spans="1:4" x14ac:dyDescent="0.35">
      <c r="A409">
        <v>99759</v>
      </c>
      <c r="B409" s="2">
        <v>45297</v>
      </c>
      <c r="C409" s="3">
        <v>72656</v>
      </c>
      <c r="D409" t="s">
        <v>26</v>
      </c>
    </row>
    <row r="410" spans="1:4" x14ac:dyDescent="0.35">
      <c r="A410">
        <v>50644</v>
      </c>
      <c r="B410" s="2">
        <v>45319</v>
      </c>
      <c r="C410" s="3">
        <v>72583</v>
      </c>
      <c r="D410" t="s">
        <v>28</v>
      </c>
    </row>
    <row r="411" spans="1:4" x14ac:dyDescent="0.35">
      <c r="A411">
        <v>99775</v>
      </c>
      <c r="B411" s="2">
        <v>45315</v>
      </c>
      <c r="C411" s="3">
        <v>72565</v>
      </c>
      <c r="D411" t="s">
        <v>28</v>
      </c>
    </row>
    <row r="412" spans="1:4" x14ac:dyDescent="0.35">
      <c r="A412">
        <v>52087</v>
      </c>
      <c r="B412" s="2">
        <v>45302</v>
      </c>
      <c r="C412" s="3">
        <v>72419</v>
      </c>
      <c r="D412" t="s">
        <v>28</v>
      </c>
    </row>
    <row r="413" spans="1:4" x14ac:dyDescent="0.35">
      <c r="A413">
        <v>31160</v>
      </c>
      <c r="B413" s="2">
        <v>45323</v>
      </c>
      <c r="C413" s="3">
        <v>72320</v>
      </c>
      <c r="D413" t="s">
        <v>27</v>
      </c>
    </row>
    <row r="414" spans="1:4" x14ac:dyDescent="0.35">
      <c r="A414">
        <v>87834</v>
      </c>
      <c r="B414" s="2">
        <v>45326</v>
      </c>
      <c r="C414" s="3">
        <v>72304</v>
      </c>
      <c r="D414" t="s">
        <v>27</v>
      </c>
    </row>
    <row r="415" spans="1:4" x14ac:dyDescent="0.35">
      <c r="A415">
        <v>30078</v>
      </c>
      <c r="B415" s="2">
        <v>45326</v>
      </c>
      <c r="C415" s="3">
        <v>72256</v>
      </c>
      <c r="D415" t="s">
        <v>28</v>
      </c>
    </row>
    <row r="416" spans="1:4" x14ac:dyDescent="0.35">
      <c r="A416">
        <v>16488</v>
      </c>
      <c r="B416" s="2">
        <v>45346</v>
      </c>
      <c r="C416" s="3">
        <v>72136</v>
      </c>
      <c r="D416" t="s">
        <v>27</v>
      </c>
    </row>
    <row r="417" spans="1:4" x14ac:dyDescent="0.35">
      <c r="A417">
        <v>79423</v>
      </c>
      <c r="B417" s="2">
        <v>45292</v>
      </c>
      <c r="C417" s="3">
        <v>72067</v>
      </c>
      <c r="D417" t="s">
        <v>26</v>
      </c>
    </row>
    <row r="418" spans="1:4" x14ac:dyDescent="0.35">
      <c r="A418">
        <v>42220</v>
      </c>
      <c r="B418" s="2">
        <v>45337</v>
      </c>
      <c r="C418" s="3">
        <v>71999</v>
      </c>
      <c r="D418" t="s">
        <v>26</v>
      </c>
    </row>
    <row r="419" spans="1:4" x14ac:dyDescent="0.35">
      <c r="A419">
        <v>29116</v>
      </c>
      <c r="B419" s="2">
        <v>45303</v>
      </c>
      <c r="C419" s="3">
        <v>71983</v>
      </c>
      <c r="D419" t="s">
        <v>27</v>
      </c>
    </row>
    <row r="420" spans="1:4" x14ac:dyDescent="0.35">
      <c r="A420">
        <v>87663</v>
      </c>
      <c r="B420" s="2">
        <v>45331</v>
      </c>
      <c r="C420" s="3">
        <v>71934</v>
      </c>
      <c r="D420" t="s">
        <v>28</v>
      </c>
    </row>
    <row r="421" spans="1:4" x14ac:dyDescent="0.35">
      <c r="A421">
        <v>89647</v>
      </c>
      <c r="B421" s="2">
        <v>45340</v>
      </c>
      <c r="C421" s="3">
        <v>71811</v>
      </c>
      <c r="D421" t="s">
        <v>26</v>
      </c>
    </row>
    <row r="422" spans="1:4" x14ac:dyDescent="0.35">
      <c r="A422">
        <v>74730</v>
      </c>
      <c r="B422" s="2">
        <v>45336</v>
      </c>
      <c r="C422" s="3">
        <v>71801</v>
      </c>
      <c r="D422" t="s">
        <v>26</v>
      </c>
    </row>
    <row r="423" spans="1:4" x14ac:dyDescent="0.35">
      <c r="A423">
        <v>82234</v>
      </c>
      <c r="B423" s="2">
        <v>45337</v>
      </c>
      <c r="C423" s="3">
        <v>71724</v>
      </c>
      <c r="D423" t="s">
        <v>28</v>
      </c>
    </row>
    <row r="424" spans="1:4" x14ac:dyDescent="0.35">
      <c r="A424">
        <v>37982</v>
      </c>
      <c r="B424" s="2">
        <v>45344</v>
      </c>
      <c r="C424" s="3">
        <v>71693</v>
      </c>
      <c r="D424" t="s">
        <v>28</v>
      </c>
    </row>
    <row r="425" spans="1:4" x14ac:dyDescent="0.35">
      <c r="A425">
        <v>87833</v>
      </c>
      <c r="B425" s="2">
        <v>45320</v>
      </c>
      <c r="C425" s="3">
        <v>71620</v>
      </c>
      <c r="D425" t="s">
        <v>27</v>
      </c>
    </row>
    <row r="426" spans="1:4" x14ac:dyDescent="0.35">
      <c r="A426">
        <v>76956</v>
      </c>
      <c r="B426" s="2">
        <v>45308</v>
      </c>
      <c r="C426" s="3">
        <v>71559</v>
      </c>
      <c r="D426" t="s">
        <v>28</v>
      </c>
    </row>
    <row r="427" spans="1:4" x14ac:dyDescent="0.35">
      <c r="A427">
        <v>21919</v>
      </c>
      <c r="B427" s="2">
        <v>45330</v>
      </c>
      <c r="C427" s="3">
        <v>71517</v>
      </c>
      <c r="D427" t="s">
        <v>28</v>
      </c>
    </row>
    <row r="428" spans="1:4" x14ac:dyDescent="0.35">
      <c r="A428">
        <v>41193</v>
      </c>
      <c r="B428" s="2">
        <v>45352</v>
      </c>
      <c r="C428" s="3">
        <v>71441</v>
      </c>
      <c r="D428" t="s">
        <v>26</v>
      </c>
    </row>
    <row r="429" spans="1:4" x14ac:dyDescent="0.35">
      <c r="A429">
        <v>35815</v>
      </c>
      <c r="B429" s="2">
        <v>45341</v>
      </c>
      <c r="C429" s="3">
        <v>71333</v>
      </c>
      <c r="D429" t="s">
        <v>27</v>
      </c>
    </row>
    <row r="430" spans="1:4" x14ac:dyDescent="0.35">
      <c r="A430">
        <v>18796</v>
      </c>
      <c r="B430" s="2">
        <v>45328</v>
      </c>
      <c r="C430" s="3">
        <v>71212</v>
      </c>
      <c r="D430" t="s">
        <v>28</v>
      </c>
    </row>
    <row r="431" spans="1:4" x14ac:dyDescent="0.35">
      <c r="A431">
        <v>83933</v>
      </c>
      <c r="B431" s="2">
        <v>45342</v>
      </c>
      <c r="C431" s="3">
        <v>71084</v>
      </c>
      <c r="D431" t="s">
        <v>26</v>
      </c>
    </row>
    <row r="432" spans="1:4" x14ac:dyDescent="0.35">
      <c r="A432">
        <v>78141</v>
      </c>
      <c r="B432" s="2">
        <v>45322</v>
      </c>
      <c r="C432" s="3">
        <v>71049</v>
      </c>
      <c r="D432" t="s">
        <v>26</v>
      </c>
    </row>
    <row r="433" spans="1:4" x14ac:dyDescent="0.35">
      <c r="A433">
        <v>12628</v>
      </c>
      <c r="B433" s="2">
        <v>45350</v>
      </c>
      <c r="C433" s="3">
        <v>70993</v>
      </c>
      <c r="D433" t="s">
        <v>27</v>
      </c>
    </row>
    <row r="434" spans="1:4" x14ac:dyDescent="0.35">
      <c r="A434">
        <v>72803</v>
      </c>
      <c r="B434" s="2">
        <v>45296</v>
      </c>
      <c r="C434" s="3">
        <v>70924</v>
      </c>
      <c r="D434" t="s">
        <v>28</v>
      </c>
    </row>
    <row r="435" spans="1:4" x14ac:dyDescent="0.35">
      <c r="A435">
        <v>33549</v>
      </c>
      <c r="B435" s="2">
        <v>45349</v>
      </c>
      <c r="C435" s="3">
        <v>70882</v>
      </c>
      <c r="D435" t="s">
        <v>28</v>
      </c>
    </row>
    <row r="436" spans="1:4" x14ac:dyDescent="0.35">
      <c r="A436">
        <v>56828</v>
      </c>
      <c r="B436" s="2">
        <v>45317</v>
      </c>
      <c r="C436" s="3">
        <v>70849</v>
      </c>
      <c r="D436" t="s">
        <v>28</v>
      </c>
    </row>
    <row r="437" spans="1:4" x14ac:dyDescent="0.35">
      <c r="A437">
        <v>25993</v>
      </c>
      <c r="B437" s="2">
        <v>45311</v>
      </c>
      <c r="C437" s="3">
        <v>70835</v>
      </c>
      <c r="D437" t="s">
        <v>27</v>
      </c>
    </row>
    <row r="438" spans="1:4" x14ac:dyDescent="0.35">
      <c r="A438">
        <v>92080</v>
      </c>
      <c r="B438" s="2">
        <v>45295</v>
      </c>
      <c r="C438" s="3">
        <v>70772</v>
      </c>
      <c r="D438" t="s">
        <v>27</v>
      </c>
    </row>
    <row r="439" spans="1:4" x14ac:dyDescent="0.35">
      <c r="A439">
        <v>84679</v>
      </c>
      <c r="B439" s="2">
        <v>45325</v>
      </c>
      <c r="C439" s="3">
        <v>70750</v>
      </c>
      <c r="D439" t="s">
        <v>27</v>
      </c>
    </row>
    <row r="440" spans="1:4" x14ac:dyDescent="0.35">
      <c r="A440">
        <v>14115</v>
      </c>
      <c r="B440" s="2">
        <v>45329</v>
      </c>
      <c r="C440" s="3">
        <v>70729</v>
      </c>
      <c r="D440" t="s">
        <v>27</v>
      </c>
    </row>
    <row r="441" spans="1:4" x14ac:dyDescent="0.35">
      <c r="A441">
        <v>27641</v>
      </c>
      <c r="B441" s="2">
        <v>45329</v>
      </c>
      <c r="C441" s="3">
        <v>70694</v>
      </c>
      <c r="D441" t="s">
        <v>28</v>
      </c>
    </row>
    <row r="442" spans="1:4" x14ac:dyDescent="0.35">
      <c r="A442">
        <v>35421</v>
      </c>
      <c r="B442" s="2">
        <v>45311</v>
      </c>
      <c r="C442" s="3">
        <v>70686</v>
      </c>
      <c r="D442" t="s">
        <v>27</v>
      </c>
    </row>
    <row r="443" spans="1:4" x14ac:dyDescent="0.35">
      <c r="A443">
        <v>10102</v>
      </c>
      <c r="B443" s="2">
        <v>45295</v>
      </c>
      <c r="C443" s="3">
        <v>70614</v>
      </c>
      <c r="D443" t="s">
        <v>26</v>
      </c>
    </row>
    <row r="444" spans="1:4" x14ac:dyDescent="0.35">
      <c r="A444">
        <v>75248</v>
      </c>
      <c r="B444" s="2">
        <v>45297</v>
      </c>
      <c r="C444" s="3">
        <v>70588</v>
      </c>
      <c r="D444" t="s">
        <v>28</v>
      </c>
    </row>
    <row r="445" spans="1:4" x14ac:dyDescent="0.35">
      <c r="A445">
        <v>96050</v>
      </c>
      <c r="B445" s="2">
        <v>45301</v>
      </c>
      <c r="C445" s="3">
        <v>70527</v>
      </c>
      <c r="D445" t="s">
        <v>26</v>
      </c>
    </row>
    <row r="446" spans="1:4" x14ac:dyDescent="0.35">
      <c r="A446">
        <v>71871</v>
      </c>
      <c r="B446" s="2">
        <v>45335</v>
      </c>
      <c r="C446" s="3">
        <v>70451</v>
      </c>
      <c r="D446" t="s">
        <v>26</v>
      </c>
    </row>
    <row r="447" spans="1:4" x14ac:dyDescent="0.35">
      <c r="A447">
        <v>18633</v>
      </c>
      <c r="B447" s="2">
        <v>45326</v>
      </c>
      <c r="C447" s="3">
        <v>70404</v>
      </c>
      <c r="D447" t="s">
        <v>27</v>
      </c>
    </row>
    <row r="448" spans="1:4" x14ac:dyDescent="0.35">
      <c r="A448">
        <v>86332</v>
      </c>
      <c r="B448" s="2">
        <v>45294</v>
      </c>
      <c r="C448" s="3">
        <v>70300</v>
      </c>
      <c r="D448" t="s">
        <v>27</v>
      </c>
    </row>
    <row r="449" spans="1:4" x14ac:dyDescent="0.35">
      <c r="A449">
        <v>79950</v>
      </c>
      <c r="B449" s="2">
        <v>45335</v>
      </c>
      <c r="C449" s="3">
        <v>70232</v>
      </c>
      <c r="D449" t="s">
        <v>26</v>
      </c>
    </row>
    <row r="450" spans="1:4" x14ac:dyDescent="0.35">
      <c r="A450">
        <v>38085</v>
      </c>
      <c r="B450" s="2">
        <v>45305</v>
      </c>
      <c r="C450" s="3">
        <v>70175</v>
      </c>
      <c r="D450" t="s">
        <v>27</v>
      </c>
    </row>
    <row r="451" spans="1:4" x14ac:dyDescent="0.35">
      <c r="A451">
        <v>59438</v>
      </c>
      <c r="B451" s="2">
        <v>45347</v>
      </c>
      <c r="C451" s="3">
        <v>70022</v>
      </c>
      <c r="D451" t="s">
        <v>28</v>
      </c>
    </row>
    <row r="452" spans="1:4" x14ac:dyDescent="0.35">
      <c r="A452">
        <v>29762</v>
      </c>
      <c r="B452" s="2">
        <v>45321</v>
      </c>
      <c r="C452" s="3">
        <v>69968</v>
      </c>
      <c r="D452" t="s">
        <v>27</v>
      </c>
    </row>
    <row r="453" spans="1:4" x14ac:dyDescent="0.35">
      <c r="A453">
        <v>96067</v>
      </c>
      <c r="B453" s="2">
        <v>45323</v>
      </c>
      <c r="C453" s="3">
        <v>69814</v>
      </c>
      <c r="D453" t="s">
        <v>28</v>
      </c>
    </row>
    <row r="454" spans="1:4" x14ac:dyDescent="0.35">
      <c r="A454">
        <v>38092</v>
      </c>
      <c r="B454" s="2">
        <v>45345</v>
      </c>
      <c r="C454" s="3">
        <v>69775</v>
      </c>
      <c r="D454" t="s">
        <v>26</v>
      </c>
    </row>
    <row r="455" spans="1:4" x14ac:dyDescent="0.35">
      <c r="A455">
        <v>12037</v>
      </c>
      <c r="B455" s="2">
        <v>45336</v>
      </c>
      <c r="C455" s="3">
        <v>69774</v>
      </c>
      <c r="D455" t="s">
        <v>28</v>
      </c>
    </row>
    <row r="456" spans="1:4" x14ac:dyDescent="0.35">
      <c r="A456">
        <v>65365</v>
      </c>
      <c r="B456" s="2">
        <v>45334</v>
      </c>
      <c r="C456" s="3">
        <v>69717</v>
      </c>
      <c r="D456" t="s">
        <v>28</v>
      </c>
    </row>
    <row r="457" spans="1:4" x14ac:dyDescent="0.35">
      <c r="A457">
        <v>98954</v>
      </c>
      <c r="B457" s="2">
        <v>45331</v>
      </c>
      <c r="C457" s="3">
        <v>69532</v>
      </c>
      <c r="D457" t="s">
        <v>27</v>
      </c>
    </row>
    <row r="458" spans="1:4" x14ac:dyDescent="0.35">
      <c r="A458">
        <v>63880</v>
      </c>
      <c r="B458" s="2">
        <v>45302</v>
      </c>
      <c r="C458" s="3">
        <v>69482</v>
      </c>
      <c r="D458" t="s">
        <v>28</v>
      </c>
    </row>
    <row r="459" spans="1:4" x14ac:dyDescent="0.35">
      <c r="A459">
        <v>20197</v>
      </c>
      <c r="B459" s="2">
        <v>45326</v>
      </c>
      <c r="C459" s="3">
        <v>69476</v>
      </c>
      <c r="D459" t="s">
        <v>26</v>
      </c>
    </row>
    <row r="460" spans="1:4" x14ac:dyDescent="0.35">
      <c r="A460">
        <v>79364</v>
      </c>
      <c r="B460" s="2">
        <v>45339</v>
      </c>
      <c r="C460" s="3">
        <v>69250</v>
      </c>
      <c r="D460" t="s">
        <v>28</v>
      </c>
    </row>
    <row r="461" spans="1:4" x14ac:dyDescent="0.35">
      <c r="A461">
        <v>60164</v>
      </c>
      <c r="B461" s="2">
        <v>45343</v>
      </c>
      <c r="C461" s="3">
        <v>69208</v>
      </c>
      <c r="D461" t="s">
        <v>27</v>
      </c>
    </row>
    <row r="462" spans="1:4" x14ac:dyDescent="0.35">
      <c r="A462">
        <v>34853</v>
      </c>
      <c r="B462" s="2">
        <v>45312</v>
      </c>
      <c r="C462" s="3">
        <v>69158</v>
      </c>
      <c r="D462" t="s">
        <v>28</v>
      </c>
    </row>
    <row r="463" spans="1:4" x14ac:dyDescent="0.35">
      <c r="A463">
        <v>46480</v>
      </c>
      <c r="B463" s="2">
        <v>45306</v>
      </c>
      <c r="C463" s="3">
        <v>69140</v>
      </c>
      <c r="D463" t="s">
        <v>27</v>
      </c>
    </row>
    <row r="464" spans="1:4" x14ac:dyDescent="0.35">
      <c r="A464">
        <v>28082</v>
      </c>
      <c r="B464" s="2">
        <v>45352</v>
      </c>
      <c r="C464" s="3">
        <v>68942</v>
      </c>
      <c r="D464" t="s">
        <v>27</v>
      </c>
    </row>
    <row r="465" spans="1:4" x14ac:dyDescent="0.35">
      <c r="A465">
        <v>54658</v>
      </c>
      <c r="B465" s="2">
        <v>45318</v>
      </c>
      <c r="C465" s="3">
        <v>68938</v>
      </c>
      <c r="D465" t="s">
        <v>27</v>
      </c>
    </row>
    <row r="466" spans="1:4" x14ac:dyDescent="0.35">
      <c r="A466">
        <v>40082</v>
      </c>
      <c r="B466" s="2">
        <v>45335</v>
      </c>
      <c r="C466" s="3">
        <v>68902</v>
      </c>
      <c r="D466" t="s">
        <v>26</v>
      </c>
    </row>
    <row r="467" spans="1:4" x14ac:dyDescent="0.35">
      <c r="A467">
        <v>30503</v>
      </c>
      <c r="B467" s="2">
        <v>45293</v>
      </c>
      <c r="C467" s="3">
        <v>68720</v>
      </c>
      <c r="D467" t="s">
        <v>27</v>
      </c>
    </row>
    <row r="468" spans="1:4" x14ac:dyDescent="0.35">
      <c r="A468">
        <v>96846</v>
      </c>
      <c r="B468" s="2">
        <v>45353</v>
      </c>
      <c r="C468" s="3">
        <v>68626</v>
      </c>
      <c r="D468" t="s">
        <v>28</v>
      </c>
    </row>
    <row r="469" spans="1:4" x14ac:dyDescent="0.35">
      <c r="A469">
        <v>22110</v>
      </c>
      <c r="B469" s="2">
        <v>45335</v>
      </c>
      <c r="C469" s="3">
        <v>68536</v>
      </c>
      <c r="D469" t="s">
        <v>28</v>
      </c>
    </row>
    <row r="470" spans="1:4" x14ac:dyDescent="0.35">
      <c r="A470">
        <v>83640</v>
      </c>
      <c r="B470" s="2">
        <v>45294</v>
      </c>
      <c r="C470" s="3">
        <v>68526</v>
      </c>
      <c r="D470" t="s">
        <v>26</v>
      </c>
    </row>
    <row r="471" spans="1:4" x14ac:dyDescent="0.35">
      <c r="A471">
        <v>77979</v>
      </c>
      <c r="B471" s="2">
        <v>45299</v>
      </c>
      <c r="C471" s="3">
        <v>68523</v>
      </c>
      <c r="D471" t="s">
        <v>26</v>
      </c>
    </row>
    <row r="472" spans="1:4" x14ac:dyDescent="0.35">
      <c r="A472">
        <v>34935</v>
      </c>
      <c r="B472" s="2">
        <v>45298</v>
      </c>
      <c r="C472" s="3">
        <v>68500</v>
      </c>
      <c r="D472" t="s">
        <v>27</v>
      </c>
    </row>
    <row r="473" spans="1:4" x14ac:dyDescent="0.35">
      <c r="A473">
        <v>51464</v>
      </c>
      <c r="B473" s="2">
        <v>45295</v>
      </c>
      <c r="C473" s="3">
        <v>68395</v>
      </c>
      <c r="D473" t="s">
        <v>26</v>
      </c>
    </row>
    <row r="474" spans="1:4" x14ac:dyDescent="0.35">
      <c r="A474">
        <v>15968</v>
      </c>
      <c r="B474" s="2">
        <v>45321</v>
      </c>
      <c r="C474" s="3">
        <v>68386</v>
      </c>
      <c r="D474" t="s">
        <v>28</v>
      </c>
    </row>
    <row r="475" spans="1:4" x14ac:dyDescent="0.35">
      <c r="A475">
        <v>63445</v>
      </c>
      <c r="B475" s="2">
        <v>45304</v>
      </c>
      <c r="C475" s="3">
        <v>68349</v>
      </c>
      <c r="D475" t="s">
        <v>26</v>
      </c>
    </row>
    <row r="476" spans="1:4" x14ac:dyDescent="0.35">
      <c r="A476">
        <v>72951</v>
      </c>
      <c r="B476" s="2">
        <v>45296</v>
      </c>
      <c r="C476" s="3">
        <v>68320</v>
      </c>
      <c r="D476" t="s">
        <v>26</v>
      </c>
    </row>
    <row r="477" spans="1:4" x14ac:dyDescent="0.35">
      <c r="A477">
        <v>94008</v>
      </c>
      <c r="B477" s="2">
        <v>45330</v>
      </c>
      <c r="C477" s="3">
        <v>68186</v>
      </c>
      <c r="D477" t="s">
        <v>26</v>
      </c>
    </row>
    <row r="478" spans="1:4" x14ac:dyDescent="0.35">
      <c r="A478">
        <v>22189</v>
      </c>
      <c r="B478" s="2">
        <v>45302</v>
      </c>
      <c r="C478" s="3">
        <v>67804</v>
      </c>
      <c r="D478" t="s">
        <v>26</v>
      </c>
    </row>
    <row r="479" spans="1:4" x14ac:dyDescent="0.35">
      <c r="A479">
        <v>60706</v>
      </c>
      <c r="B479" s="2">
        <v>45295</v>
      </c>
      <c r="C479" s="3">
        <v>67659</v>
      </c>
      <c r="D479" t="s">
        <v>28</v>
      </c>
    </row>
    <row r="480" spans="1:4" x14ac:dyDescent="0.35">
      <c r="A480">
        <v>35152</v>
      </c>
      <c r="B480" s="2">
        <v>45292</v>
      </c>
      <c r="C480" s="3">
        <v>67655</v>
      </c>
      <c r="D480" t="s">
        <v>27</v>
      </c>
    </row>
    <row r="481" spans="1:4" x14ac:dyDescent="0.35">
      <c r="A481">
        <v>19017</v>
      </c>
      <c r="B481" s="2">
        <v>45337</v>
      </c>
      <c r="C481" s="3">
        <v>67610</v>
      </c>
      <c r="D481" t="s">
        <v>28</v>
      </c>
    </row>
    <row r="482" spans="1:4" x14ac:dyDescent="0.35">
      <c r="A482">
        <v>37154</v>
      </c>
      <c r="B482" s="2">
        <v>45353</v>
      </c>
      <c r="C482" s="3">
        <v>67545</v>
      </c>
      <c r="D482" t="s">
        <v>27</v>
      </c>
    </row>
    <row r="483" spans="1:4" x14ac:dyDescent="0.35">
      <c r="A483">
        <v>86153</v>
      </c>
      <c r="B483" s="2">
        <v>45336</v>
      </c>
      <c r="C483" s="3">
        <v>67531</v>
      </c>
      <c r="D483" t="s">
        <v>27</v>
      </c>
    </row>
    <row r="484" spans="1:4" x14ac:dyDescent="0.35">
      <c r="A484">
        <v>33697</v>
      </c>
      <c r="B484" s="2">
        <v>45320</v>
      </c>
      <c r="C484" s="3">
        <v>67457</v>
      </c>
      <c r="D484" t="s">
        <v>26</v>
      </c>
    </row>
    <row r="485" spans="1:4" x14ac:dyDescent="0.35">
      <c r="A485">
        <v>91076</v>
      </c>
      <c r="B485" s="2">
        <v>45293</v>
      </c>
      <c r="C485" s="3">
        <v>67379</v>
      </c>
      <c r="D485" t="s">
        <v>27</v>
      </c>
    </row>
    <row r="486" spans="1:4" x14ac:dyDescent="0.35">
      <c r="A486">
        <v>42633</v>
      </c>
      <c r="B486" s="2">
        <v>45296</v>
      </c>
      <c r="C486" s="3">
        <v>67274</v>
      </c>
      <c r="D486" t="s">
        <v>27</v>
      </c>
    </row>
    <row r="487" spans="1:4" x14ac:dyDescent="0.35">
      <c r="A487">
        <v>65836</v>
      </c>
      <c r="B487" s="2">
        <v>45353</v>
      </c>
      <c r="C487" s="3">
        <v>67274</v>
      </c>
      <c r="D487" t="s">
        <v>26</v>
      </c>
    </row>
    <row r="488" spans="1:4" x14ac:dyDescent="0.35">
      <c r="A488">
        <v>28268</v>
      </c>
      <c r="B488" s="2">
        <v>45332</v>
      </c>
      <c r="C488" s="3">
        <v>67124</v>
      </c>
      <c r="D488" t="s">
        <v>28</v>
      </c>
    </row>
    <row r="489" spans="1:4" x14ac:dyDescent="0.35">
      <c r="A489">
        <v>92760</v>
      </c>
      <c r="B489" s="2">
        <v>45312</v>
      </c>
      <c r="C489" s="3">
        <v>67063</v>
      </c>
      <c r="D489" t="s">
        <v>26</v>
      </c>
    </row>
    <row r="490" spans="1:4" x14ac:dyDescent="0.35">
      <c r="A490">
        <v>58492</v>
      </c>
      <c r="B490" s="2">
        <v>45348</v>
      </c>
      <c r="C490" s="3">
        <v>67035</v>
      </c>
      <c r="D490" t="s">
        <v>27</v>
      </c>
    </row>
    <row r="491" spans="1:4" x14ac:dyDescent="0.35">
      <c r="A491">
        <v>57547</v>
      </c>
      <c r="B491" s="2">
        <v>45294</v>
      </c>
      <c r="C491" s="3">
        <v>67026</v>
      </c>
      <c r="D491" t="s">
        <v>27</v>
      </c>
    </row>
    <row r="492" spans="1:4" x14ac:dyDescent="0.35">
      <c r="A492">
        <v>71760</v>
      </c>
      <c r="B492" s="2">
        <v>45328</v>
      </c>
      <c r="C492" s="3">
        <v>66971</v>
      </c>
      <c r="D492" t="s">
        <v>28</v>
      </c>
    </row>
    <row r="493" spans="1:4" x14ac:dyDescent="0.35">
      <c r="A493">
        <v>96296</v>
      </c>
      <c r="B493" s="2">
        <v>45319</v>
      </c>
      <c r="C493" s="3">
        <v>66811</v>
      </c>
      <c r="D493" t="s">
        <v>27</v>
      </c>
    </row>
    <row r="494" spans="1:4" x14ac:dyDescent="0.35">
      <c r="A494">
        <v>30805</v>
      </c>
      <c r="B494" s="2">
        <v>45336</v>
      </c>
      <c r="C494" s="3">
        <v>66808</v>
      </c>
      <c r="D494" t="s">
        <v>26</v>
      </c>
    </row>
    <row r="495" spans="1:4" x14ac:dyDescent="0.35">
      <c r="A495">
        <v>19110</v>
      </c>
      <c r="B495" s="2">
        <v>45350</v>
      </c>
      <c r="C495" s="3">
        <v>66796</v>
      </c>
      <c r="D495" t="s">
        <v>28</v>
      </c>
    </row>
    <row r="496" spans="1:4" x14ac:dyDescent="0.35">
      <c r="A496">
        <v>43260</v>
      </c>
      <c r="B496" s="2">
        <v>45299</v>
      </c>
      <c r="C496" s="3">
        <v>66761</v>
      </c>
      <c r="D496" t="s">
        <v>27</v>
      </c>
    </row>
    <row r="497" spans="1:4" x14ac:dyDescent="0.35">
      <c r="A497">
        <v>45815</v>
      </c>
      <c r="B497" s="2">
        <v>45292</v>
      </c>
      <c r="C497" s="3">
        <v>66706</v>
      </c>
      <c r="D497" t="s">
        <v>28</v>
      </c>
    </row>
    <row r="498" spans="1:4" x14ac:dyDescent="0.35">
      <c r="A498">
        <v>32555</v>
      </c>
      <c r="B498" s="2">
        <v>45320</v>
      </c>
      <c r="C498" s="3">
        <v>66525</v>
      </c>
      <c r="D498" t="s">
        <v>27</v>
      </c>
    </row>
    <row r="499" spans="1:4" x14ac:dyDescent="0.35">
      <c r="A499">
        <v>65352</v>
      </c>
      <c r="B499" s="2">
        <v>45345</v>
      </c>
      <c r="C499" s="3">
        <v>66310</v>
      </c>
      <c r="D499" t="s">
        <v>26</v>
      </c>
    </row>
    <row r="500" spans="1:4" x14ac:dyDescent="0.35">
      <c r="A500">
        <v>88026</v>
      </c>
      <c r="B500" s="2">
        <v>45347</v>
      </c>
      <c r="C500" s="3">
        <v>66267</v>
      </c>
      <c r="D500" t="s">
        <v>27</v>
      </c>
    </row>
    <row r="501" spans="1:4" x14ac:dyDescent="0.35">
      <c r="A501">
        <v>55116</v>
      </c>
      <c r="B501" s="2">
        <v>45343</v>
      </c>
      <c r="C501" s="3">
        <v>66216</v>
      </c>
      <c r="D501" t="s">
        <v>28</v>
      </c>
    </row>
    <row r="502" spans="1:4" x14ac:dyDescent="0.35">
      <c r="A502">
        <v>82384</v>
      </c>
      <c r="B502" s="2">
        <v>45316</v>
      </c>
      <c r="C502" s="3">
        <v>66157</v>
      </c>
      <c r="D502" t="s">
        <v>26</v>
      </c>
    </row>
    <row r="503" spans="1:4" x14ac:dyDescent="0.35">
      <c r="A503">
        <v>34813</v>
      </c>
      <c r="B503" s="2">
        <v>45342</v>
      </c>
      <c r="C503" s="3">
        <v>65975</v>
      </c>
      <c r="D503" t="s">
        <v>28</v>
      </c>
    </row>
    <row r="504" spans="1:4" x14ac:dyDescent="0.35">
      <c r="A504">
        <v>11546</v>
      </c>
      <c r="B504" s="2">
        <v>45306</v>
      </c>
      <c r="C504" s="3">
        <v>65957</v>
      </c>
      <c r="D504" t="s">
        <v>28</v>
      </c>
    </row>
    <row r="505" spans="1:4" x14ac:dyDescent="0.35">
      <c r="A505">
        <v>58618</v>
      </c>
      <c r="B505" s="2">
        <v>45327</v>
      </c>
      <c r="C505" s="3">
        <v>65891</v>
      </c>
      <c r="D505" t="s">
        <v>26</v>
      </c>
    </row>
    <row r="506" spans="1:4" x14ac:dyDescent="0.35">
      <c r="A506">
        <v>57757</v>
      </c>
      <c r="B506" s="2">
        <v>45295</v>
      </c>
      <c r="C506" s="3">
        <v>65756</v>
      </c>
      <c r="D506" t="s">
        <v>27</v>
      </c>
    </row>
    <row r="507" spans="1:4" x14ac:dyDescent="0.35">
      <c r="A507">
        <v>79939</v>
      </c>
      <c r="B507" s="2">
        <v>45334</v>
      </c>
      <c r="C507" s="3">
        <v>65644</v>
      </c>
      <c r="D507" t="s">
        <v>27</v>
      </c>
    </row>
    <row r="508" spans="1:4" x14ac:dyDescent="0.35">
      <c r="A508">
        <v>91968</v>
      </c>
      <c r="B508" s="2">
        <v>45340</v>
      </c>
      <c r="C508" s="3">
        <v>65550</v>
      </c>
      <c r="D508" t="s">
        <v>28</v>
      </c>
    </row>
    <row r="509" spans="1:4" x14ac:dyDescent="0.35">
      <c r="A509">
        <v>65316</v>
      </c>
      <c r="B509" s="2">
        <v>45323</v>
      </c>
      <c r="C509" s="3">
        <v>65188</v>
      </c>
      <c r="D509" t="s">
        <v>28</v>
      </c>
    </row>
    <row r="510" spans="1:4" x14ac:dyDescent="0.35">
      <c r="A510">
        <v>79161</v>
      </c>
      <c r="B510" s="2">
        <v>45293</v>
      </c>
      <c r="C510" s="3">
        <v>65057</v>
      </c>
      <c r="D510" t="s">
        <v>26</v>
      </c>
    </row>
    <row r="511" spans="1:4" x14ac:dyDescent="0.35">
      <c r="A511">
        <v>83708</v>
      </c>
      <c r="B511" s="2">
        <v>45354</v>
      </c>
      <c r="C511" s="3">
        <v>65025</v>
      </c>
      <c r="D511" t="s">
        <v>28</v>
      </c>
    </row>
    <row r="512" spans="1:4" x14ac:dyDescent="0.35">
      <c r="A512">
        <v>70163</v>
      </c>
      <c r="B512" s="2">
        <v>45298</v>
      </c>
      <c r="C512" s="3">
        <v>64996</v>
      </c>
      <c r="D512" t="s">
        <v>28</v>
      </c>
    </row>
    <row r="513" spans="1:4" x14ac:dyDescent="0.35">
      <c r="A513">
        <v>56172</v>
      </c>
      <c r="B513" s="2">
        <v>45305</v>
      </c>
      <c r="C513" s="3">
        <v>64942</v>
      </c>
      <c r="D513" t="s">
        <v>26</v>
      </c>
    </row>
    <row r="514" spans="1:4" x14ac:dyDescent="0.35">
      <c r="A514">
        <v>39381</v>
      </c>
      <c r="B514" s="2">
        <v>45316</v>
      </c>
      <c r="C514" s="3">
        <v>64925</v>
      </c>
      <c r="D514" t="s">
        <v>28</v>
      </c>
    </row>
    <row r="515" spans="1:4" x14ac:dyDescent="0.35">
      <c r="A515">
        <v>82422</v>
      </c>
      <c r="B515" s="2">
        <v>45294</v>
      </c>
      <c r="C515" s="3">
        <v>64924</v>
      </c>
      <c r="D515" t="s">
        <v>27</v>
      </c>
    </row>
    <row r="516" spans="1:4" x14ac:dyDescent="0.35">
      <c r="A516">
        <v>43461</v>
      </c>
      <c r="B516" s="2">
        <v>45329</v>
      </c>
      <c r="C516" s="3">
        <v>64886</v>
      </c>
      <c r="D516" t="s">
        <v>26</v>
      </c>
    </row>
    <row r="517" spans="1:4" x14ac:dyDescent="0.35">
      <c r="A517">
        <v>46367</v>
      </c>
      <c r="B517" s="2">
        <v>45353</v>
      </c>
      <c r="C517" s="3">
        <v>64871</v>
      </c>
      <c r="D517" t="s">
        <v>28</v>
      </c>
    </row>
    <row r="518" spans="1:4" x14ac:dyDescent="0.35">
      <c r="A518">
        <v>38785</v>
      </c>
      <c r="B518" s="2">
        <v>45297</v>
      </c>
      <c r="C518" s="3">
        <v>64847</v>
      </c>
      <c r="D518" t="s">
        <v>28</v>
      </c>
    </row>
    <row r="519" spans="1:4" x14ac:dyDescent="0.35">
      <c r="A519">
        <v>49514</v>
      </c>
      <c r="B519" s="2">
        <v>45293</v>
      </c>
      <c r="C519" s="3">
        <v>64701</v>
      </c>
      <c r="D519" t="s">
        <v>28</v>
      </c>
    </row>
    <row r="520" spans="1:4" x14ac:dyDescent="0.35">
      <c r="A520">
        <v>16775</v>
      </c>
      <c r="B520" s="2">
        <v>45313</v>
      </c>
      <c r="C520" s="3">
        <v>64505</v>
      </c>
      <c r="D520" t="s">
        <v>28</v>
      </c>
    </row>
    <row r="521" spans="1:4" x14ac:dyDescent="0.35">
      <c r="A521">
        <v>46065</v>
      </c>
      <c r="B521" s="2">
        <v>45319</v>
      </c>
      <c r="C521" s="3">
        <v>64419</v>
      </c>
      <c r="D521" t="s">
        <v>27</v>
      </c>
    </row>
    <row r="522" spans="1:4" x14ac:dyDescent="0.35">
      <c r="A522">
        <v>89667</v>
      </c>
      <c r="B522" s="2">
        <v>45340</v>
      </c>
      <c r="C522" s="3">
        <v>64382</v>
      </c>
      <c r="D522" t="s">
        <v>27</v>
      </c>
    </row>
    <row r="523" spans="1:4" x14ac:dyDescent="0.35">
      <c r="A523">
        <v>39074</v>
      </c>
      <c r="B523" s="2">
        <v>45337</v>
      </c>
      <c r="C523" s="3">
        <v>64345</v>
      </c>
      <c r="D523" t="s">
        <v>28</v>
      </c>
    </row>
    <row r="524" spans="1:4" x14ac:dyDescent="0.35">
      <c r="A524">
        <v>96281</v>
      </c>
      <c r="B524" s="2">
        <v>45317</v>
      </c>
      <c r="C524" s="3">
        <v>64294</v>
      </c>
      <c r="D524" t="s">
        <v>26</v>
      </c>
    </row>
    <row r="525" spans="1:4" x14ac:dyDescent="0.35">
      <c r="A525">
        <v>24674</v>
      </c>
      <c r="B525" s="2">
        <v>45348</v>
      </c>
      <c r="C525" s="3">
        <v>64244</v>
      </c>
      <c r="D525" t="s">
        <v>27</v>
      </c>
    </row>
    <row r="526" spans="1:4" x14ac:dyDescent="0.35">
      <c r="A526">
        <v>28219</v>
      </c>
      <c r="B526" s="2">
        <v>45352</v>
      </c>
      <c r="C526" s="3">
        <v>64129</v>
      </c>
      <c r="D526" t="s">
        <v>27</v>
      </c>
    </row>
    <row r="527" spans="1:4" x14ac:dyDescent="0.35">
      <c r="A527">
        <v>77272</v>
      </c>
      <c r="B527" s="2">
        <v>45325</v>
      </c>
      <c r="C527" s="3">
        <v>64102</v>
      </c>
      <c r="D527" t="s">
        <v>27</v>
      </c>
    </row>
    <row r="528" spans="1:4" x14ac:dyDescent="0.35">
      <c r="A528">
        <v>37249</v>
      </c>
      <c r="B528" s="2">
        <v>45309</v>
      </c>
      <c r="C528" s="3">
        <v>63987</v>
      </c>
      <c r="D528" t="s">
        <v>26</v>
      </c>
    </row>
    <row r="529" spans="1:4" x14ac:dyDescent="0.35">
      <c r="A529">
        <v>81091</v>
      </c>
      <c r="B529" s="2">
        <v>45338</v>
      </c>
      <c r="C529" s="3">
        <v>63905</v>
      </c>
      <c r="D529" t="s">
        <v>28</v>
      </c>
    </row>
    <row r="530" spans="1:4" x14ac:dyDescent="0.35">
      <c r="A530">
        <v>65481</v>
      </c>
      <c r="B530" s="2">
        <v>45336</v>
      </c>
      <c r="C530" s="3">
        <v>63879</v>
      </c>
      <c r="D530" t="s">
        <v>27</v>
      </c>
    </row>
    <row r="531" spans="1:4" x14ac:dyDescent="0.35">
      <c r="A531">
        <v>47069</v>
      </c>
      <c r="B531" s="2">
        <v>45308</v>
      </c>
      <c r="C531" s="3">
        <v>63766</v>
      </c>
      <c r="D531" t="s">
        <v>26</v>
      </c>
    </row>
    <row r="532" spans="1:4" x14ac:dyDescent="0.35">
      <c r="A532">
        <v>58055</v>
      </c>
      <c r="B532" s="2">
        <v>45301</v>
      </c>
      <c r="C532" s="3">
        <v>63761</v>
      </c>
      <c r="D532" t="s">
        <v>28</v>
      </c>
    </row>
    <row r="533" spans="1:4" x14ac:dyDescent="0.35">
      <c r="A533">
        <v>62074</v>
      </c>
      <c r="B533" s="2">
        <v>45316</v>
      </c>
      <c r="C533" s="3">
        <v>63742</v>
      </c>
      <c r="D533" t="s">
        <v>28</v>
      </c>
    </row>
    <row r="534" spans="1:4" x14ac:dyDescent="0.35">
      <c r="A534">
        <v>67827</v>
      </c>
      <c r="B534" s="2">
        <v>45327</v>
      </c>
      <c r="C534" s="3">
        <v>63729</v>
      </c>
      <c r="D534" t="s">
        <v>27</v>
      </c>
    </row>
    <row r="535" spans="1:4" x14ac:dyDescent="0.35">
      <c r="A535">
        <v>41607</v>
      </c>
      <c r="B535" s="2">
        <v>45306</v>
      </c>
      <c r="C535" s="3">
        <v>63618</v>
      </c>
      <c r="D535" t="s">
        <v>27</v>
      </c>
    </row>
    <row r="536" spans="1:4" x14ac:dyDescent="0.35">
      <c r="A536">
        <v>62171</v>
      </c>
      <c r="B536" s="2">
        <v>45353</v>
      </c>
      <c r="C536" s="3">
        <v>63618</v>
      </c>
      <c r="D536" t="s">
        <v>26</v>
      </c>
    </row>
    <row r="537" spans="1:4" x14ac:dyDescent="0.35">
      <c r="A537">
        <v>81887</v>
      </c>
      <c r="B537" s="2">
        <v>45336</v>
      </c>
      <c r="C537" s="3">
        <v>63510</v>
      </c>
      <c r="D537" t="s">
        <v>28</v>
      </c>
    </row>
    <row r="538" spans="1:4" x14ac:dyDescent="0.35">
      <c r="A538">
        <v>20016</v>
      </c>
      <c r="B538" s="2">
        <v>45344</v>
      </c>
      <c r="C538" s="3">
        <v>63452</v>
      </c>
      <c r="D538" t="s">
        <v>26</v>
      </c>
    </row>
    <row r="539" spans="1:4" x14ac:dyDescent="0.35">
      <c r="A539">
        <v>57084</v>
      </c>
      <c r="B539" s="2">
        <v>45338</v>
      </c>
      <c r="C539" s="3">
        <v>63446</v>
      </c>
      <c r="D539" t="s">
        <v>28</v>
      </c>
    </row>
    <row r="540" spans="1:4" x14ac:dyDescent="0.35">
      <c r="A540">
        <v>92199</v>
      </c>
      <c r="B540" s="2">
        <v>45329</v>
      </c>
      <c r="C540" s="3">
        <v>63281</v>
      </c>
      <c r="D540" t="s">
        <v>27</v>
      </c>
    </row>
    <row r="541" spans="1:4" x14ac:dyDescent="0.35">
      <c r="A541">
        <v>91478</v>
      </c>
      <c r="B541" s="2">
        <v>45308</v>
      </c>
      <c r="C541" s="3">
        <v>63148</v>
      </c>
      <c r="D541" t="s">
        <v>28</v>
      </c>
    </row>
    <row r="542" spans="1:4" x14ac:dyDescent="0.35">
      <c r="A542">
        <v>68154</v>
      </c>
      <c r="B542" s="2">
        <v>45308</v>
      </c>
      <c r="C542" s="3">
        <v>63103</v>
      </c>
      <c r="D542" t="s">
        <v>27</v>
      </c>
    </row>
    <row r="543" spans="1:4" x14ac:dyDescent="0.35">
      <c r="A543">
        <v>74885</v>
      </c>
      <c r="B543" s="2">
        <v>45311</v>
      </c>
      <c r="C543" s="3">
        <v>62927</v>
      </c>
      <c r="D543" t="s">
        <v>28</v>
      </c>
    </row>
    <row r="544" spans="1:4" x14ac:dyDescent="0.35">
      <c r="A544">
        <v>85010</v>
      </c>
      <c r="B544" s="2">
        <v>45345</v>
      </c>
      <c r="C544" s="3">
        <v>62927</v>
      </c>
      <c r="D544" t="s">
        <v>28</v>
      </c>
    </row>
    <row r="545" spans="1:4" x14ac:dyDescent="0.35">
      <c r="A545">
        <v>16488</v>
      </c>
      <c r="B545" s="2">
        <v>45307</v>
      </c>
      <c r="C545" s="3">
        <v>62892</v>
      </c>
      <c r="D545" t="s">
        <v>28</v>
      </c>
    </row>
    <row r="546" spans="1:4" x14ac:dyDescent="0.35">
      <c r="A546">
        <v>14057</v>
      </c>
      <c r="B546" s="2">
        <v>45353</v>
      </c>
      <c r="C546" s="3">
        <v>62880</v>
      </c>
      <c r="D546" t="s">
        <v>27</v>
      </c>
    </row>
    <row r="547" spans="1:4" x14ac:dyDescent="0.35">
      <c r="A547">
        <v>12996</v>
      </c>
      <c r="B547" s="2">
        <v>45351</v>
      </c>
      <c r="C547" s="3">
        <v>62772</v>
      </c>
      <c r="D547" t="s">
        <v>27</v>
      </c>
    </row>
    <row r="548" spans="1:4" x14ac:dyDescent="0.35">
      <c r="A548">
        <v>44272</v>
      </c>
      <c r="B548" s="2">
        <v>45347</v>
      </c>
      <c r="C548" s="3">
        <v>62711</v>
      </c>
      <c r="D548" t="s">
        <v>26</v>
      </c>
    </row>
    <row r="549" spans="1:4" x14ac:dyDescent="0.35">
      <c r="A549">
        <v>80904</v>
      </c>
      <c r="B549" s="2">
        <v>45311</v>
      </c>
      <c r="C549" s="3">
        <v>62550</v>
      </c>
      <c r="D549" t="s">
        <v>26</v>
      </c>
    </row>
    <row r="550" spans="1:4" x14ac:dyDescent="0.35">
      <c r="A550">
        <v>43185</v>
      </c>
      <c r="B550" s="2">
        <v>45328</v>
      </c>
      <c r="C550" s="3">
        <v>62481</v>
      </c>
      <c r="D550" t="s">
        <v>28</v>
      </c>
    </row>
    <row r="551" spans="1:4" x14ac:dyDescent="0.35">
      <c r="A551">
        <v>53465</v>
      </c>
      <c r="B551" s="2">
        <v>45320</v>
      </c>
      <c r="C551" s="3">
        <v>62292</v>
      </c>
      <c r="D551" t="s">
        <v>27</v>
      </c>
    </row>
    <row r="552" spans="1:4" x14ac:dyDescent="0.35">
      <c r="A552">
        <v>94698</v>
      </c>
      <c r="B552" s="2">
        <v>45317</v>
      </c>
      <c r="C552" s="3">
        <v>62268</v>
      </c>
      <c r="D552" t="s">
        <v>28</v>
      </c>
    </row>
    <row r="553" spans="1:4" x14ac:dyDescent="0.35">
      <c r="A553">
        <v>92863</v>
      </c>
      <c r="B553" s="2">
        <v>45300</v>
      </c>
      <c r="C553" s="3">
        <v>62240</v>
      </c>
      <c r="D553" t="s">
        <v>26</v>
      </c>
    </row>
    <row r="554" spans="1:4" x14ac:dyDescent="0.35">
      <c r="A554">
        <v>26678</v>
      </c>
      <c r="B554" s="2">
        <v>45321</v>
      </c>
      <c r="C554" s="3">
        <v>62230</v>
      </c>
      <c r="D554" t="s">
        <v>28</v>
      </c>
    </row>
    <row r="555" spans="1:4" x14ac:dyDescent="0.35">
      <c r="A555">
        <v>32313</v>
      </c>
      <c r="B555" s="2">
        <v>45340</v>
      </c>
      <c r="C555" s="3">
        <v>62201</v>
      </c>
      <c r="D555" t="s">
        <v>27</v>
      </c>
    </row>
    <row r="556" spans="1:4" x14ac:dyDescent="0.35">
      <c r="A556">
        <v>41326</v>
      </c>
      <c r="B556" s="2">
        <v>45327</v>
      </c>
      <c r="C556" s="3">
        <v>62111</v>
      </c>
      <c r="D556" t="s">
        <v>28</v>
      </c>
    </row>
    <row r="557" spans="1:4" x14ac:dyDescent="0.35">
      <c r="A557">
        <v>15311</v>
      </c>
      <c r="B557" s="2">
        <v>45332</v>
      </c>
      <c r="C557" s="3">
        <v>62077</v>
      </c>
      <c r="D557" t="s">
        <v>26</v>
      </c>
    </row>
    <row r="558" spans="1:4" x14ac:dyDescent="0.35">
      <c r="A558">
        <v>52217</v>
      </c>
      <c r="B558" s="2">
        <v>45303</v>
      </c>
      <c r="C558" s="3">
        <v>61855</v>
      </c>
      <c r="D558" t="s">
        <v>27</v>
      </c>
    </row>
    <row r="559" spans="1:4" x14ac:dyDescent="0.35">
      <c r="A559">
        <v>33762</v>
      </c>
      <c r="B559" s="2">
        <v>45334</v>
      </c>
      <c r="C559" s="3">
        <v>61619</v>
      </c>
      <c r="D559" t="s">
        <v>28</v>
      </c>
    </row>
    <row r="560" spans="1:4" x14ac:dyDescent="0.35">
      <c r="A560">
        <v>69019</v>
      </c>
      <c r="B560" s="2">
        <v>45327</v>
      </c>
      <c r="C560" s="3">
        <v>61582</v>
      </c>
      <c r="D560" t="s">
        <v>28</v>
      </c>
    </row>
    <row r="561" spans="1:4" x14ac:dyDescent="0.35">
      <c r="A561">
        <v>37820</v>
      </c>
      <c r="B561" s="2">
        <v>45314</v>
      </c>
      <c r="C561" s="3">
        <v>61537</v>
      </c>
      <c r="D561" t="s">
        <v>28</v>
      </c>
    </row>
    <row r="562" spans="1:4" x14ac:dyDescent="0.35">
      <c r="A562">
        <v>79987</v>
      </c>
      <c r="B562" s="2">
        <v>45302</v>
      </c>
      <c r="C562" s="3">
        <v>61505</v>
      </c>
      <c r="D562" t="s">
        <v>28</v>
      </c>
    </row>
    <row r="563" spans="1:4" x14ac:dyDescent="0.35">
      <c r="A563">
        <v>85540</v>
      </c>
      <c r="B563" s="2">
        <v>45322</v>
      </c>
      <c r="C563" s="3">
        <v>61257</v>
      </c>
      <c r="D563" t="s">
        <v>27</v>
      </c>
    </row>
    <row r="564" spans="1:4" x14ac:dyDescent="0.35">
      <c r="A564">
        <v>58264</v>
      </c>
      <c r="B564" s="2">
        <v>45298</v>
      </c>
      <c r="C564" s="3">
        <v>61237</v>
      </c>
      <c r="D564" t="s">
        <v>28</v>
      </c>
    </row>
    <row r="565" spans="1:4" x14ac:dyDescent="0.35">
      <c r="A565">
        <v>26793</v>
      </c>
      <c r="B565" s="2">
        <v>45331</v>
      </c>
      <c r="C565" s="3">
        <v>61192</v>
      </c>
      <c r="D565" t="s">
        <v>28</v>
      </c>
    </row>
    <row r="566" spans="1:4" x14ac:dyDescent="0.35">
      <c r="A566">
        <v>21937</v>
      </c>
      <c r="B566" s="2">
        <v>45303</v>
      </c>
      <c r="C566" s="3">
        <v>61142</v>
      </c>
      <c r="D566" t="s">
        <v>27</v>
      </c>
    </row>
    <row r="567" spans="1:4" x14ac:dyDescent="0.35">
      <c r="A567">
        <v>37448</v>
      </c>
      <c r="B567" s="2">
        <v>45339</v>
      </c>
      <c r="C567" s="3">
        <v>60987</v>
      </c>
      <c r="D567" t="s">
        <v>26</v>
      </c>
    </row>
    <row r="568" spans="1:4" x14ac:dyDescent="0.35">
      <c r="A568">
        <v>48200</v>
      </c>
      <c r="B568" s="2">
        <v>45347</v>
      </c>
      <c r="C568" s="3">
        <v>60983</v>
      </c>
      <c r="D568" t="s">
        <v>27</v>
      </c>
    </row>
    <row r="569" spans="1:4" x14ac:dyDescent="0.35">
      <c r="A569">
        <v>19868</v>
      </c>
      <c r="B569" s="2">
        <v>45351</v>
      </c>
      <c r="C569" s="3">
        <v>60982</v>
      </c>
      <c r="D569" t="s">
        <v>28</v>
      </c>
    </row>
    <row r="570" spans="1:4" x14ac:dyDescent="0.35">
      <c r="A570">
        <v>71289</v>
      </c>
      <c r="B570" s="2">
        <v>45308</v>
      </c>
      <c r="C570" s="3">
        <v>60956</v>
      </c>
      <c r="D570" t="s">
        <v>28</v>
      </c>
    </row>
    <row r="571" spans="1:4" x14ac:dyDescent="0.35">
      <c r="A571">
        <v>55026</v>
      </c>
      <c r="B571" s="2">
        <v>45329</v>
      </c>
      <c r="C571" s="3">
        <v>60892</v>
      </c>
      <c r="D571" t="s">
        <v>28</v>
      </c>
    </row>
    <row r="572" spans="1:4" x14ac:dyDescent="0.35">
      <c r="A572">
        <v>63845</v>
      </c>
      <c r="B572" s="2">
        <v>45302</v>
      </c>
      <c r="C572" s="3">
        <v>60879</v>
      </c>
      <c r="D572" t="s">
        <v>27</v>
      </c>
    </row>
    <row r="573" spans="1:4" x14ac:dyDescent="0.35">
      <c r="A573">
        <v>98455</v>
      </c>
      <c r="B573" s="2">
        <v>45331</v>
      </c>
      <c r="C573" s="3">
        <v>60858</v>
      </c>
      <c r="D573" t="s">
        <v>27</v>
      </c>
    </row>
    <row r="574" spans="1:4" x14ac:dyDescent="0.35">
      <c r="A574">
        <v>48089</v>
      </c>
      <c r="B574" s="2">
        <v>45306</v>
      </c>
      <c r="C574" s="3">
        <v>60841</v>
      </c>
      <c r="D574" t="s">
        <v>27</v>
      </c>
    </row>
    <row r="575" spans="1:4" x14ac:dyDescent="0.35">
      <c r="A575">
        <v>13865</v>
      </c>
      <c r="B575" s="2">
        <v>45346</v>
      </c>
      <c r="C575" s="3">
        <v>60836</v>
      </c>
      <c r="D575" t="s">
        <v>28</v>
      </c>
    </row>
    <row r="576" spans="1:4" x14ac:dyDescent="0.35">
      <c r="A576">
        <v>78869</v>
      </c>
      <c r="B576" s="2">
        <v>45337</v>
      </c>
      <c r="C576" s="3">
        <v>60766</v>
      </c>
      <c r="D576" t="s">
        <v>28</v>
      </c>
    </row>
    <row r="577" spans="1:4" x14ac:dyDescent="0.35">
      <c r="A577">
        <v>21152</v>
      </c>
      <c r="B577" s="2">
        <v>45340</v>
      </c>
      <c r="C577" s="3">
        <v>60575</v>
      </c>
      <c r="D577" t="s">
        <v>28</v>
      </c>
    </row>
    <row r="578" spans="1:4" x14ac:dyDescent="0.35">
      <c r="A578">
        <v>43242</v>
      </c>
      <c r="B578" s="2">
        <v>45294</v>
      </c>
      <c r="C578" s="3">
        <v>60452</v>
      </c>
      <c r="D578" t="s">
        <v>28</v>
      </c>
    </row>
    <row r="579" spans="1:4" x14ac:dyDescent="0.35">
      <c r="A579">
        <v>13149</v>
      </c>
      <c r="B579" s="2">
        <v>45351</v>
      </c>
      <c r="C579" s="3">
        <v>60449</v>
      </c>
      <c r="D579" t="s">
        <v>26</v>
      </c>
    </row>
    <row r="580" spans="1:4" x14ac:dyDescent="0.35">
      <c r="A580">
        <v>70724</v>
      </c>
      <c r="B580" s="2">
        <v>45335</v>
      </c>
      <c r="C580" s="3">
        <v>60430</v>
      </c>
      <c r="D580" t="s">
        <v>28</v>
      </c>
    </row>
    <row r="581" spans="1:4" x14ac:dyDescent="0.35">
      <c r="A581">
        <v>74947</v>
      </c>
      <c r="B581" s="2">
        <v>45347</v>
      </c>
      <c r="C581" s="3">
        <v>60344</v>
      </c>
      <c r="D581" t="s">
        <v>28</v>
      </c>
    </row>
    <row r="582" spans="1:4" x14ac:dyDescent="0.35">
      <c r="A582">
        <v>49576</v>
      </c>
      <c r="B582" s="2">
        <v>45315</v>
      </c>
      <c r="C582" s="3">
        <v>60259</v>
      </c>
      <c r="D582" t="s">
        <v>26</v>
      </c>
    </row>
    <row r="583" spans="1:4" x14ac:dyDescent="0.35">
      <c r="A583">
        <v>57519</v>
      </c>
      <c r="B583" s="2">
        <v>45332</v>
      </c>
      <c r="C583" s="3">
        <v>60233</v>
      </c>
      <c r="D583" t="s">
        <v>28</v>
      </c>
    </row>
    <row r="584" spans="1:4" x14ac:dyDescent="0.35">
      <c r="A584">
        <v>44548</v>
      </c>
      <c r="B584" s="2">
        <v>45354</v>
      </c>
      <c r="C584" s="3">
        <v>60222</v>
      </c>
      <c r="D584" t="s">
        <v>26</v>
      </c>
    </row>
    <row r="585" spans="1:4" x14ac:dyDescent="0.35">
      <c r="A585">
        <v>31822</v>
      </c>
      <c r="B585" s="2">
        <v>45328</v>
      </c>
      <c r="C585" s="3">
        <v>60219</v>
      </c>
      <c r="D585" t="s">
        <v>26</v>
      </c>
    </row>
    <row r="586" spans="1:4" x14ac:dyDescent="0.35">
      <c r="A586">
        <v>61386</v>
      </c>
      <c r="B586" s="2">
        <v>45320</v>
      </c>
      <c r="C586" s="3">
        <v>60171</v>
      </c>
      <c r="D586" t="s">
        <v>28</v>
      </c>
    </row>
    <row r="587" spans="1:4" x14ac:dyDescent="0.35">
      <c r="A587">
        <v>52804</v>
      </c>
      <c r="B587" s="2">
        <v>45353</v>
      </c>
      <c r="C587" s="3">
        <v>60157</v>
      </c>
      <c r="D587" t="s">
        <v>27</v>
      </c>
    </row>
    <row r="588" spans="1:4" x14ac:dyDescent="0.35">
      <c r="A588">
        <v>45287</v>
      </c>
      <c r="B588" s="2">
        <v>45332</v>
      </c>
      <c r="C588" s="3">
        <v>60148</v>
      </c>
      <c r="D588" t="s">
        <v>27</v>
      </c>
    </row>
    <row r="589" spans="1:4" x14ac:dyDescent="0.35">
      <c r="A589">
        <v>83867</v>
      </c>
      <c r="B589" s="2">
        <v>45332</v>
      </c>
      <c r="C589" s="3">
        <v>60143</v>
      </c>
      <c r="D589" t="s">
        <v>26</v>
      </c>
    </row>
    <row r="590" spans="1:4" x14ac:dyDescent="0.35">
      <c r="A590">
        <v>45073</v>
      </c>
      <c r="B590" s="2">
        <v>45323</v>
      </c>
      <c r="C590" s="3">
        <v>60126</v>
      </c>
      <c r="D590" t="s">
        <v>28</v>
      </c>
    </row>
    <row r="591" spans="1:4" x14ac:dyDescent="0.35">
      <c r="A591">
        <v>65661</v>
      </c>
      <c r="B591" s="2">
        <v>45318</v>
      </c>
      <c r="C591" s="3">
        <v>59963</v>
      </c>
      <c r="D591" t="s">
        <v>28</v>
      </c>
    </row>
    <row r="592" spans="1:4" x14ac:dyDescent="0.35">
      <c r="A592">
        <v>49108</v>
      </c>
      <c r="B592" s="2">
        <v>45299</v>
      </c>
      <c r="C592" s="3">
        <v>59861</v>
      </c>
      <c r="D592" t="s">
        <v>27</v>
      </c>
    </row>
    <row r="593" spans="1:4" x14ac:dyDescent="0.35">
      <c r="A593">
        <v>49978</v>
      </c>
      <c r="B593" s="2">
        <v>45314</v>
      </c>
      <c r="C593" s="3">
        <v>59771</v>
      </c>
      <c r="D593" t="s">
        <v>27</v>
      </c>
    </row>
    <row r="594" spans="1:4" x14ac:dyDescent="0.35">
      <c r="A594">
        <v>98344</v>
      </c>
      <c r="B594" s="2">
        <v>45300</v>
      </c>
      <c r="C594" s="3">
        <v>59754</v>
      </c>
      <c r="D594" t="s">
        <v>26</v>
      </c>
    </row>
    <row r="595" spans="1:4" x14ac:dyDescent="0.35">
      <c r="A595">
        <v>26348</v>
      </c>
      <c r="B595" s="2">
        <v>45328</v>
      </c>
      <c r="C595" s="3">
        <v>59717</v>
      </c>
      <c r="D595" t="s">
        <v>26</v>
      </c>
    </row>
    <row r="596" spans="1:4" x14ac:dyDescent="0.35">
      <c r="A596">
        <v>65767</v>
      </c>
      <c r="B596" s="2">
        <v>45342</v>
      </c>
      <c r="C596" s="3">
        <v>59345</v>
      </c>
      <c r="D596" t="s">
        <v>26</v>
      </c>
    </row>
    <row r="597" spans="1:4" x14ac:dyDescent="0.35">
      <c r="A597">
        <v>58452</v>
      </c>
      <c r="B597" s="2">
        <v>45299</v>
      </c>
      <c r="C597" s="3">
        <v>59260</v>
      </c>
      <c r="D597" t="s">
        <v>26</v>
      </c>
    </row>
    <row r="598" spans="1:4" x14ac:dyDescent="0.35">
      <c r="A598">
        <v>25078</v>
      </c>
      <c r="B598" s="2">
        <v>45323</v>
      </c>
      <c r="C598" s="3">
        <v>59234</v>
      </c>
      <c r="D598" t="s">
        <v>27</v>
      </c>
    </row>
    <row r="599" spans="1:4" x14ac:dyDescent="0.35">
      <c r="A599">
        <v>96820</v>
      </c>
      <c r="B599" s="2">
        <v>45318</v>
      </c>
      <c r="C599" s="3">
        <v>59147</v>
      </c>
      <c r="D599" t="s">
        <v>28</v>
      </c>
    </row>
    <row r="600" spans="1:4" x14ac:dyDescent="0.35">
      <c r="A600">
        <v>24580</v>
      </c>
      <c r="B600" s="2">
        <v>45294</v>
      </c>
      <c r="C600" s="3">
        <v>59104</v>
      </c>
      <c r="D600" t="s">
        <v>26</v>
      </c>
    </row>
    <row r="601" spans="1:4" x14ac:dyDescent="0.35">
      <c r="A601">
        <v>16976</v>
      </c>
      <c r="B601" s="2">
        <v>45345</v>
      </c>
      <c r="C601" s="3">
        <v>59011</v>
      </c>
      <c r="D601" t="s">
        <v>28</v>
      </c>
    </row>
    <row r="602" spans="1:4" x14ac:dyDescent="0.35">
      <c r="A602">
        <v>35470</v>
      </c>
      <c r="B602" s="2">
        <v>45315</v>
      </c>
      <c r="C602" s="3">
        <v>59004</v>
      </c>
      <c r="D602" t="s">
        <v>27</v>
      </c>
    </row>
    <row r="603" spans="1:4" x14ac:dyDescent="0.35">
      <c r="A603">
        <v>54348</v>
      </c>
      <c r="B603" s="2">
        <v>45314</v>
      </c>
      <c r="C603" s="3">
        <v>58926</v>
      </c>
      <c r="D603" t="s">
        <v>28</v>
      </c>
    </row>
    <row r="604" spans="1:4" x14ac:dyDescent="0.35">
      <c r="A604">
        <v>63179</v>
      </c>
      <c r="B604" s="2">
        <v>45347</v>
      </c>
      <c r="C604" s="3">
        <v>58859</v>
      </c>
      <c r="D604" t="s">
        <v>26</v>
      </c>
    </row>
    <row r="605" spans="1:4" x14ac:dyDescent="0.35">
      <c r="A605">
        <v>43183</v>
      </c>
      <c r="B605" s="2">
        <v>45310</v>
      </c>
      <c r="C605" s="3">
        <v>58652</v>
      </c>
      <c r="D605" t="s">
        <v>26</v>
      </c>
    </row>
    <row r="606" spans="1:4" x14ac:dyDescent="0.35">
      <c r="A606">
        <v>92568</v>
      </c>
      <c r="B606" s="2">
        <v>45342</v>
      </c>
      <c r="C606" s="3">
        <v>58515</v>
      </c>
      <c r="D606" t="s">
        <v>26</v>
      </c>
    </row>
    <row r="607" spans="1:4" x14ac:dyDescent="0.35">
      <c r="A607">
        <v>52778</v>
      </c>
      <c r="B607" s="2">
        <v>45330</v>
      </c>
      <c r="C607" s="3">
        <v>58423</v>
      </c>
      <c r="D607" t="s">
        <v>28</v>
      </c>
    </row>
    <row r="608" spans="1:4" x14ac:dyDescent="0.35">
      <c r="A608">
        <v>73824</v>
      </c>
      <c r="B608" s="2">
        <v>45301</v>
      </c>
      <c r="C608" s="3">
        <v>58329</v>
      </c>
      <c r="D608" t="s">
        <v>27</v>
      </c>
    </row>
    <row r="609" spans="1:4" x14ac:dyDescent="0.35">
      <c r="A609">
        <v>12057</v>
      </c>
      <c r="B609" s="2">
        <v>45316</v>
      </c>
      <c r="C609" s="3">
        <v>58295</v>
      </c>
      <c r="D609" t="s">
        <v>27</v>
      </c>
    </row>
    <row r="610" spans="1:4" x14ac:dyDescent="0.35">
      <c r="A610">
        <v>98841</v>
      </c>
      <c r="B610" s="2">
        <v>45315</v>
      </c>
      <c r="C610" s="3">
        <v>58290</v>
      </c>
      <c r="D610" t="s">
        <v>28</v>
      </c>
    </row>
    <row r="611" spans="1:4" x14ac:dyDescent="0.35">
      <c r="A611">
        <v>23011</v>
      </c>
      <c r="B611" s="2">
        <v>45312</v>
      </c>
      <c r="C611" s="3">
        <v>58227</v>
      </c>
      <c r="D611" t="s">
        <v>28</v>
      </c>
    </row>
    <row r="612" spans="1:4" x14ac:dyDescent="0.35">
      <c r="A612">
        <v>53553</v>
      </c>
      <c r="B612" s="2">
        <v>45336</v>
      </c>
      <c r="C612" s="3">
        <v>58227</v>
      </c>
      <c r="D612" t="s">
        <v>26</v>
      </c>
    </row>
    <row r="613" spans="1:4" x14ac:dyDescent="0.35">
      <c r="A613">
        <v>86836</v>
      </c>
      <c r="B613" s="2">
        <v>45328</v>
      </c>
      <c r="C613" s="3">
        <v>58212</v>
      </c>
      <c r="D613" t="s">
        <v>26</v>
      </c>
    </row>
    <row r="614" spans="1:4" x14ac:dyDescent="0.35">
      <c r="A614">
        <v>13346</v>
      </c>
      <c r="B614" s="2">
        <v>45330</v>
      </c>
      <c r="C614" s="3">
        <v>58199</v>
      </c>
      <c r="D614" t="s">
        <v>28</v>
      </c>
    </row>
    <row r="615" spans="1:4" x14ac:dyDescent="0.35">
      <c r="A615">
        <v>60325</v>
      </c>
      <c r="B615" s="2">
        <v>45304</v>
      </c>
      <c r="C615" s="3">
        <v>58013</v>
      </c>
      <c r="D615" t="s">
        <v>26</v>
      </c>
    </row>
    <row r="616" spans="1:4" x14ac:dyDescent="0.35">
      <c r="A616">
        <v>92192</v>
      </c>
      <c r="B616" s="2">
        <v>45325</v>
      </c>
      <c r="C616" s="3">
        <v>58009</v>
      </c>
      <c r="D616" t="s">
        <v>26</v>
      </c>
    </row>
    <row r="617" spans="1:4" x14ac:dyDescent="0.35">
      <c r="A617">
        <v>63060</v>
      </c>
      <c r="B617" s="2">
        <v>45310</v>
      </c>
      <c r="C617" s="3">
        <v>57973</v>
      </c>
      <c r="D617" t="s">
        <v>28</v>
      </c>
    </row>
    <row r="618" spans="1:4" x14ac:dyDescent="0.35">
      <c r="A618">
        <v>27383</v>
      </c>
      <c r="B618" s="2">
        <v>45338</v>
      </c>
      <c r="C618" s="3">
        <v>57908</v>
      </c>
      <c r="D618" t="s">
        <v>26</v>
      </c>
    </row>
    <row r="619" spans="1:4" x14ac:dyDescent="0.35">
      <c r="A619">
        <v>32502</v>
      </c>
      <c r="B619" s="2">
        <v>45312</v>
      </c>
      <c r="C619" s="3">
        <v>57712</v>
      </c>
      <c r="D619" t="s">
        <v>26</v>
      </c>
    </row>
    <row r="620" spans="1:4" x14ac:dyDescent="0.35">
      <c r="A620">
        <v>71159</v>
      </c>
      <c r="B620" s="2">
        <v>45350</v>
      </c>
      <c r="C620" s="3">
        <v>57659</v>
      </c>
      <c r="D620" t="s">
        <v>26</v>
      </c>
    </row>
    <row r="621" spans="1:4" x14ac:dyDescent="0.35">
      <c r="A621">
        <v>19318</v>
      </c>
      <c r="B621" s="2">
        <v>45320</v>
      </c>
      <c r="C621" s="3">
        <v>57556</v>
      </c>
      <c r="D621" t="s">
        <v>27</v>
      </c>
    </row>
    <row r="622" spans="1:4" x14ac:dyDescent="0.35">
      <c r="A622">
        <v>82748</v>
      </c>
      <c r="B622" s="2">
        <v>45341</v>
      </c>
      <c r="C622" s="3">
        <v>57528</v>
      </c>
      <c r="D622" t="s">
        <v>26</v>
      </c>
    </row>
    <row r="623" spans="1:4" x14ac:dyDescent="0.35">
      <c r="A623">
        <v>83220</v>
      </c>
      <c r="B623" s="2">
        <v>45298</v>
      </c>
      <c r="C623" s="3">
        <v>57491</v>
      </c>
      <c r="D623" t="s">
        <v>26</v>
      </c>
    </row>
    <row r="624" spans="1:4" x14ac:dyDescent="0.35">
      <c r="A624">
        <v>94538</v>
      </c>
      <c r="B624" s="2">
        <v>45319</v>
      </c>
      <c r="C624" s="3">
        <v>57377</v>
      </c>
      <c r="D624" t="s">
        <v>26</v>
      </c>
    </row>
    <row r="625" spans="1:4" x14ac:dyDescent="0.35">
      <c r="A625">
        <v>17210</v>
      </c>
      <c r="B625" s="2">
        <v>45317</v>
      </c>
      <c r="C625" s="3">
        <v>57300</v>
      </c>
      <c r="D625" t="s">
        <v>26</v>
      </c>
    </row>
    <row r="626" spans="1:4" x14ac:dyDescent="0.35">
      <c r="A626">
        <v>85944</v>
      </c>
      <c r="B626" s="2">
        <v>45320</v>
      </c>
      <c r="C626" s="3">
        <v>57268</v>
      </c>
      <c r="D626" t="s">
        <v>26</v>
      </c>
    </row>
    <row r="627" spans="1:4" x14ac:dyDescent="0.35">
      <c r="A627">
        <v>60158</v>
      </c>
      <c r="B627" s="2">
        <v>45299</v>
      </c>
      <c r="C627" s="3">
        <v>57098</v>
      </c>
      <c r="D627" t="s">
        <v>28</v>
      </c>
    </row>
    <row r="628" spans="1:4" x14ac:dyDescent="0.35">
      <c r="A628">
        <v>16743</v>
      </c>
      <c r="B628" s="2">
        <v>45347</v>
      </c>
      <c r="C628" s="3">
        <v>57025</v>
      </c>
      <c r="D628" t="s">
        <v>26</v>
      </c>
    </row>
    <row r="629" spans="1:4" x14ac:dyDescent="0.35">
      <c r="A629">
        <v>29619</v>
      </c>
      <c r="B629" s="2">
        <v>45294</v>
      </c>
      <c r="C629" s="3">
        <v>56990</v>
      </c>
      <c r="D629" t="s">
        <v>27</v>
      </c>
    </row>
    <row r="630" spans="1:4" x14ac:dyDescent="0.35">
      <c r="A630">
        <v>79787</v>
      </c>
      <c r="B630" s="2">
        <v>45338</v>
      </c>
      <c r="C630" s="3">
        <v>56944</v>
      </c>
      <c r="D630" t="s">
        <v>26</v>
      </c>
    </row>
    <row r="631" spans="1:4" x14ac:dyDescent="0.35">
      <c r="A631">
        <v>91997</v>
      </c>
      <c r="B631" s="2">
        <v>45348</v>
      </c>
      <c r="C631" s="3">
        <v>56789</v>
      </c>
      <c r="D631" t="s">
        <v>28</v>
      </c>
    </row>
    <row r="632" spans="1:4" x14ac:dyDescent="0.35">
      <c r="A632">
        <v>69976</v>
      </c>
      <c r="B632" s="2">
        <v>45343</v>
      </c>
      <c r="C632" s="3">
        <v>56761</v>
      </c>
      <c r="D632" t="s">
        <v>27</v>
      </c>
    </row>
    <row r="633" spans="1:4" x14ac:dyDescent="0.35">
      <c r="A633">
        <v>60497</v>
      </c>
      <c r="B633" s="2">
        <v>45338</v>
      </c>
      <c r="C633" s="3">
        <v>56662</v>
      </c>
      <c r="D633" t="s">
        <v>26</v>
      </c>
    </row>
    <row r="634" spans="1:4" x14ac:dyDescent="0.35">
      <c r="A634">
        <v>53880</v>
      </c>
      <c r="B634" s="2">
        <v>45311</v>
      </c>
      <c r="C634" s="3">
        <v>56439</v>
      </c>
      <c r="D634" t="s">
        <v>28</v>
      </c>
    </row>
    <row r="635" spans="1:4" x14ac:dyDescent="0.35">
      <c r="A635">
        <v>92201</v>
      </c>
      <c r="B635" s="2">
        <v>45297</v>
      </c>
      <c r="C635" s="3">
        <v>56412</v>
      </c>
      <c r="D635" t="s">
        <v>27</v>
      </c>
    </row>
    <row r="636" spans="1:4" x14ac:dyDescent="0.35">
      <c r="A636">
        <v>92757</v>
      </c>
      <c r="B636" s="2">
        <v>45298</v>
      </c>
      <c r="C636" s="3">
        <v>56351</v>
      </c>
      <c r="D636" t="s">
        <v>28</v>
      </c>
    </row>
    <row r="637" spans="1:4" x14ac:dyDescent="0.35">
      <c r="A637">
        <v>84791</v>
      </c>
      <c r="B637" s="2">
        <v>45293</v>
      </c>
      <c r="C637" s="3">
        <v>56123</v>
      </c>
      <c r="D637" t="s">
        <v>27</v>
      </c>
    </row>
    <row r="638" spans="1:4" x14ac:dyDescent="0.35">
      <c r="A638">
        <v>83754</v>
      </c>
      <c r="B638" s="2">
        <v>45347</v>
      </c>
      <c r="C638" s="3">
        <v>56047</v>
      </c>
      <c r="D638" t="s">
        <v>27</v>
      </c>
    </row>
    <row r="639" spans="1:4" x14ac:dyDescent="0.35">
      <c r="A639">
        <v>59788</v>
      </c>
      <c r="B639" s="2">
        <v>45350</v>
      </c>
      <c r="C639" s="3">
        <v>56034</v>
      </c>
      <c r="D639" t="s">
        <v>27</v>
      </c>
    </row>
    <row r="640" spans="1:4" x14ac:dyDescent="0.35">
      <c r="A640">
        <v>79244</v>
      </c>
      <c r="B640" s="2">
        <v>45345</v>
      </c>
      <c r="C640" s="3">
        <v>56009</v>
      </c>
      <c r="D640" t="s">
        <v>26</v>
      </c>
    </row>
    <row r="641" spans="1:4" x14ac:dyDescent="0.35">
      <c r="A641">
        <v>71585</v>
      </c>
      <c r="B641" s="2">
        <v>45292</v>
      </c>
      <c r="C641" s="3">
        <v>56003</v>
      </c>
      <c r="D641" t="s">
        <v>26</v>
      </c>
    </row>
    <row r="642" spans="1:4" x14ac:dyDescent="0.35">
      <c r="A642">
        <v>42823</v>
      </c>
      <c r="B642" s="2">
        <v>45329</v>
      </c>
      <c r="C642" s="3">
        <v>55996</v>
      </c>
      <c r="D642" t="s">
        <v>27</v>
      </c>
    </row>
    <row r="643" spans="1:4" x14ac:dyDescent="0.35">
      <c r="A643">
        <v>45236</v>
      </c>
      <c r="B643" s="2">
        <v>45310</v>
      </c>
      <c r="C643" s="3">
        <v>55899</v>
      </c>
      <c r="D643" t="s">
        <v>27</v>
      </c>
    </row>
    <row r="644" spans="1:4" x14ac:dyDescent="0.35">
      <c r="A644">
        <v>53773</v>
      </c>
      <c r="B644" s="2">
        <v>45315</v>
      </c>
      <c r="C644" s="3">
        <v>55800</v>
      </c>
      <c r="D644" t="s">
        <v>27</v>
      </c>
    </row>
    <row r="645" spans="1:4" x14ac:dyDescent="0.35">
      <c r="A645">
        <v>86743</v>
      </c>
      <c r="B645" s="2">
        <v>45324</v>
      </c>
      <c r="C645" s="3">
        <v>55734</v>
      </c>
      <c r="D645" t="s">
        <v>27</v>
      </c>
    </row>
    <row r="646" spans="1:4" x14ac:dyDescent="0.35">
      <c r="A646">
        <v>63842</v>
      </c>
      <c r="B646" s="2">
        <v>45295</v>
      </c>
      <c r="C646" s="3">
        <v>55731</v>
      </c>
      <c r="D646" t="s">
        <v>26</v>
      </c>
    </row>
    <row r="647" spans="1:4" x14ac:dyDescent="0.35">
      <c r="A647">
        <v>57288</v>
      </c>
      <c r="B647" s="2">
        <v>45331</v>
      </c>
      <c r="C647" s="3">
        <v>55708</v>
      </c>
      <c r="D647" t="s">
        <v>27</v>
      </c>
    </row>
    <row r="648" spans="1:4" x14ac:dyDescent="0.35">
      <c r="A648">
        <v>82653</v>
      </c>
      <c r="B648" s="2">
        <v>45330</v>
      </c>
      <c r="C648" s="3">
        <v>55642</v>
      </c>
      <c r="D648" t="s">
        <v>28</v>
      </c>
    </row>
    <row r="649" spans="1:4" x14ac:dyDescent="0.35">
      <c r="A649">
        <v>43227</v>
      </c>
      <c r="B649" s="2">
        <v>45351</v>
      </c>
      <c r="C649" s="3">
        <v>55548</v>
      </c>
      <c r="D649" t="s">
        <v>26</v>
      </c>
    </row>
    <row r="650" spans="1:4" x14ac:dyDescent="0.35">
      <c r="A650">
        <v>41676</v>
      </c>
      <c r="B650" s="2">
        <v>45336</v>
      </c>
      <c r="C650" s="3">
        <v>55512</v>
      </c>
      <c r="D650" t="s">
        <v>26</v>
      </c>
    </row>
    <row r="651" spans="1:4" x14ac:dyDescent="0.35">
      <c r="A651">
        <v>86964</v>
      </c>
      <c r="B651" s="2">
        <v>45296</v>
      </c>
      <c r="C651" s="3">
        <v>55473</v>
      </c>
      <c r="D651" t="s">
        <v>27</v>
      </c>
    </row>
    <row r="652" spans="1:4" x14ac:dyDescent="0.35">
      <c r="A652">
        <v>25633</v>
      </c>
      <c r="B652" s="2">
        <v>45302</v>
      </c>
      <c r="C652" s="3">
        <v>55210</v>
      </c>
      <c r="D652" t="s">
        <v>28</v>
      </c>
    </row>
    <row r="653" spans="1:4" x14ac:dyDescent="0.35">
      <c r="A653">
        <v>26610</v>
      </c>
      <c r="B653" s="2">
        <v>45307</v>
      </c>
      <c r="C653" s="3">
        <v>55209</v>
      </c>
      <c r="D653" t="s">
        <v>26</v>
      </c>
    </row>
    <row r="654" spans="1:4" x14ac:dyDescent="0.35">
      <c r="A654">
        <v>30104</v>
      </c>
      <c r="B654" s="2">
        <v>45348</v>
      </c>
      <c r="C654" s="3">
        <v>55163</v>
      </c>
      <c r="D654" t="s">
        <v>26</v>
      </c>
    </row>
    <row r="655" spans="1:4" x14ac:dyDescent="0.35">
      <c r="A655">
        <v>92690</v>
      </c>
      <c r="B655" s="2">
        <v>45326</v>
      </c>
      <c r="C655" s="3">
        <v>55066</v>
      </c>
      <c r="D655" t="s">
        <v>28</v>
      </c>
    </row>
    <row r="656" spans="1:4" x14ac:dyDescent="0.35">
      <c r="A656">
        <v>93252</v>
      </c>
      <c r="B656" s="2">
        <v>45322</v>
      </c>
      <c r="C656" s="3">
        <v>54834</v>
      </c>
      <c r="D656" t="s">
        <v>27</v>
      </c>
    </row>
    <row r="657" spans="1:4" x14ac:dyDescent="0.35">
      <c r="A657">
        <v>20483</v>
      </c>
      <c r="B657" s="2">
        <v>45308</v>
      </c>
      <c r="C657" s="3">
        <v>54766</v>
      </c>
      <c r="D657" t="s">
        <v>28</v>
      </c>
    </row>
    <row r="658" spans="1:4" x14ac:dyDescent="0.35">
      <c r="A658">
        <v>24866</v>
      </c>
      <c r="B658" s="2">
        <v>45320</v>
      </c>
      <c r="C658" s="3">
        <v>54652</v>
      </c>
      <c r="D658" t="s">
        <v>26</v>
      </c>
    </row>
    <row r="659" spans="1:4" x14ac:dyDescent="0.35">
      <c r="A659">
        <v>70828</v>
      </c>
      <c r="B659" s="2">
        <v>45341</v>
      </c>
      <c r="C659" s="3">
        <v>54401</v>
      </c>
      <c r="D659" t="s">
        <v>28</v>
      </c>
    </row>
    <row r="660" spans="1:4" x14ac:dyDescent="0.35">
      <c r="A660">
        <v>65140</v>
      </c>
      <c r="B660" s="2">
        <v>45330</v>
      </c>
      <c r="C660" s="3">
        <v>54334</v>
      </c>
      <c r="D660" t="s">
        <v>26</v>
      </c>
    </row>
    <row r="661" spans="1:4" x14ac:dyDescent="0.35">
      <c r="A661">
        <v>38851</v>
      </c>
      <c r="B661" s="2">
        <v>45342</v>
      </c>
      <c r="C661" s="3">
        <v>54183</v>
      </c>
      <c r="D661" t="s">
        <v>26</v>
      </c>
    </row>
    <row r="662" spans="1:4" x14ac:dyDescent="0.35">
      <c r="A662">
        <v>75842</v>
      </c>
      <c r="B662" s="2">
        <v>45320</v>
      </c>
      <c r="C662" s="3">
        <v>54152</v>
      </c>
      <c r="D662" t="s">
        <v>27</v>
      </c>
    </row>
    <row r="663" spans="1:4" x14ac:dyDescent="0.35">
      <c r="A663">
        <v>97008</v>
      </c>
      <c r="B663" s="2">
        <v>45350</v>
      </c>
      <c r="C663" s="3">
        <v>54077</v>
      </c>
      <c r="D663" t="s">
        <v>26</v>
      </c>
    </row>
    <row r="664" spans="1:4" x14ac:dyDescent="0.35">
      <c r="A664">
        <v>70849</v>
      </c>
      <c r="B664" s="2">
        <v>45345</v>
      </c>
      <c r="C664" s="3">
        <v>53972</v>
      </c>
      <c r="D664" t="s">
        <v>26</v>
      </c>
    </row>
    <row r="665" spans="1:4" x14ac:dyDescent="0.35">
      <c r="A665">
        <v>67897</v>
      </c>
      <c r="B665" s="2">
        <v>45350</v>
      </c>
      <c r="C665" s="3">
        <v>53959</v>
      </c>
      <c r="D665" t="s">
        <v>26</v>
      </c>
    </row>
    <row r="666" spans="1:4" x14ac:dyDescent="0.35">
      <c r="A666">
        <v>10148</v>
      </c>
      <c r="B666" s="2">
        <v>45341</v>
      </c>
      <c r="C666" s="3">
        <v>53874</v>
      </c>
      <c r="D666" t="s">
        <v>28</v>
      </c>
    </row>
    <row r="667" spans="1:4" x14ac:dyDescent="0.35">
      <c r="A667">
        <v>38753</v>
      </c>
      <c r="B667" s="2">
        <v>45316</v>
      </c>
      <c r="C667" s="3">
        <v>53846</v>
      </c>
      <c r="D667" t="s">
        <v>28</v>
      </c>
    </row>
    <row r="668" spans="1:4" x14ac:dyDescent="0.35">
      <c r="A668">
        <v>33035</v>
      </c>
      <c r="B668" s="2">
        <v>45300</v>
      </c>
      <c r="C668" s="3">
        <v>53748</v>
      </c>
      <c r="D668" t="s">
        <v>28</v>
      </c>
    </row>
    <row r="669" spans="1:4" x14ac:dyDescent="0.35">
      <c r="A669">
        <v>68604</v>
      </c>
      <c r="B669" s="2">
        <v>45347</v>
      </c>
      <c r="C669" s="3">
        <v>53717</v>
      </c>
      <c r="D669" t="s">
        <v>28</v>
      </c>
    </row>
    <row r="670" spans="1:4" x14ac:dyDescent="0.35">
      <c r="A670">
        <v>42674</v>
      </c>
      <c r="B670" s="2">
        <v>45340</v>
      </c>
      <c r="C670" s="3">
        <v>53702</v>
      </c>
      <c r="D670" t="s">
        <v>27</v>
      </c>
    </row>
    <row r="671" spans="1:4" x14ac:dyDescent="0.35">
      <c r="A671">
        <v>23271</v>
      </c>
      <c r="B671" s="2">
        <v>45310</v>
      </c>
      <c r="C671" s="3">
        <v>53622</v>
      </c>
      <c r="D671" t="s">
        <v>26</v>
      </c>
    </row>
    <row r="672" spans="1:4" x14ac:dyDescent="0.35">
      <c r="A672">
        <v>57951</v>
      </c>
      <c r="B672" s="2">
        <v>45307</v>
      </c>
      <c r="C672" s="3">
        <v>53601</v>
      </c>
      <c r="D672" t="s">
        <v>26</v>
      </c>
    </row>
    <row r="673" spans="1:4" x14ac:dyDescent="0.35">
      <c r="A673">
        <v>48849</v>
      </c>
      <c r="B673" s="2">
        <v>45309</v>
      </c>
      <c r="C673" s="3">
        <v>53562</v>
      </c>
      <c r="D673" t="s">
        <v>26</v>
      </c>
    </row>
    <row r="674" spans="1:4" x14ac:dyDescent="0.35">
      <c r="A674">
        <v>55135</v>
      </c>
      <c r="B674" s="2">
        <v>45344</v>
      </c>
      <c r="C674" s="3">
        <v>53553</v>
      </c>
      <c r="D674" t="s">
        <v>27</v>
      </c>
    </row>
    <row r="675" spans="1:4" x14ac:dyDescent="0.35">
      <c r="A675">
        <v>14787</v>
      </c>
      <c r="B675" s="2">
        <v>45339</v>
      </c>
      <c r="C675" s="3">
        <v>53531</v>
      </c>
      <c r="D675" t="s">
        <v>26</v>
      </c>
    </row>
    <row r="676" spans="1:4" x14ac:dyDescent="0.35">
      <c r="A676">
        <v>48010</v>
      </c>
      <c r="B676" s="2">
        <v>45322</v>
      </c>
      <c r="C676" s="3">
        <v>53528</v>
      </c>
      <c r="D676" t="s">
        <v>27</v>
      </c>
    </row>
    <row r="677" spans="1:4" x14ac:dyDescent="0.35">
      <c r="A677">
        <v>65132</v>
      </c>
      <c r="B677" s="2">
        <v>45349</v>
      </c>
      <c r="C677" s="3">
        <v>53417</v>
      </c>
      <c r="D677" t="s">
        <v>27</v>
      </c>
    </row>
    <row r="678" spans="1:4" x14ac:dyDescent="0.35">
      <c r="A678">
        <v>79228</v>
      </c>
      <c r="B678" s="2">
        <v>45335</v>
      </c>
      <c r="C678" s="3">
        <v>53402</v>
      </c>
      <c r="D678" t="s">
        <v>28</v>
      </c>
    </row>
    <row r="679" spans="1:4" x14ac:dyDescent="0.35">
      <c r="A679">
        <v>44340</v>
      </c>
      <c r="B679" s="2">
        <v>45322</v>
      </c>
      <c r="C679" s="3">
        <v>53262</v>
      </c>
      <c r="D679" t="s">
        <v>26</v>
      </c>
    </row>
    <row r="680" spans="1:4" x14ac:dyDescent="0.35">
      <c r="A680">
        <v>76930</v>
      </c>
      <c r="B680" s="2">
        <v>45344</v>
      </c>
      <c r="C680" s="3">
        <v>53204</v>
      </c>
      <c r="D680" t="s">
        <v>26</v>
      </c>
    </row>
    <row r="681" spans="1:4" x14ac:dyDescent="0.35">
      <c r="A681">
        <v>72793</v>
      </c>
      <c r="B681" s="2">
        <v>45343</v>
      </c>
      <c r="C681" s="3">
        <v>53107</v>
      </c>
      <c r="D681" t="s">
        <v>28</v>
      </c>
    </row>
    <row r="682" spans="1:4" x14ac:dyDescent="0.35">
      <c r="A682">
        <v>23988</v>
      </c>
      <c r="B682" s="2">
        <v>45351</v>
      </c>
      <c r="C682" s="3">
        <v>53070</v>
      </c>
      <c r="D682" t="s">
        <v>27</v>
      </c>
    </row>
    <row r="683" spans="1:4" x14ac:dyDescent="0.35">
      <c r="A683">
        <v>79102</v>
      </c>
      <c r="B683" s="2">
        <v>45315</v>
      </c>
      <c r="C683" s="3">
        <v>53057</v>
      </c>
      <c r="D683" t="s">
        <v>28</v>
      </c>
    </row>
    <row r="684" spans="1:4" x14ac:dyDescent="0.35">
      <c r="A684">
        <v>29740</v>
      </c>
      <c r="B684" s="2">
        <v>45335</v>
      </c>
      <c r="C684" s="3">
        <v>53057</v>
      </c>
      <c r="D684" t="s">
        <v>27</v>
      </c>
    </row>
    <row r="685" spans="1:4" x14ac:dyDescent="0.35">
      <c r="A685">
        <v>92499</v>
      </c>
      <c r="B685" s="2">
        <v>45336</v>
      </c>
      <c r="C685" s="3">
        <v>53011</v>
      </c>
      <c r="D685" t="s">
        <v>27</v>
      </c>
    </row>
    <row r="686" spans="1:4" x14ac:dyDescent="0.35">
      <c r="A686">
        <v>58691</v>
      </c>
      <c r="B686" s="2">
        <v>45300</v>
      </c>
      <c r="C686" s="3">
        <v>52947</v>
      </c>
      <c r="D686" t="s">
        <v>28</v>
      </c>
    </row>
    <row r="687" spans="1:4" x14ac:dyDescent="0.35">
      <c r="A687">
        <v>82159</v>
      </c>
      <c r="B687" s="2">
        <v>45337</v>
      </c>
      <c r="C687" s="3">
        <v>52876</v>
      </c>
      <c r="D687" t="s">
        <v>27</v>
      </c>
    </row>
    <row r="688" spans="1:4" x14ac:dyDescent="0.35">
      <c r="A688">
        <v>96143</v>
      </c>
      <c r="B688" s="2">
        <v>45324</v>
      </c>
      <c r="C688" s="3">
        <v>52816</v>
      </c>
      <c r="D688" t="s">
        <v>26</v>
      </c>
    </row>
    <row r="689" spans="1:4" x14ac:dyDescent="0.35">
      <c r="A689">
        <v>44116</v>
      </c>
      <c r="B689" s="2">
        <v>45343</v>
      </c>
      <c r="C689" s="3">
        <v>52731</v>
      </c>
      <c r="D689" t="s">
        <v>26</v>
      </c>
    </row>
    <row r="690" spans="1:4" x14ac:dyDescent="0.35">
      <c r="A690">
        <v>23734</v>
      </c>
      <c r="B690" s="2">
        <v>45305</v>
      </c>
      <c r="C690" s="3">
        <v>52653</v>
      </c>
      <c r="D690" t="s">
        <v>26</v>
      </c>
    </row>
    <row r="691" spans="1:4" x14ac:dyDescent="0.35">
      <c r="A691">
        <v>87174</v>
      </c>
      <c r="B691" s="2">
        <v>45321</v>
      </c>
      <c r="C691" s="3">
        <v>52649</v>
      </c>
      <c r="D691" t="s">
        <v>28</v>
      </c>
    </row>
    <row r="692" spans="1:4" x14ac:dyDescent="0.35">
      <c r="A692">
        <v>25333</v>
      </c>
      <c r="B692" s="2">
        <v>45309</v>
      </c>
      <c r="C692" s="3">
        <v>52625</v>
      </c>
      <c r="D692" t="s">
        <v>28</v>
      </c>
    </row>
    <row r="693" spans="1:4" x14ac:dyDescent="0.35">
      <c r="A693">
        <v>29163</v>
      </c>
      <c r="B693" s="2">
        <v>45329</v>
      </c>
      <c r="C693" s="3">
        <v>52595</v>
      </c>
      <c r="D693" t="s">
        <v>26</v>
      </c>
    </row>
    <row r="694" spans="1:4" x14ac:dyDescent="0.35">
      <c r="A694">
        <v>64896</v>
      </c>
      <c r="B694" s="2">
        <v>45329</v>
      </c>
      <c r="C694" s="3">
        <v>52548</v>
      </c>
      <c r="D694" t="s">
        <v>27</v>
      </c>
    </row>
    <row r="695" spans="1:4" x14ac:dyDescent="0.35">
      <c r="A695">
        <v>33906</v>
      </c>
      <c r="B695" s="2">
        <v>45334</v>
      </c>
      <c r="C695" s="3">
        <v>52548</v>
      </c>
      <c r="D695" t="s">
        <v>26</v>
      </c>
    </row>
    <row r="696" spans="1:4" x14ac:dyDescent="0.35">
      <c r="A696">
        <v>76655</v>
      </c>
      <c r="B696" s="2">
        <v>45337</v>
      </c>
      <c r="C696" s="3">
        <v>52520</v>
      </c>
      <c r="D696" t="s">
        <v>27</v>
      </c>
    </row>
    <row r="697" spans="1:4" x14ac:dyDescent="0.35">
      <c r="A697">
        <v>32452</v>
      </c>
      <c r="B697" s="2">
        <v>45345</v>
      </c>
      <c r="C697" s="3">
        <v>52354</v>
      </c>
      <c r="D697" t="s">
        <v>26</v>
      </c>
    </row>
    <row r="698" spans="1:4" x14ac:dyDescent="0.35">
      <c r="A698">
        <v>91551</v>
      </c>
      <c r="B698" s="2">
        <v>45348</v>
      </c>
      <c r="C698" s="3">
        <v>52287</v>
      </c>
      <c r="D698" t="s">
        <v>26</v>
      </c>
    </row>
    <row r="699" spans="1:4" x14ac:dyDescent="0.35">
      <c r="A699">
        <v>39561</v>
      </c>
      <c r="B699" s="2">
        <v>45304</v>
      </c>
      <c r="C699" s="3">
        <v>52268</v>
      </c>
      <c r="D699" t="s">
        <v>27</v>
      </c>
    </row>
    <row r="700" spans="1:4" x14ac:dyDescent="0.35">
      <c r="A700">
        <v>63560</v>
      </c>
      <c r="B700" s="2">
        <v>45330</v>
      </c>
      <c r="C700" s="3">
        <v>52224</v>
      </c>
      <c r="D700" t="s">
        <v>26</v>
      </c>
    </row>
    <row r="701" spans="1:4" x14ac:dyDescent="0.35">
      <c r="A701">
        <v>26908</v>
      </c>
      <c r="B701" s="2">
        <v>45305</v>
      </c>
      <c r="C701" s="3">
        <v>52147</v>
      </c>
      <c r="D701" t="s">
        <v>27</v>
      </c>
    </row>
    <row r="702" spans="1:4" x14ac:dyDescent="0.35">
      <c r="A702">
        <v>18323</v>
      </c>
      <c r="B702" s="2">
        <v>45301</v>
      </c>
      <c r="C702" s="3">
        <v>52133</v>
      </c>
      <c r="D702" t="s">
        <v>26</v>
      </c>
    </row>
    <row r="703" spans="1:4" x14ac:dyDescent="0.35">
      <c r="A703">
        <v>95189</v>
      </c>
      <c r="B703" s="2">
        <v>45344</v>
      </c>
      <c r="C703" s="3">
        <v>52114</v>
      </c>
      <c r="D703" t="s">
        <v>28</v>
      </c>
    </row>
    <row r="704" spans="1:4" x14ac:dyDescent="0.35">
      <c r="A704">
        <v>42659</v>
      </c>
      <c r="B704" s="2">
        <v>45336</v>
      </c>
      <c r="C704" s="3">
        <v>52032</v>
      </c>
      <c r="D704" t="s">
        <v>26</v>
      </c>
    </row>
    <row r="705" spans="1:4" x14ac:dyDescent="0.35">
      <c r="A705">
        <v>54397</v>
      </c>
      <c r="B705" s="2">
        <v>45353</v>
      </c>
      <c r="C705" s="3">
        <v>52031</v>
      </c>
      <c r="D705" t="s">
        <v>26</v>
      </c>
    </row>
    <row r="706" spans="1:4" x14ac:dyDescent="0.35">
      <c r="A706">
        <v>30096</v>
      </c>
      <c r="B706" s="2">
        <v>45337</v>
      </c>
      <c r="C706" s="3">
        <v>52029</v>
      </c>
      <c r="D706" t="s">
        <v>26</v>
      </c>
    </row>
    <row r="707" spans="1:4" x14ac:dyDescent="0.35">
      <c r="A707">
        <v>60467</v>
      </c>
      <c r="B707" s="2">
        <v>45350</v>
      </c>
      <c r="C707" s="3">
        <v>51895</v>
      </c>
      <c r="D707" t="s">
        <v>27</v>
      </c>
    </row>
    <row r="708" spans="1:4" x14ac:dyDescent="0.35">
      <c r="A708">
        <v>48773</v>
      </c>
      <c r="B708" s="2">
        <v>45347</v>
      </c>
      <c r="C708" s="3">
        <v>51830</v>
      </c>
      <c r="D708" t="s">
        <v>27</v>
      </c>
    </row>
    <row r="709" spans="1:4" x14ac:dyDescent="0.35">
      <c r="A709">
        <v>28686</v>
      </c>
      <c r="B709" s="2">
        <v>45304</v>
      </c>
      <c r="C709" s="3">
        <v>51699</v>
      </c>
      <c r="D709" t="s">
        <v>26</v>
      </c>
    </row>
    <row r="710" spans="1:4" x14ac:dyDescent="0.35">
      <c r="A710">
        <v>66648</v>
      </c>
      <c r="B710" s="2">
        <v>45344</v>
      </c>
      <c r="C710" s="3">
        <v>51509</v>
      </c>
      <c r="D710" t="s">
        <v>27</v>
      </c>
    </row>
    <row r="711" spans="1:4" x14ac:dyDescent="0.35">
      <c r="A711">
        <v>24441</v>
      </c>
      <c r="B711" s="2">
        <v>45336</v>
      </c>
      <c r="C711" s="3">
        <v>51498</v>
      </c>
      <c r="D711" t="s">
        <v>28</v>
      </c>
    </row>
    <row r="712" spans="1:4" x14ac:dyDescent="0.35">
      <c r="A712">
        <v>36727</v>
      </c>
      <c r="B712" s="2">
        <v>45340</v>
      </c>
      <c r="C712" s="3">
        <v>51423</v>
      </c>
      <c r="D712" t="s">
        <v>28</v>
      </c>
    </row>
    <row r="713" spans="1:4" x14ac:dyDescent="0.35">
      <c r="A713">
        <v>94117</v>
      </c>
      <c r="B713" s="2">
        <v>45296</v>
      </c>
      <c r="C713" s="3">
        <v>51372</v>
      </c>
      <c r="D713" t="s">
        <v>28</v>
      </c>
    </row>
    <row r="714" spans="1:4" x14ac:dyDescent="0.35">
      <c r="A714">
        <v>18534</v>
      </c>
      <c r="B714" s="2">
        <v>45345</v>
      </c>
      <c r="C714" s="3">
        <v>51252</v>
      </c>
      <c r="D714" t="s">
        <v>27</v>
      </c>
    </row>
    <row r="715" spans="1:4" x14ac:dyDescent="0.35">
      <c r="A715">
        <v>79626</v>
      </c>
      <c r="B715" s="2">
        <v>45354</v>
      </c>
      <c r="C715" s="3">
        <v>51121</v>
      </c>
      <c r="D715" t="s">
        <v>28</v>
      </c>
    </row>
    <row r="716" spans="1:4" x14ac:dyDescent="0.35">
      <c r="A716">
        <v>57989</v>
      </c>
      <c r="B716" s="2">
        <v>45294</v>
      </c>
      <c r="C716" s="3">
        <v>51095</v>
      </c>
      <c r="D716" t="s">
        <v>27</v>
      </c>
    </row>
    <row r="717" spans="1:4" x14ac:dyDescent="0.35">
      <c r="A717">
        <v>35702</v>
      </c>
      <c r="B717" s="2">
        <v>45340</v>
      </c>
      <c r="C717" s="3">
        <v>51018</v>
      </c>
      <c r="D717" t="s">
        <v>26</v>
      </c>
    </row>
    <row r="718" spans="1:4" x14ac:dyDescent="0.35">
      <c r="A718">
        <v>99462</v>
      </c>
      <c r="B718" s="2">
        <v>45344</v>
      </c>
      <c r="C718" s="3">
        <v>51007</v>
      </c>
      <c r="D718" t="s">
        <v>26</v>
      </c>
    </row>
    <row r="719" spans="1:4" x14ac:dyDescent="0.35">
      <c r="A719">
        <v>91207</v>
      </c>
      <c r="B719" s="2">
        <v>45335</v>
      </c>
      <c r="C719" s="3">
        <v>50967</v>
      </c>
      <c r="D719" t="s">
        <v>27</v>
      </c>
    </row>
    <row r="720" spans="1:4" x14ac:dyDescent="0.35">
      <c r="A720">
        <v>72038</v>
      </c>
      <c r="B720" s="2">
        <v>45312</v>
      </c>
      <c r="C720" s="3">
        <v>50906</v>
      </c>
      <c r="D720" t="s">
        <v>27</v>
      </c>
    </row>
    <row r="721" spans="1:4" x14ac:dyDescent="0.35">
      <c r="A721">
        <v>90519</v>
      </c>
      <c r="B721" s="2">
        <v>45336</v>
      </c>
      <c r="C721" s="3">
        <v>50600</v>
      </c>
      <c r="D721" t="s">
        <v>28</v>
      </c>
    </row>
    <row r="722" spans="1:4" x14ac:dyDescent="0.35">
      <c r="A722">
        <v>40251</v>
      </c>
      <c r="B722" s="2">
        <v>45352</v>
      </c>
      <c r="C722" s="3">
        <v>50512</v>
      </c>
      <c r="D722" t="s">
        <v>28</v>
      </c>
    </row>
    <row r="723" spans="1:4" x14ac:dyDescent="0.35">
      <c r="A723">
        <v>90534</v>
      </c>
      <c r="B723" s="2">
        <v>45330</v>
      </c>
      <c r="C723" s="3">
        <v>50413</v>
      </c>
      <c r="D723" t="s">
        <v>28</v>
      </c>
    </row>
    <row r="724" spans="1:4" x14ac:dyDescent="0.35">
      <c r="A724">
        <v>15263</v>
      </c>
      <c r="B724" s="2">
        <v>45341</v>
      </c>
      <c r="C724" s="3">
        <v>50340</v>
      </c>
      <c r="D724" t="s">
        <v>27</v>
      </c>
    </row>
    <row r="725" spans="1:4" x14ac:dyDescent="0.35">
      <c r="A725">
        <v>77398</v>
      </c>
      <c r="B725" s="2">
        <v>45318</v>
      </c>
      <c r="C725" s="3">
        <v>50310</v>
      </c>
      <c r="D725" t="s">
        <v>26</v>
      </c>
    </row>
    <row r="726" spans="1:4" x14ac:dyDescent="0.35">
      <c r="A726">
        <v>95083</v>
      </c>
      <c r="B726" s="2">
        <v>45317</v>
      </c>
      <c r="C726" s="3">
        <v>50238</v>
      </c>
      <c r="D726" t="s">
        <v>27</v>
      </c>
    </row>
    <row r="727" spans="1:4" x14ac:dyDescent="0.35">
      <c r="A727">
        <v>40425</v>
      </c>
      <c r="B727" s="2">
        <v>45300</v>
      </c>
      <c r="C727" s="3">
        <v>50218</v>
      </c>
      <c r="D727" t="s">
        <v>26</v>
      </c>
    </row>
    <row r="728" spans="1:4" x14ac:dyDescent="0.35">
      <c r="A728">
        <v>32515</v>
      </c>
      <c r="B728" s="2">
        <v>45325</v>
      </c>
      <c r="C728" s="3">
        <v>50088</v>
      </c>
      <c r="D728" t="s">
        <v>28</v>
      </c>
    </row>
    <row r="729" spans="1:4" x14ac:dyDescent="0.35">
      <c r="A729">
        <v>30611</v>
      </c>
      <c r="B729" s="2">
        <v>45306</v>
      </c>
      <c r="C729" s="3">
        <v>50001</v>
      </c>
      <c r="D729" t="s">
        <v>28</v>
      </c>
    </row>
    <row r="730" spans="1:4" x14ac:dyDescent="0.35">
      <c r="A730">
        <v>51885</v>
      </c>
      <c r="B730" s="2">
        <v>45352</v>
      </c>
      <c r="C730" s="3">
        <v>49957</v>
      </c>
      <c r="D730" t="s">
        <v>26</v>
      </c>
    </row>
    <row r="731" spans="1:4" x14ac:dyDescent="0.35">
      <c r="A731">
        <v>17472</v>
      </c>
      <c r="B731" s="2">
        <v>45349</v>
      </c>
      <c r="C731" s="3">
        <v>49948</v>
      </c>
      <c r="D731" t="s">
        <v>27</v>
      </c>
    </row>
    <row r="732" spans="1:4" x14ac:dyDescent="0.35">
      <c r="A732">
        <v>11591</v>
      </c>
      <c r="B732" s="2">
        <v>45328</v>
      </c>
      <c r="C732" s="3">
        <v>49942</v>
      </c>
      <c r="D732" t="s">
        <v>27</v>
      </c>
    </row>
    <row r="733" spans="1:4" x14ac:dyDescent="0.35">
      <c r="A733">
        <v>30146</v>
      </c>
      <c r="B733" s="2">
        <v>45293</v>
      </c>
      <c r="C733" s="3">
        <v>49887</v>
      </c>
      <c r="D733" t="s">
        <v>26</v>
      </c>
    </row>
    <row r="734" spans="1:4" x14ac:dyDescent="0.35">
      <c r="A734">
        <v>58936</v>
      </c>
      <c r="B734" s="2">
        <v>45320</v>
      </c>
      <c r="C734" s="3">
        <v>49873</v>
      </c>
      <c r="D734" t="s">
        <v>26</v>
      </c>
    </row>
    <row r="735" spans="1:4" x14ac:dyDescent="0.35">
      <c r="A735">
        <v>98955</v>
      </c>
      <c r="B735" s="2">
        <v>45352</v>
      </c>
      <c r="C735" s="3">
        <v>49783</v>
      </c>
      <c r="D735" t="s">
        <v>28</v>
      </c>
    </row>
    <row r="736" spans="1:4" x14ac:dyDescent="0.35">
      <c r="A736">
        <v>79742</v>
      </c>
      <c r="B736" s="2">
        <v>45351</v>
      </c>
      <c r="C736" s="3">
        <v>49770</v>
      </c>
      <c r="D736" t="s">
        <v>28</v>
      </c>
    </row>
    <row r="737" spans="1:4" x14ac:dyDescent="0.35">
      <c r="A737">
        <v>11884</v>
      </c>
      <c r="B737" s="2">
        <v>45304</v>
      </c>
      <c r="C737" s="3">
        <v>49745</v>
      </c>
      <c r="D737" t="s">
        <v>27</v>
      </c>
    </row>
    <row r="738" spans="1:4" x14ac:dyDescent="0.35">
      <c r="A738">
        <v>18040</v>
      </c>
      <c r="B738" s="2">
        <v>45298</v>
      </c>
      <c r="C738" s="3">
        <v>49744</v>
      </c>
      <c r="D738" t="s">
        <v>27</v>
      </c>
    </row>
    <row r="739" spans="1:4" x14ac:dyDescent="0.35">
      <c r="A739">
        <v>84257</v>
      </c>
      <c r="B739" s="2">
        <v>45332</v>
      </c>
      <c r="C739" s="3">
        <v>49694</v>
      </c>
      <c r="D739" t="s">
        <v>28</v>
      </c>
    </row>
    <row r="740" spans="1:4" x14ac:dyDescent="0.35">
      <c r="A740">
        <v>41793</v>
      </c>
      <c r="B740" s="2">
        <v>45304</v>
      </c>
      <c r="C740" s="3">
        <v>49552</v>
      </c>
      <c r="D740" t="s">
        <v>26</v>
      </c>
    </row>
    <row r="741" spans="1:4" x14ac:dyDescent="0.35">
      <c r="A741">
        <v>34739</v>
      </c>
      <c r="B741" s="2">
        <v>45312</v>
      </c>
      <c r="C741" s="3">
        <v>49402</v>
      </c>
      <c r="D741" t="s">
        <v>27</v>
      </c>
    </row>
    <row r="742" spans="1:4" x14ac:dyDescent="0.35">
      <c r="A742">
        <v>96161</v>
      </c>
      <c r="B742" s="2">
        <v>45304</v>
      </c>
      <c r="C742" s="3">
        <v>49379</v>
      </c>
      <c r="D742" t="s">
        <v>28</v>
      </c>
    </row>
    <row r="743" spans="1:4" x14ac:dyDescent="0.35">
      <c r="A743">
        <v>25376</v>
      </c>
      <c r="B743" s="2">
        <v>45342</v>
      </c>
      <c r="C743" s="3">
        <v>49351</v>
      </c>
      <c r="D743" t="s">
        <v>28</v>
      </c>
    </row>
    <row r="744" spans="1:4" x14ac:dyDescent="0.35">
      <c r="A744">
        <v>62342</v>
      </c>
      <c r="B744" s="2">
        <v>45327</v>
      </c>
      <c r="C744" s="3">
        <v>49312</v>
      </c>
      <c r="D744" t="s">
        <v>27</v>
      </c>
    </row>
    <row r="745" spans="1:4" x14ac:dyDescent="0.35">
      <c r="A745">
        <v>27420</v>
      </c>
      <c r="B745" s="2">
        <v>45302</v>
      </c>
      <c r="C745" s="3">
        <v>49202</v>
      </c>
      <c r="D745" t="s">
        <v>28</v>
      </c>
    </row>
    <row r="746" spans="1:4" x14ac:dyDescent="0.35">
      <c r="A746">
        <v>69418</v>
      </c>
      <c r="B746" s="2">
        <v>45315</v>
      </c>
      <c r="C746" s="3">
        <v>48943</v>
      </c>
      <c r="D746" t="s">
        <v>28</v>
      </c>
    </row>
    <row r="747" spans="1:4" x14ac:dyDescent="0.35">
      <c r="A747">
        <v>70487</v>
      </c>
      <c r="B747" s="2">
        <v>45336</v>
      </c>
      <c r="C747" s="3">
        <v>48779</v>
      </c>
      <c r="D747" t="s">
        <v>26</v>
      </c>
    </row>
    <row r="748" spans="1:4" x14ac:dyDescent="0.35">
      <c r="A748">
        <v>80206</v>
      </c>
      <c r="B748" s="2">
        <v>45327</v>
      </c>
      <c r="C748" s="3">
        <v>48682</v>
      </c>
      <c r="D748" t="s">
        <v>26</v>
      </c>
    </row>
    <row r="749" spans="1:4" x14ac:dyDescent="0.35">
      <c r="A749">
        <v>80526</v>
      </c>
      <c r="B749" s="2">
        <v>45301</v>
      </c>
      <c r="C749" s="3">
        <v>48653</v>
      </c>
      <c r="D749" t="s">
        <v>28</v>
      </c>
    </row>
    <row r="750" spans="1:4" x14ac:dyDescent="0.35">
      <c r="A750">
        <v>91397</v>
      </c>
      <c r="B750" s="2">
        <v>45351</v>
      </c>
      <c r="C750" s="3">
        <v>48640</v>
      </c>
      <c r="D750" t="s">
        <v>26</v>
      </c>
    </row>
    <row r="751" spans="1:4" x14ac:dyDescent="0.35">
      <c r="A751">
        <v>93043</v>
      </c>
      <c r="B751" s="2">
        <v>45319</v>
      </c>
      <c r="C751" s="3">
        <v>48618</v>
      </c>
      <c r="D751" t="s">
        <v>28</v>
      </c>
    </row>
    <row r="752" spans="1:4" x14ac:dyDescent="0.35">
      <c r="A752">
        <v>32713</v>
      </c>
      <c r="B752" s="2">
        <v>45340</v>
      </c>
      <c r="C752" s="3">
        <v>48571</v>
      </c>
      <c r="D752" t="s">
        <v>28</v>
      </c>
    </row>
    <row r="753" spans="1:4" x14ac:dyDescent="0.35">
      <c r="A753">
        <v>35101</v>
      </c>
      <c r="B753" s="2">
        <v>45330</v>
      </c>
      <c r="C753" s="3">
        <v>48565</v>
      </c>
      <c r="D753" t="s">
        <v>26</v>
      </c>
    </row>
    <row r="754" spans="1:4" x14ac:dyDescent="0.35">
      <c r="A754">
        <v>77997</v>
      </c>
      <c r="B754" s="2">
        <v>45342</v>
      </c>
      <c r="C754" s="3">
        <v>48516</v>
      </c>
      <c r="D754" t="s">
        <v>26</v>
      </c>
    </row>
    <row r="755" spans="1:4" x14ac:dyDescent="0.35">
      <c r="A755">
        <v>54901</v>
      </c>
      <c r="B755" s="2">
        <v>45343</v>
      </c>
      <c r="C755" s="3">
        <v>48515</v>
      </c>
      <c r="D755" t="s">
        <v>27</v>
      </c>
    </row>
    <row r="756" spans="1:4" x14ac:dyDescent="0.35">
      <c r="A756">
        <v>10232</v>
      </c>
      <c r="B756" s="2">
        <v>45314</v>
      </c>
      <c r="C756" s="3">
        <v>48480</v>
      </c>
      <c r="D756" t="s">
        <v>28</v>
      </c>
    </row>
    <row r="757" spans="1:4" x14ac:dyDescent="0.35">
      <c r="A757">
        <v>77572</v>
      </c>
      <c r="B757" s="2">
        <v>45312</v>
      </c>
      <c r="C757" s="3">
        <v>48357</v>
      </c>
      <c r="D757" t="s">
        <v>26</v>
      </c>
    </row>
    <row r="758" spans="1:4" x14ac:dyDescent="0.35">
      <c r="A758">
        <v>90599</v>
      </c>
      <c r="B758" s="2">
        <v>45308</v>
      </c>
      <c r="C758" s="3">
        <v>48353</v>
      </c>
      <c r="D758" t="s">
        <v>27</v>
      </c>
    </row>
    <row r="759" spans="1:4" x14ac:dyDescent="0.35">
      <c r="A759">
        <v>82965</v>
      </c>
      <c r="B759" s="2">
        <v>45317</v>
      </c>
      <c r="C759" s="3">
        <v>48184</v>
      </c>
      <c r="D759" t="s">
        <v>27</v>
      </c>
    </row>
    <row r="760" spans="1:4" x14ac:dyDescent="0.35">
      <c r="A760">
        <v>95062</v>
      </c>
      <c r="B760" s="2">
        <v>45315</v>
      </c>
      <c r="C760" s="3">
        <v>47768</v>
      </c>
      <c r="D760" t="s">
        <v>26</v>
      </c>
    </row>
    <row r="761" spans="1:4" x14ac:dyDescent="0.35">
      <c r="A761">
        <v>18285</v>
      </c>
      <c r="B761" s="2">
        <v>45343</v>
      </c>
      <c r="C761" s="3">
        <v>47734</v>
      </c>
      <c r="D761" t="s">
        <v>28</v>
      </c>
    </row>
    <row r="762" spans="1:4" x14ac:dyDescent="0.35">
      <c r="A762">
        <v>95842</v>
      </c>
      <c r="B762" s="2">
        <v>45296</v>
      </c>
      <c r="C762" s="3">
        <v>47720</v>
      </c>
      <c r="D762" t="s">
        <v>27</v>
      </c>
    </row>
    <row r="763" spans="1:4" x14ac:dyDescent="0.35">
      <c r="A763">
        <v>56999</v>
      </c>
      <c r="B763" s="2">
        <v>45343</v>
      </c>
      <c r="C763" s="3">
        <v>47617</v>
      </c>
      <c r="D763" t="s">
        <v>28</v>
      </c>
    </row>
    <row r="764" spans="1:4" x14ac:dyDescent="0.35">
      <c r="A764">
        <v>29829</v>
      </c>
      <c r="B764" s="2">
        <v>45298</v>
      </c>
      <c r="C764" s="3">
        <v>47583</v>
      </c>
      <c r="D764" t="s">
        <v>26</v>
      </c>
    </row>
    <row r="765" spans="1:4" x14ac:dyDescent="0.35">
      <c r="A765">
        <v>69296</v>
      </c>
      <c r="B765" s="2">
        <v>45336</v>
      </c>
      <c r="C765" s="3">
        <v>47562</v>
      </c>
      <c r="D765" t="s">
        <v>26</v>
      </c>
    </row>
    <row r="766" spans="1:4" x14ac:dyDescent="0.35">
      <c r="A766">
        <v>28395</v>
      </c>
      <c r="B766" s="2">
        <v>45333</v>
      </c>
      <c r="C766" s="3">
        <v>47539</v>
      </c>
      <c r="D766" t="s">
        <v>27</v>
      </c>
    </row>
    <row r="767" spans="1:4" x14ac:dyDescent="0.35">
      <c r="A767">
        <v>79459</v>
      </c>
      <c r="B767" s="2">
        <v>45346</v>
      </c>
      <c r="C767" s="3">
        <v>47428</v>
      </c>
      <c r="D767" t="s">
        <v>27</v>
      </c>
    </row>
    <row r="768" spans="1:4" x14ac:dyDescent="0.35">
      <c r="A768">
        <v>15523</v>
      </c>
      <c r="B768" s="2">
        <v>45323</v>
      </c>
      <c r="C768" s="3">
        <v>47392</v>
      </c>
      <c r="D768" t="s">
        <v>27</v>
      </c>
    </row>
    <row r="769" spans="1:4" x14ac:dyDescent="0.35">
      <c r="A769">
        <v>47288</v>
      </c>
      <c r="B769" s="2">
        <v>45326</v>
      </c>
      <c r="C769" s="3">
        <v>47343</v>
      </c>
      <c r="D769" t="s">
        <v>27</v>
      </c>
    </row>
    <row r="770" spans="1:4" x14ac:dyDescent="0.35">
      <c r="A770">
        <v>83397</v>
      </c>
      <c r="B770" s="2">
        <v>45347</v>
      </c>
      <c r="C770" s="3">
        <v>47307</v>
      </c>
      <c r="D770" t="s">
        <v>27</v>
      </c>
    </row>
    <row r="771" spans="1:4" x14ac:dyDescent="0.35">
      <c r="A771">
        <v>18965</v>
      </c>
      <c r="B771" s="2">
        <v>45347</v>
      </c>
      <c r="C771" s="3">
        <v>47231</v>
      </c>
      <c r="D771" t="s">
        <v>28</v>
      </c>
    </row>
    <row r="772" spans="1:4" x14ac:dyDescent="0.35">
      <c r="A772">
        <v>56407</v>
      </c>
      <c r="B772" s="2">
        <v>45304</v>
      </c>
      <c r="C772" s="3">
        <v>47177</v>
      </c>
      <c r="D772" t="s">
        <v>28</v>
      </c>
    </row>
    <row r="773" spans="1:4" x14ac:dyDescent="0.35">
      <c r="A773">
        <v>26007</v>
      </c>
      <c r="B773" s="2">
        <v>45321</v>
      </c>
      <c r="C773" s="3">
        <v>47146</v>
      </c>
      <c r="D773" t="s">
        <v>26</v>
      </c>
    </row>
    <row r="774" spans="1:4" x14ac:dyDescent="0.35">
      <c r="A774">
        <v>96890</v>
      </c>
      <c r="B774" s="2">
        <v>45309</v>
      </c>
      <c r="C774" s="3">
        <v>47121</v>
      </c>
      <c r="D774" t="s">
        <v>26</v>
      </c>
    </row>
    <row r="775" spans="1:4" x14ac:dyDescent="0.35">
      <c r="A775">
        <v>56643</v>
      </c>
      <c r="B775" s="2">
        <v>45296</v>
      </c>
      <c r="C775" s="3">
        <v>47089</v>
      </c>
      <c r="D775" t="s">
        <v>27</v>
      </c>
    </row>
    <row r="776" spans="1:4" x14ac:dyDescent="0.35">
      <c r="A776">
        <v>19674</v>
      </c>
      <c r="B776" s="2">
        <v>45339</v>
      </c>
      <c r="C776" s="3">
        <v>47028</v>
      </c>
      <c r="D776" t="s">
        <v>27</v>
      </c>
    </row>
    <row r="777" spans="1:4" x14ac:dyDescent="0.35">
      <c r="A777">
        <v>82343</v>
      </c>
      <c r="B777" s="2">
        <v>45342</v>
      </c>
      <c r="C777" s="3">
        <v>46949</v>
      </c>
      <c r="D777" t="s">
        <v>27</v>
      </c>
    </row>
    <row r="778" spans="1:4" x14ac:dyDescent="0.35">
      <c r="A778">
        <v>16134</v>
      </c>
      <c r="B778" s="2">
        <v>45315</v>
      </c>
      <c r="C778" s="3">
        <v>46923</v>
      </c>
      <c r="D778" t="s">
        <v>26</v>
      </c>
    </row>
    <row r="779" spans="1:4" x14ac:dyDescent="0.35">
      <c r="A779">
        <v>91263</v>
      </c>
      <c r="B779" s="2">
        <v>45349</v>
      </c>
      <c r="C779" s="3">
        <v>46879</v>
      </c>
      <c r="D779" t="s">
        <v>26</v>
      </c>
    </row>
    <row r="780" spans="1:4" x14ac:dyDescent="0.35">
      <c r="A780">
        <v>52456</v>
      </c>
      <c r="B780" s="2">
        <v>45335</v>
      </c>
      <c r="C780" s="3">
        <v>46781</v>
      </c>
      <c r="D780" t="s">
        <v>26</v>
      </c>
    </row>
    <row r="781" spans="1:4" x14ac:dyDescent="0.35">
      <c r="A781">
        <v>41939</v>
      </c>
      <c r="B781" s="2">
        <v>45319</v>
      </c>
      <c r="C781" s="3">
        <v>46731</v>
      </c>
      <c r="D781" t="s">
        <v>28</v>
      </c>
    </row>
    <row r="782" spans="1:4" x14ac:dyDescent="0.35">
      <c r="A782">
        <v>88421</v>
      </c>
      <c r="B782" s="2">
        <v>45299</v>
      </c>
      <c r="C782" s="3">
        <v>46699</v>
      </c>
      <c r="D782" t="s">
        <v>27</v>
      </c>
    </row>
    <row r="783" spans="1:4" x14ac:dyDescent="0.35">
      <c r="A783">
        <v>84033</v>
      </c>
      <c r="B783" s="2">
        <v>45302</v>
      </c>
      <c r="C783" s="3">
        <v>46540</v>
      </c>
      <c r="D783" t="s">
        <v>26</v>
      </c>
    </row>
    <row r="784" spans="1:4" x14ac:dyDescent="0.35">
      <c r="A784">
        <v>97080</v>
      </c>
      <c r="B784" s="2">
        <v>45318</v>
      </c>
      <c r="C784" s="3">
        <v>46535</v>
      </c>
      <c r="D784" t="s">
        <v>26</v>
      </c>
    </row>
    <row r="785" spans="1:4" x14ac:dyDescent="0.35">
      <c r="A785">
        <v>94118</v>
      </c>
      <c r="B785" s="2">
        <v>45311</v>
      </c>
      <c r="C785" s="3">
        <v>46524</v>
      </c>
      <c r="D785" t="s">
        <v>26</v>
      </c>
    </row>
    <row r="786" spans="1:4" x14ac:dyDescent="0.35">
      <c r="A786">
        <v>65546</v>
      </c>
      <c r="B786" s="2">
        <v>45342</v>
      </c>
      <c r="C786" s="3">
        <v>46504</v>
      </c>
      <c r="D786" t="s">
        <v>27</v>
      </c>
    </row>
    <row r="787" spans="1:4" x14ac:dyDescent="0.35">
      <c r="A787">
        <v>54219</v>
      </c>
      <c r="B787" s="2">
        <v>45315</v>
      </c>
      <c r="C787" s="3">
        <v>46501</v>
      </c>
      <c r="D787" t="s">
        <v>26</v>
      </c>
    </row>
    <row r="788" spans="1:4" x14ac:dyDescent="0.35">
      <c r="A788">
        <v>96624</v>
      </c>
      <c r="B788" s="2">
        <v>45320</v>
      </c>
      <c r="C788" s="3">
        <v>46441</v>
      </c>
      <c r="D788" t="s">
        <v>28</v>
      </c>
    </row>
    <row r="789" spans="1:4" x14ac:dyDescent="0.35">
      <c r="A789">
        <v>55603</v>
      </c>
      <c r="B789" s="2">
        <v>45313</v>
      </c>
      <c r="C789" s="3">
        <v>46405</v>
      </c>
      <c r="D789" t="s">
        <v>27</v>
      </c>
    </row>
    <row r="790" spans="1:4" x14ac:dyDescent="0.35">
      <c r="A790">
        <v>52653</v>
      </c>
      <c r="B790" s="2">
        <v>45339</v>
      </c>
      <c r="C790" s="3">
        <v>46400</v>
      </c>
      <c r="D790" t="s">
        <v>27</v>
      </c>
    </row>
    <row r="791" spans="1:4" x14ac:dyDescent="0.35">
      <c r="A791">
        <v>50316</v>
      </c>
      <c r="B791" s="2">
        <v>45346</v>
      </c>
      <c r="C791" s="3">
        <v>46273</v>
      </c>
      <c r="D791" t="s">
        <v>28</v>
      </c>
    </row>
    <row r="792" spans="1:4" x14ac:dyDescent="0.35">
      <c r="A792">
        <v>54142</v>
      </c>
      <c r="B792" s="2">
        <v>45305</v>
      </c>
      <c r="C792" s="3">
        <v>46249</v>
      </c>
      <c r="D792" t="s">
        <v>27</v>
      </c>
    </row>
    <row r="793" spans="1:4" x14ac:dyDescent="0.35">
      <c r="A793">
        <v>23048</v>
      </c>
      <c r="B793" s="2">
        <v>45300</v>
      </c>
      <c r="C793" s="3">
        <v>46244</v>
      </c>
      <c r="D793" t="s">
        <v>26</v>
      </c>
    </row>
    <row r="794" spans="1:4" x14ac:dyDescent="0.35">
      <c r="A794">
        <v>20066</v>
      </c>
      <c r="B794" s="2">
        <v>45345</v>
      </c>
      <c r="C794" s="3">
        <v>46149</v>
      </c>
      <c r="D794" t="s">
        <v>28</v>
      </c>
    </row>
    <row r="795" spans="1:4" x14ac:dyDescent="0.35">
      <c r="A795">
        <v>51939</v>
      </c>
      <c r="B795" s="2">
        <v>45306</v>
      </c>
      <c r="C795" s="3">
        <v>46126</v>
      </c>
      <c r="D795" t="s">
        <v>28</v>
      </c>
    </row>
    <row r="796" spans="1:4" x14ac:dyDescent="0.35">
      <c r="A796">
        <v>57966</v>
      </c>
      <c r="B796" s="2">
        <v>45337</v>
      </c>
      <c r="C796" s="3">
        <v>46025</v>
      </c>
      <c r="D796" t="s">
        <v>27</v>
      </c>
    </row>
    <row r="797" spans="1:4" x14ac:dyDescent="0.35">
      <c r="A797">
        <v>70905</v>
      </c>
      <c r="B797" s="2">
        <v>45314</v>
      </c>
      <c r="C797" s="3">
        <v>45985</v>
      </c>
      <c r="D797" t="s">
        <v>28</v>
      </c>
    </row>
    <row r="798" spans="1:4" x14ac:dyDescent="0.35">
      <c r="A798">
        <v>57410</v>
      </c>
      <c r="B798" s="2">
        <v>45320</v>
      </c>
      <c r="C798" s="3">
        <v>45978</v>
      </c>
      <c r="D798" t="s">
        <v>26</v>
      </c>
    </row>
    <row r="799" spans="1:4" x14ac:dyDescent="0.35">
      <c r="A799">
        <v>30491</v>
      </c>
      <c r="B799" s="2">
        <v>45315</v>
      </c>
      <c r="C799" s="3">
        <v>45859</v>
      </c>
      <c r="D799" t="s">
        <v>28</v>
      </c>
    </row>
    <row r="800" spans="1:4" x14ac:dyDescent="0.35">
      <c r="A800">
        <v>78740</v>
      </c>
      <c r="B800" s="2">
        <v>45292</v>
      </c>
      <c r="C800" s="3">
        <v>45842</v>
      </c>
      <c r="D800" t="s">
        <v>26</v>
      </c>
    </row>
    <row r="801" spans="1:4" x14ac:dyDescent="0.35">
      <c r="A801">
        <v>99463</v>
      </c>
      <c r="B801" s="2">
        <v>45316</v>
      </c>
      <c r="C801" s="3">
        <v>45831</v>
      </c>
      <c r="D801" t="s">
        <v>28</v>
      </c>
    </row>
    <row r="802" spans="1:4" x14ac:dyDescent="0.35">
      <c r="A802">
        <v>89406</v>
      </c>
      <c r="B802" s="2">
        <v>45345</v>
      </c>
      <c r="C802" s="3">
        <v>45714</v>
      </c>
      <c r="D802" t="s">
        <v>26</v>
      </c>
    </row>
    <row r="803" spans="1:4" x14ac:dyDescent="0.35">
      <c r="A803">
        <v>18340</v>
      </c>
      <c r="B803" s="2">
        <v>45332</v>
      </c>
      <c r="C803" s="3">
        <v>45608</v>
      </c>
      <c r="D803" t="s">
        <v>28</v>
      </c>
    </row>
    <row r="804" spans="1:4" x14ac:dyDescent="0.35">
      <c r="A804">
        <v>70609</v>
      </c>
      <c r="B804" s="2">
        <v>45348</v>
      </c>
      <c r="C804" s="3">
        <v>45578</v>
      </c>
      <c r="D804" t="s">
        <v>26</v>
      </c>
    </row>
    <row r="805" spans="1:4" x14ac:dyDescent="0.35">
      <c r="A805">
        <v>53416</v>
      </c>
      <c r="B805" s="2">
        <v>45295</v>
      </c>
      <c r="C805" s="3">
        <v>45505</v>
      </c>
      <c r="D805" t="s">
        <v>28</v>
      </c>
    </row>
    <row r="806" spans="1:4" x14ac:dyDescent="0.35">
      <c r="A806">
        <v>81716</v>
      </c>
      <c r="B806" s="2">
        <v>45331</v>
      </c>
      <c r="C806" s="3">
        <v>45402</v>
      </c>
      <c r="D806" t="s">
        <v>28</v>
      </c>
    </row>
    <row r="807" spans="1:4" x14ac:dyDescent="0.35">
      <c r="A807">
        <v>13816</v>
      </c>
      <c r="B807" s="2">
        <v>45313</v>
      </c>
      <c r="C807" s="3">
        <v>45398</v>
      </c>
      <c r="D807" t="s">
        <v>27</v>
      </c>
    </row>
    <row r="808" spans="1:4" x14ac:dyDescent="0.35">
      <c r="A808">
        <v>65918</v>
      </c>
      <c r="B808" s="2">
        <v>45348</v>
      </c>
      <c r="C808" s="3">
        <v>45373</v>
      </c>
      <c r="D808" t="s">
        <v>28</v>
      </c>
    </row>
    <row r="809" spans="1:4" x14ac:dyDescent="0.35">
      <c r="A809">
        <v>11457</v>
      </c>
      <c r="B809" s="2">
        <v>45351</v>
      </c>
      <c r="C809" s="3">
        <v>45343</v>
      </c>
      <c r="D809" t="s">
        <v>28</v>
      </c>
    </row>
    <row r="810" spans="1:4" x14ac:dyDescent="0.35">
      <c r="A810">
        <v>56680</v>
      </c>
      <c r="B810" s="2">
        <v>45294</v>
      </c>
      <c r="C810" s="3">
        <v>45257</v>
      </c>
      <c r="D810" t="s">
        <v>28</v>
      </c>
    </row>
    <row r="811" spans="1:4" x14ac:dyDescent="0.35">
      <c r="A811">
        <v>39744</v>
      </c>
      <c r="B811" s="2">
        <v>45295</v>
      </c>
      <c r="C811" s="3">
        <v>45183</v>
      </c>
      <c r="D811" t="s">
        <v>26</v>
      </c>
    </row>
    <row r="812" spans="1:4" x14ac:dyDescent="0.35">
      <c r="A812">
        <v>48801</v>
      </c>
      <c r="B812" s="2">
        <v>45352</v>
      </c>
      <c r="C812" s="3">
        <v>45137</v>
      </c>
      <c r="D812" t="s">
        <v>28</v>
      </c>
    </row>
    <row r="813" spans="1:4" x14ac:dyDescent="0.35">
      <c r="A813">
        <v>65911</v>
      </c>
      <c r="B813" s="2">
        <v>45337</v>
      </c>
      <c r="C813" s="3">
        <v>45115</v>
      </c>
      <c r="D813" t="s">
        <v>28</v>
      </c>
    </row>
    <row r="814" spans="1:4" x14ac:dyDescent="0.35">
      <c r="A814">
        <v>10080</v>
      </c>
      <c r="B814" s="2">
        <v>45313</v>
      </c>
      <c r="C814" s="3">
        <v>45006</v>
      </c>
      <c r="D814" t="s">
        <v>28</v>
      </c>
    </row>
    <row r="815" spans="1:4" x14ac:dyDescent="0.35">
      <c r="A815">
        <v>92680</v>
      </c>
      <c r="B815" s="2">
        <v>45304</v>
      </c>
      <c r="C815" s="3">
        <v>44811</v>
      </c>
      <c r="D815" t="s">
        <v>27</v>
      </c>
    </row>
    <row r="816" spans="1:4" x14ac:dyDescent="0.35">
      <c r="A816">
        <v>11591</v>
      </c>
      <c r="B816" s="2">
        <v>45310</v>
      </c>
      <c r="C816" s="3">
        <v>44805</v>
      </c>
      <c r="D816" t="s">
        <v>27</v>
      </c>
    </row>
    <row r="817" spans="1:4" x14ac:dyDescent="0.35">
      <c r="A817">
        <v>67704</v>
      </c>
      <c r="B817" s="2">
        <v>45351</v>
      </c>
      <c r="C817" s="3">
        <v>44774</v>
      </c>
      <c r="D817" t="s">
        <v>28</v>
      </c>
    </row>
    <row r="818" spans="1:4" x14ac:dyDescent="0.35">
      <c r="A818">
        <v>15872</v>
      </c>
      <c r="B818" s="2">
        <v>45297</v>
      </c>
      <c r="C818" s="3">
        <v>44746</v>
      </c>
      <c r="D818" t="s">
        <v>26</v>
      </c>
    </row>
    <row r="819" spans="1:4" x14ac:dyDescent="0.35">
      <c r="A819">
        <v>24573</v>
      </c>
      <c r="B819" s="2">
        <v>45314</v>
      </c>
      <c r="C819" s="3">
        <v>44530</v>
      </c>
      <c r="D819" t="s">
        <v>28</v>
      </c>
    </row>
    <row r="820" spans="1:4" x14ac:dyDescent="0.35">
      <c r="A820">
        <v>31121</v>
      </c>
      <c r="B820" s="2">
        <v>45300</v>
      </c>
      <c r="C820" s="3">
        <v>44512</v>
      </c>
      <c r="D820" t="s">
        <v>26</v>
      </c>
    </row>
    <row r="821" spans="1:4" x14ac:dyDescent="0.35">
      <c r="A821">
        <v>55965</v>
      </c>
      <c r="B821" s="2">
        <v>45311</v>
      </c>
      <c r="C821" s="3">
        <v>44234</v>
      </c>
      <c r="D821" t="s">
        <v>28</v>
      </c>
    </row>
    <row r="822" spans="1:4" x14ac:dyDescent="0.35">
      <c r="A822">
        <v>49596</v>
      </c>
      <c r="B822" s="2">
        <v>45324</v>
      </c>
      <c r="C822" s="3">
        <v>44229</v>
      </c>
      <c r="D822" t="s">
        <v>27</v>
      </c>
    </row>
    <row r="823" spans="1:4" x14ac:dyDescent="0.35">
      <c r="A823">
        <v>26659</v>
      </c>
      <c r="B823" s="2">
        <v>45324</v>
      </c>
      <c r="C823" s="3">
        <v>44215</v>
      </c>
      <c r="D823" t="s">
        <v>26</v>
      </c>
    </row>
    <row r="824" spans="1:4" x14ac:dyDescent="0.35">
      <c r="A824">
        <v>29194</v>
      </c>
      <c r="B824" s="2">
        <v>45292</v>
      </c>
      <c r="C824" s="3">
        <v>44178</v>
      </c>
      <c r="D824" t="s">
        <v>28</v>
      </c>
    </row>
    <row r="825" spans="1:4" x14ac:dyDescent="0.35">
      <c r="A825">
        <v>77880</v>
      </c>
      <c r="B825" s="2">
        <v>45332</v>
      </c>
      <c r="C825" s="3">
        <v>44148</v>
      </c>
      <c r="D825" t="s">
        <v>27</v>
      </c>
    </row>
    <row r="826" spans="1:4" x14ac:dyDescent="0.35">
      <c r="A826">
        <v>94418</v>
      </c>
      <c r="B826" s="2">
        <v>45293</v>
      </c>
      <c r="C826" s="3">
        <v>44113</v>
      </c>
      <c r="D826" t="s">
        <v>28</v>
      </c>
    </row>
    <row r="827" spans="1:4" x14ac:dyDescent="0.35">
      <c r="A827">
        <v>48819</v>
      </c>
      <c r="B827" s="2">
        <v>45302</v>
      </c>
      <c r="C827" s="3">
        <v>44027</v>
      </c>
      <c r="D827" t="s">
        <v>27</v>
      </c>
    </row>
    <row r="828" spans="1:4" x14ac:dyDescent="0.35">
      <c r="A828">
        <v>47837</v>
      </c>
      <c r="B828" s="2">
        <v>45340</v>
      </c>
      <c r="C828" s="3">
        <v>44021</v>
      </c>
      <c r="D828" t="s">
        <v>28</v>
      </c>
    </row>
    <row r="829" spans="1:4" x14ac:dyDescent="0.35">
      <c r="A829">
        <v>30806</v>
      </c>
      <c r="B829" s="2">
        <v>45318</v>
      </c>
      <c r="C829" s="3">
        <v>43993</v>
      </c>
      <c r="D829" t="s">
        <v>27</v>
      </c>
    </row>
    <row r="830" spans="1:4" x14ac:dyDescent="0.35">
      <c r="A830">
        <v>13120</v>
      </c>
      <c r="B830" s="2">
        <v>45293</v>
      </c>
      <c r="C830" s="3">
        <v>43930</v>
      </c>
      <c r="D830" t="s">
        <v>27</v>
      </c>
    </row>
    <row r="831" spans="1:4" x14ac:dyDescent="0.35">
      <c r="A831">
        <v>80924</v>
      </c>
      <c r="B831" s="2">
        <v>45311</v>
      </c>
      <c r="C831" s="3">
        <v>43876</v>
      </c>
      <c r="D831" t="s">
        <v>28</v>
      </c>
    </row>
    <row r="832" spans="1:4" x14ac:dyDescent="0.35">
      <c r="A832">
        <v>62453</v>
      </c>
      <c r="B832" s="2">
        <v>45324</v>
      </c>
      <c r="C832" s="3">
        <v>43763</v>
      </c>
      <c r="D832" t="s">
        <v>28</v>
      </c>
    </row>
    <row r="833" spans="1:4" x14ac:dyDescent="0.35">
      <c r="A833">
        <v>66312</v>
      </c>
      <c r="B833" s="2">
        <v>45299</v>
      </c>
      <c r="C833" s="3">
        <v>43735</v>
      </c>
      <c r="D833" t="s">
        <v>27</v>
      </c>
    </row>
    <row r="834" spans="1:4" x14ac:dyDescent="0.35">
      <c r="A834">
        <v>92823</v>
      </c>
      <c r="B834" s="2">
        <v>45315</v>
      </c>
      <c r="C834" s="3">
        <v>43686</v>
      </c>
      <c r="D834" t="s">
        <v>27</v>
      </c>
    </row>
    <row r="835" spans="1:4" x14ac:dyDescent="0.35">
      <c r="A835">
        <v>12784</v>
      </c>
      <c r="B835" s="2">
        <v>45301</v>
      </c>
      <c r="C835" s="3">
        <v>43613</v>
      </c>
      <c r="D835" t="s">
        <v>26</v>
      </c>
    </row>
    <row r="836" spans="1:4" x14ac:dyDescent="0.35">
      <c r="A836">
        <v>13518</v>
      </c>
      <c r="B836" s="2">
        <v>45316</v>
      </c>
      <c r="C836" s="3">
        <v>43552</v>
      </c>
      <c r="D836" t="s">
        <v>27</v>
      </c>
    </row>
    <row r="837" spans="1:4" x14ac:dyDescent="0.35">
      <c r="A837">
        <v>94083</v>
      </c>
      <c r="B837" s="2">
        <v>45345</v>
      </c>
      <c r="C837" s="3">
        <v>43543</v>
      </c>
      <c r="D837" t="s">
        <v>26</v>
      </c>
    </row>
    <row r="838" spans="1:4" x14ac:dyDescent="0.35">
      <c r="A838">
        <v>45730</v>
      </c>
      <c r="B838" s="2">
        <v>45329</v>
      </c>
      <c r="C838" s="3">
        <v>43352</v>
      </c>
      <c r="D838" t="s">
        <v>27</v>
      </c>
    </row>
    <row r="839" spans="1:4" x14ac:dyDescent="0.35">
      <c r="A839">
        <v>91534</v>
      </c>
      <c r="B839" s="2">
        <v>45307</v>
      </c>
      <c r="C839" s="3">
        <v>43222</v>
      </c>
      <c r="D839" t="s">
        <v>28</v>
      </c>
    </row>
    <row r="840" spans="1:4" x14ac:dyDescent="0.35">
      <c r="A840">
        <v>69505</v>
      </c>
      <c r="B840" s="2">
        <v>45339</v>
      </c>
      <c r="C840" s="3">
        <v>43222</v>
      </c>
      <c r="D840" t="s">
        <v>28</v>
      </c>
    </row>
    <row r="841" spans="1:4" x14ac:dyDescent="0.35">
      <c r="A841">
        <v>57653</v>
      </c>
      <c r="B841" s="2">
        <v>45343</v>
      </c>
      <c r="C841" s="3">
        <v>43015</v>
      </c>
      <c r="D841" t="s">
        <v>26</v>
      </c>
    </row>
    <row r="842" spans="1:4" x14ac:dyDescent="0.35">
      <c r="A842">
        <v>81248</v>
      </c>
      <c r="B842" s="2">
        <v>45350</v>
      </c>
      <c r="C842" s="3">
        <v>43004</v>
      </c>
      <c r="D842" t="s">
        <v>27</v>
      </c>
    </row>
    <row r="843" spans="1:4" x14ac:dyDescent="0.35">
      <c r="A843">
        <v>24606</v>
      </c>
      <c r="B843" s="2">
        <v>45303</v>
      </c>
      <c r="C843" s="3">
        <v>42978</v>
      </c>
      <c r="D843" t="s">
        <v>27</v>
      </c>
    </row>
    <row r="844" spans="1:4" x14ac:dyDescent="0.35">
      <c r="A844">
        <v>29604</v>
      </c>
      <c r="B844" s="2">
        <v>45324</v>
      </c>
      <c r="C844" s="3">
        <v>42919</v>
      </c>
      <c r="D844" t="s">
        <v>26</v>
      </c>
    </row>
    <row r="845" spans="1:4" x14ac:dyDescent="0.35">
      <c r="A845">
        <v>84365</v>
      </c>
      <c r="B845" s="2">
        <v>45300</v>
      </c>
      <c r="C845" s="3">
        <v>42875</v>
      </c>
      <c r="D845" t="s">
        <v>27</v>
      </c>
    </row>
    <row r="846" spans="1:4" x14ac:dyDescent="0.35">
      <c r="A846">
        <v>88963</v>
      </c>
      <c r="B846" s="2">
        <v>45328</v>
      </c>
      <c r="C846" s="3">
        <v>42790</v>
      </c>
      <c r="D846" t="s">
        <v>26</v>
      </c>
    </row>
    <row r="847" spans="1:4" x14ac:dyDescent="0.35">
      <c r="A847">
        <v>94919</v>
      </c>
      <c r="B847" s="2">
        <v>45330</v>
      </c>
      <c r="C847" s="3">
        <v>42739</v>
      </c>
      <c r="D847" t="s">
        <v>26</v>
      </c>
    </row>
    <row r="848" spans="1:4" x14ac:dyDescent="0.35">
      <c r="A848">
        <v>68416</v>
      </c>
      <c r="B848" s="2">
        <v>45349</v>
      </c>
      <c r="C848" s="3">
        <v>42733</v>
      </c>
      <c r="D848" t="s">
        <v>27</v>
      </c>
    </row>
    <row r="849" spans="1:4" x14ac:dyDescent="0.35">
      <c r="A849">
        <v>19388</v>
      </c>
      <c r="B849" s="2">
        <v>45292</v>
      </c>
      <c r="C849" s="3">
        <v>42547</v>
      </c>
      <c r="D849" t="s">
        <v>28</v>
      </c>
    </row>
    <row r="850" spans="1:4" x14ac:dyDescent="0.35">
      <c r="A850">
        <v>37929</v>
      </c>
      <c r="B850" s="2">
        <v>45305</v>
      </c>
      <c r="C850" s="3">
        <v>42486</v>
      </c>
      <c r="D850" t="s">
        <v>28</v>
      </c>
    </row>
    <row r="851" spans="1:4" x14ac:dyDescent="0.35">
      <c r="A851">
        <v>52478</v>
      </c>
      <c r="B851" s="2">
        <v>45330</v>
      </c>
      <c r="C851" s="3">
        <v>42466</v>
      </c>
      <c r="D851" t="s">
        <v>26</v>
      </c>
    </row>
    <row r="852" spans="1:4" x14ac:dyDescent="0.35">
      <c r="A852">
        <v>36547</v>
      </c>
      <c r="B852" s="2">
        <v>45312</v>
      </c>
      <c r="C852" s="3">
        <v>42436</v>
      </c>
      <c r="D852" t="s">
        <v>28</v>
      </c>
    </row>
    <row r="853" spans="1:4" x14ac:dyDescent="0.35">
      <c r="A853">
        <v>44398</v>
      </c>
      <c r="B853" s="2">
        <v>45333</v>
      </c>
      <c r="C853" s="3">
        <v>42199</v>
      </c>
      <c r="D853" t="s">
        <v>27</v>
      </c>
    </row>
    <row r="854" spans="1:4" x14ac:dyDescent="0.35">
      <c r="A854">
        <v>42623</v>
      </c>
      <c r="B854" s="2">
        <v>45316</v>
      </c>
      <c r="C854" s="3">
        <v>42036</v>
      </c>
      <c r="D854" t="s">
        <v>27</v>
      </c>
    </row>
    <row r="855" spans="1:4" x14ac:dyDescent="0.35">
      <c r="A855">
        <v>89602</v>
      </c>
      <c r="B855" s="2">
        <v>45313</v>
      </c>
      <c r="C855" s="3">
        <v>42021</v>
      </c>
      <c r="D855" t="s">
        <v>26</v>
      </c>
    </row>
    <row r="856" spans="1:4" x14ac:dyDescent="0.35">
      <c r="A856">
        <v>22958</v>
      </c>
      <c r="B856" s="2">
        <v>45309</v>
      </c>
      <c r="C856" s="3">
        <v>41948</v>
      </c>
      <c r="D856" t="s">
        <v>26</v>
      </c>
    </row>
    <row r="857" spans="1:4" x14ac:dyDescent="0.35">
      <c r="A857">
        <v>71164</v>
      </c>
      <c r="B857" s="2">
        <v>45348</v>
      </c>
      <c r="C857" s="3">
        <v>41924</v>
      </c>
      <c r="D857" t="s">
        <v>27</v>
      </c>
    </row>
    <row r="858" spans="1:4" x14ac:dyDescent="0.35">
      <c r="A858">
        <v>34275</v>
      </c>
      <c r="B858" s="2">
        <v>45326</v>
      </c>
      <c r="C858" s="3">
        <v>41908</v>
      </c>
      <c r="D858" t="s">
        <v>26</v>
      </c>
    </row>
    <row r="859" spans="1:4" x14ac:dyDescent="0.35">
      <c r="A859">
        <v>46733</v>
      </c>
      <c r="B859" s="2">
        <v>45312</v>
      </c>
      <c r="C859" s="3">
        <v>41817</v>
      </c>
      <c r="D859" t="s">
        <v>26</v>
      </c>
    </row>
    <row r="860" spans="1:4" x14ac:dyDescent="0.35">
      <c r="A860">
        <v>72092</v>
      </c>
      <c r="B860" s="2">
        <v>45327</v>
      </c>
      <c r="C860" s="3">
        <v>41812</v>
      </c>
      <c r="D860" t="s">
        <v>28</v>
      </c>
    </row>
    <row r="861" spans="1:4" x14ac:dyDescent="0.35">
      <c r="A861">
        <v>21793</v>
      </c>
      <c r="B861" s="2">
        <v>45349</v>
      </c>
      <c r="C861" s="3">
        <v>41801</v>
      </c>
      <c r="D861" t="s">
        <v>26</v>
      </c>
    </row>
    <row r="862" spans="1:4" x14ac:dyDescent="0.35">
      <c r="A862">
        <v>35990</v>
      </c>
      <c r="B862" s="2">
        <v>45322</v>
      </c>
      <c r="C862" s="3">
        <v>41714</v>
      </c>
      <c r="D862" t="s">
        <v>26</v>
      </c>
    </row>
    <row r="863" spans="1:4" x14ac:dyDescent="0.35">
      <c r="A863">
        <v>76490</v>
      </c>
      <c r="B863" s="2">
        <v>45306</v>
      </c>
      <c r="C863" s="3">
        <v>41703</v>
      </c>
      <c r="D863" t="s">
        <v>27</v>
      </c>
    </row>
    <row r="864" spans="1:4" x14ac:dyDescent="0.35">
      <c r="A864">
        <v>52713</v>
      </c>
      <c r="B864" s="2">
        <v>45344</v>
      </c>
      <c r="C864" s="3">
        <v>41668</v>
      </c>
      <c r="D864" t="s">
        <v>28</v>
      </c>
    </row>
    <row r="865" spans="1:4" x14ac:dyDescent="0.35">
      <c r="A865">
        <v>12328</v>
      </c>
      <c r="B865" s="2">
        <v>45328</v>
      </c>
      <c r="C865" s="3">
        <v>41637</v>
      </c>
      <c r="D865" t="s">
        <v>26</v>
      </c>
    </row>
    <row r="866" spans="1:4" x14ac:dyDescent="0.35">
      <c r="A866">
        <v>84106</v>
      </c>
      <c r="B866" s="2">
        <v>45339</v>
      </c>
      <c r="C866" s="3">
        <v>41535</v>
      </c>
      <c r="D866" t="s">
        <v>27</v>
      </c>
    </row>
    <row r="867" spans="1:4" x14ac:dyDescent="0.35">
      <c r="A867">
        <v>32931</v>
      </c>
      <c r="B867" s="2">
        <v>45321</v>
      </c>
      <c r="C867" s="3">
        <v>41520</v>
      </c>
      <c r="D867" t="s">
        <v>28</v>
      </c>
    </row>
    <row r="868" spans="1:4" x14ac:dyDescent="0.35">
      <c r="A868">
        <v>33641</v>
      </c>
      <c r="B868" s="2">
        <v>45352</v>
      </c>
      <c r="C868" s="3">
        <v>41475</v>
      </c>
      <c r="D868" t="s">
        <v>27</v>
      </c>
    </row>
    <row r="869" spans="1:4" x14ac:dyDescent="0.35">
      <c r="A869">
        <v>72965</v>
      </c>
      <c r="B869" s="2">
        <v>45325</v>
      </c>
      <c r="C869" s="3">
        <v>41473</v>
      </c>
      <c r="D869" t="s">
        <v>26</v>
      </c>
    </row>
    <row r="870" spans="1:4" x14ac:dyDescent="0.35">
      <c r="A870">
        <v>25175</v>
      </c>
      <c r="B870" s="2">
        <v>45349</v>
      </c>
      <c r="C870" s="3">
        <v>41447</v>
      </c>
      <c r="D870" t="s">
        <v>27</v>
      </c>
    </row>
    <row r="871" spans="1:4" x14ac:dyDescent="0.35">
      <c r="A871">
        <v>88337</v>
      </c>
      <c r="B871" s="2">
        <v>45298</v>
      </c>
      <c r="C871" s="3">
        <v>41409</v>
      </c>
      <c r="D871" t="s">
        <v>26</v>
      </c>
    </row>
    <row r="872" spans="1:4" x14ac:dyDescent="0.35">
      <c r="A872">
        <v>90015</v>
      </c>
      <c r="B872" s="2">
        <v>45322</v>
      </c>
      <c r="C872" s="3">
        <v>41402</v>
      </c>
      <c r="D872" t="s">
        <v>27</v>
      </c>
    </row>
    <row r="873" spans="1:4" x14ac:dyDescent="0.35">
      <c r="A873">
        <v>41662</v>
      </c>
      <c r="B873" s="2">
        <v>45337</v>
      </c>
      <c r="C873" s="3">
        <v>41338</v>
      </c>
      <c r="D873" t="s">
        <v>26</v>
      </c>
    </row>
    <row r="874" spans="1:4" x14ac:dyDescent="0.35">
      <c r="A874">
        <v>85200</v>
      </c>
      <c r="B874" s="2">
        <v>45308</v>
      </c>
      <c r="C874" s="3">
        <v>41310</v>
      </c>
      <c r="D874" t="s">
        <v>27</v>
      </c>
    </row>
    <row r="875" spans="1:4" x14ac:dyDescent="0.35">
      <c r="A875">
        <v>69572</v>
      </c>
      <c r="B875" s="2">
        <v>45324</v>
      </c>
      <c r="C875" s="3">
        <v>41238</v>
      </c>
      <c r="D875" t="s">
        <v>28</v>
      </c>
    </row>
    <row r="876" spans="1:4" x14ac:dyDescent="0.35">
      <c r="A876">
        <v>65910</v>
      </c>
      <c r="B876" s="2">
        <v>45338</v>
      </c>
      <c r="C876" s="3">
        <v>41056</v>
      </c>
      <c r="D876" t="s">
        <v>27</v>
      </c>
    </row>
    <row r="877" spans="1:4" x14ac:dyDescent="0.35">
      <c r="A877">
        <v>46401</v>
      </c>
      <c r="B877" s="2">
        <v>45323</v>
      </c>
      <c r="C877" s="3">
        <v>40965</v>
      </c>
      <c r="D877" t="s">
        <v>28</v>
      </c>
    </row>
    <row r="878" spans="1:4" x14ac:dyDescent="0.35">
      <c r="A878">
        <v>43481</v>
      </c>
      <c r="B878" s="2">
        <v>45317</v>
      </c>
      <c r="C878" s="3">
        <v>40931</v>
      </c>
      <c r="D878" t="s">
        <v>28</v>
      </c>
    </row>
    <row r="879" spans="1:4" x14ac:dyDescent="0.35">
      <c r="A879">
        <v>70980</v>
      </c>
      <c r="B879" s="2">
        <v>45322</v>
      </c>
      <c r="C879" s="3">
        <v>40890</v>
      </c>
      <c r="D879" t="s">
        <v>27</v>
      </c>
    </row>
    <row r="880" spans="1:4" x14ac:dyDescent="0.35">
      <c r="A880">
        <v>20054</v>
      </c>
      <c r="B880" s="2">
        <v>45308</v>
      </c>
      <c r="C880" s="3">
        <v>40883</v>
      </c>
      <c r="D880" t="s">
        <v>26</v>
      </c>
    </row>
    <row r="881" spans="1:4" x14ac:dyDescent="0.35">
      <c r="A881">
        <v>43308</v>
      </c>
      <c r="B881" s="2">
        <v>45346</v>
      </c>
      <c r="C881" s="3">
        <v>40843</v>
      </c>
      <c r="D881" t="s">
        <v>26</v>
      </c>
    </row>
    <row r="882" spans="1:4" x14ac:dyDescent="0.35">
      <c r="A882">
        <v>39877</v>
      </c>
      <c r="B882" s="2">
        <v>45324</v>
      </c>
      <c r="C882" s="3">
        <v>40834</v>
      </c>
      <c r="D882" t="s">
        <v>28</v>
      </c>
    </row>
    <row r="883" spans="1:4" x14ac:dyDescent="0.35">
      <c r="A883">
        <v>77130</v>
      </c>
      <c r="B883" s="2">
        <v>45318</v>
      </c>
      <c r="C883" s="3">
        <v>40792</v>
      </c>
      <c r="D883" t="s">
        <v>26</v>
      </c>
    </row>
    <row r="884" spans="1:4" x14ac:dyDescent="0.35">
      <c r="A884">
        <v>64545</v>
      </c>
      <c r="B884" s="2">
        <v>45333</v>
      </c>
      <c r="C884" s="3">
        <v>40685</v>
      </c>
      <c r="D884" t="s">
        <v>27</v>
      </c>
    </row>
    <row r="885" spans="1:4" x14ac:dyDescent="0.35">
      <c r="A885">
        <v>94902</v>
      </c>
      <c r="B885" s="2">
        <v>45301</v>
      </c>
      <c r="C885" s="3">
        <v>40675</v>
      </c>
      <c r="D885" t="s">
        <v>27</v>
      </c>
    </row>
    <row r="886" spans="1:4" x14ac:dyDescent="0.35">
      <c r="A886">
        <v>28303</v>
      </c>
      <c r="B886" s="2">
        <v>45343</v>
      </c>
      <c r="C886" s="3">
        <v>40392</v>
      </c>
      <c r="D886" t="s">
        <v>26</v>
      </c>
    </row>
    <row r="887" spans="1:4" x14ac:dyDescent="0.35">
      <c r="A887">
        <v>74089</v>
      </c>
      <c r="B887" s="2">
        <v>45353</v>
      </c>
      <c r="C887" s="3">
        <v>40364</v>
      </c>
      <c r="D887" t="s">
        <v>26</v>
      </c>
    </row>
    <row r="888" spans="1:4" x14ac:dyDescent="0.35">
      <c r="A888">
        <v>96507</v>
      </c>
      <c r="B888" s="2">
        <v>45320</v>
      </c>
      <c r="C888" s="3">
        <v>40319</v>
      </c>
      <c r="D888" t="s">
        <v>27</v>
      </c>
    </row>
    <row r="889" spans="1:4" x14ac:dyDescent="0.35">
      <c r="A889">
        <v>64696</v>
      </c>
      <c r="B889" s="2">
        <v>45327</v>
      </c>
      <c r="C889" s="3">
        <v>40284</v>
      </c>
      <c r="D889" t="s">
        <v>26</v>
      </c>
    </row>
    <row r="890" spans="1:4" x14ac:dyDescent="0.35">
      <c r="A890">
        <v>33706</v>
      </c>
      <c r="B890" s="2">
        <v>45322</v>
      </c>
      <c r="C890" s="3">
        <v>40158</v>
      </c>
      <c r="D890" t="s">
        <v>28</v>
      </c>
    </row>
    <row r="891" spans="1:4" x14ac:dyDescent="0.35">
      <c r="A891">
        <v>42092</v>
      </c>
      <c r="B891" s="2">
        <v>45319</v>
      </c>
      <c r="C891" s="3">
        <v>40083</v>
      </c>
      <c r="D891" t="s">
        <v>27</v>
      </c>
    </row>
    <row r="892" spans="1:4" x14ac:dyDescent="0.35">
      <c r="A892">
        <v>34896</v>
      </c>
      <c r="B892" s="2">
        <v>45299</v>
      </c>
      <c r="C892" s="3">
        <v>39749</v>
      </c>
      <c r="D892" t="s">
        <v>27</v>
      </c>
    </row>
    <row r="893" spans="1:4" x14ac:dyDescent="0.35">
      <c r="A893">
        <v>71210</v>
      </c>
      <c r="B893" s="2">
        <v>45350</v>
      </c>
      <c r="C893" s="3">
        <v>39734</v>
      </c>
      <c r="D893" t="s">
        <v>27</v>
      </c>
    </row>
    <row r="894" spans="1:4" x14ac:dyDescent="0.35">
      <c r="A894">
        <v>60359</v>
      </c>
      <c r="B894" s="2">
        <v>45329</v>
      </c>
      <c r="C894" s="3">
        <v>39731</v>
      </c>
      <c r="D894" t="s">
        <v>26</v>
      </c>
    </row>
    <row r="895" spans="1:4" x14ac:dyDescent="0.35">
      <c r="A895">
        <v>34991</v>
      </c>
      <c r="B895" s="2">
        <v>45310</v>
      </c>
      <c r="C895" s="3">
        <v>39722</v>
      </c>
      <c r="D895" t="s">
        <v>26</v>
      </c>
    </row>
    <row r="896" spans="1:4" x14ac:dyDescent="0.35">
      <c r="A896">
        <v>64558</v>
      </c>
      <c r="B896" s="2">
        <v>45350</v>
      </c>
      <c r="C896" s="3">
        <v>39688</v>
      </c>
      <c r="D896" t="s">
        <v>26</v>
      </c>
    </row>
    <row r="897" spans="1:4" x14ac:dyDescent="0.35">
      <c r="A897">
        <v>15544</v>
      </c>
      <c r="B897" s="2">
        <v>45341</v>
      </c>
      <c r="C897" s="3">
        <v>39543</v>
      </c>
      <c r="D897" t="s">
        <v>26</v>
      </c>
    </row>
    <row r="898" spans="1:4" x14ac:dyDescent="0.35">
      <c r="A898">
        <v>43230</v>
      </c>
      <c r="B898" s="2">
        <v>45346</v>
      </c>
      <c r="C898" s="3">
        <v>39532</v>
      </c>
      <c r="D898" t="s">
        <v>28</v>
      </c>
    </row>
    <row r="899" spans="1:4" x14ac:dyDescent="0.35">
      <c r="A899">
        <v>36971</v>
      </c>
      <c r="B899" s="2">
        <v>45322</v>
      </c>
      <c r="C899" s="3">
        <v>39402</v>
      </c>
      <c r="D899" t="s">
        <v>27</v>
      </c>
    </row>
    <row r="900" spans="1:4" x14ac:dyDescent="0.35">
      <c r="A900">
        <v>93417</v>
      </c>
      <c r="B900" s="2">
        <v>45320</v>
      </c>
      <c r="C900" s="3">
        <v>39392</v>
      </c>
      <c r="D900" t="s">
        <v>28</v>
      </c>
    </row>
    <row r="901" spans="1:4" x14ac:dyDescent="0.35">
      <c r="A901">
        <v>61415</v>
      </c>
      <c r="B901" s="2">
        <v>45308</v>
      </c>
      <c r="C901" s="3">
        <v>39304</v>
      </c>
      <c r="D901" t="s">
        <v>28</v>
      </c>
    </row>
    <row r="902" spans="1:4" x14ac:dyDescent="0.35">
      <c r="A902">
        <v>73302</v>
      </c>
      <c r="B902" s="2">
        <v>45312</v>
      </c>
      <c r="C902" s="3">
        <v>39288</v>
      </c>
      <c r="D902" t="s">
        <v>28</v>
      </c>
    </row>
    <row r="903" spans="1:4" x14ac:dyDescent="0.35">
      <c r="A903">
        <v>72853</v>
      </c>
      <c r="B903" s="2">
        <v>45343</v>
      </c>
      <c r="C903" s="3">
        <v>39270</v>
      </c>
      <c r="D903" t="s">
        <v>28</v>
      </c>
    </row>
    <row r="904" spans="1:4" x14ac:dyDescent="0.35">
      <c r="A904">
        <v>40803</v>
      </c>
      <c r="B904" s="2">
        <v>45303</v>
      </c>
      <c r="C904" s="3">
        <v>39232</v>
      </c>
      <c r="D904" t="s">
        <v>27</v>
      </c>
    </row>
    <row r="905" spans="1:4" x14ac:dyDescent="0.35">
      <c r="A905">
        <v>76362</v>
      </c>
      <c r="B905" s="2">
        <v>45318</v>
      </c>
      <c r="C905" s="3">
        <v>39184</v>
      </c>
      <c r="D905" t="s">
        <v>27</v>
      </c>
    </row>
    <row r="906" spans="1:4" x14ac:dyDescent="0.35">
      <c r="A906">
        <v>27032</v>
      </c>
      <c r="B906" s="2">
        <v>45304</v>
      </c>
      <c r="C906" s="3">
        <v>39162</v>
      </c>
      <c r="D906" t="s">
        <v>27</v>
      </c>
    </row>
    <row r="907" spans="1:4" x14ac:dyDescent="0.35">
      <c r="A907">
        <v>89113</v>
      </c>
      <c r="B907" s="2">
        <v>45294</v>
      </c>
      <c r="C907" s="3">
        <v>39142</v>
      </c>
      <c r="D907" t="s">
        <v>27</v>
      </c>
    </row>
    <row r="908" spans="1:4" x14ac:dyDescent="0.35">
      <c r="A908">
        <v>27322</v>
      </c>
      <c r="B908" s="2">
        <v>45307</v>
      </c>
      <c r="C908" s="3">
        <v>39047</v>
      </c>
      <c r="D908" t="s">
        <v>28</v>
      </c>
    </row>
    <row r="909" spans="1:4" x14ac:dyDescent="0.35">
      <c r="A909">
        <v>85565</v>
      </c>
      <c r="B909" s="2">
        <v>45297</v>
      </c>
      <c r="C909" s="3">
        <v>39027</v>
      </c>
      <c r="D909" t="s">
        <v>28</v>
      </c>
    </row>
    <row r="910" spans="1:4" x14ac:dyDescent="0.35">
      <c r="A910">
        <v>93759</v>
      </c>
      <c r="B910" s="2">
        <v>45308</v>
      </c>
      <c r="C910" s="3">
        <v>38932</v>
      </c>
      <c r="D910" t="s">
        <v>28</v>
      </c>
    </row>
    <row r="911" spans="1:4" x14ac:dyDescent="0.35">
      <c r="A911">
        <v>38165</v>
      </c>
      <c r="B911" s="2">
        <v>45341</v>
      </c>
      <c r="C911" s="3">
        <v>38920</v>
      </c>
      <c r="D911" t="s">
        <v>28</v>
      </c>
    </row>
    <row r="912" spans="1:4" x14ac:dyDescent="0.35">
      <c r="A912">
        <v>56624</v>
      </c>
      <c r="B912" s="2">
        <v>45354</v>
      </c>
      <c r="C912" s="3">
        <v>38887</v>
      </c>
      <c r="D912" t="s">
        <v>26</v>
      </c>
    </row>
    <row r="913" spans="1:4" x14ac:dyDescent="0.35">
      <c r="A913">
        <v>60632</v>
      </c>
      <c r="B913" s="2">
        <v>45336</v>
      </c>
      <c r="C913" s="3">
        <v>38828</v>
      </c>
      <c r="D913" t="s">
        <v>28</v>
      </c>
    </row>
    <row r="914" spans="1:4" x14ac:dyDescent="0.35">
      <c r="A914">
        <v>49313</v>
      </c>
      <c r="B914" s="2">
        <v>45319</v>
      </c>
      <c r="C914" s="3">
        <v>38825</v>
      </c>
      <c r="D914" t="s">
        <v>27</v>
      </c>
    </row>
    <row r="915" spans="1:4" x14ac:dyDescent="0.35">
      <c r="A915">
        <v>96212</v>
      </c>
      <c r="B915" s="2">
        <v>45319</v>
      </c>
      <c r="C915" s="3">
        <v>38779</v>
      </c>
      <c r="D915" t="s">
        <v>28</v>
      </c>
    </row>
    <row r="916" spans="1:4" x14ac:dyDescent="0.35">
      <c r="A916">
        <v>43359</v>
      </c>
      <c r="B916" s="2">
        <v>45349</v>
      </c>
      <c r="C916" s="3">
        <v>38775</v>
      </c>
      <c r="D916" t="s">
        <v>26</v>
      </c>
    </row>
    <row r="917" spans="1:4" x14ac:dyDescent="0.35">
      <c r="A917">
        <v>32252</v>
      </c>
      <c r="B917" s="2">
        <v>45311</v>
      </c>
      <c r="C917" s="3">
        <v>38731</v>
      </c>
      <c r="D917" t="s">
        <v>27</v>
      </c>
    </row>
    <row r="918" spans="1:4" x14ac:dyDescent="0.35">
      <c r="A918">
        <v>77401</v>
      </c>
      <c r="B918" s="2">
        <v>45299</v>
      </c>
      <c r="C918" s="3">
        <v>38719</v>
      </c>
      <c r="D918" t="s">
        <v>27</v>
      </c>
    </row>
    <row r="919" spans="1:4" x14ac:dyDescent="0.35">
      <c r="A919">
        <v>13197</v>
      </c>
      <c r="B919" s="2">
        <v>45340</v>
      </c>
      <c r="C919" s="3">
        <v>38679</v>
      </c>
      <c r="D919" t="s">
        <v>26</v>
      </c>
    </row>
    <row r="920" spans="1:4" x14ac:dyDescent="0.35">
      <c r="A920">
        <v>61912</v>
      </c>
      <c r="B920" s="2">
        <v>45317</v>
      </c>
      <c r="C920" s="3">
        <v>38572</v>
      </c>
      <c r="D920" t="s">
        <v>26</v>
      </c>
    </row>
    <row r="921" spans="1:4" x14ac:dyDescent="0.35">
      <c r="A921">
        <v>74291</v>
      </c>
      <c r="B921" s="2">
        <v>45346</v>
      </c>
      <c r="C921" s="3">
        <v>38528</v>
      </c>
      <c r="D921" t="s">
        <v>27</v>
      </c>
    </row>
    <row r="922" spans="1:4" x14ac:dyDescent="0.35">
      <c r="A922">
        <v>77612</v>
      </c>
      <c r="B922" s="2">
        <v>45319</v>
      </c>
      <c r="C922" s="3">
        <v>38489</v>
      </c>
      <c r="D922" t="s">
        <v>26</v>
      </c>
    </row>
    <row r="923" spans="1:4" x14ac:dyDescent="0.35">
      <c r="A923">
        <v>76526</v>
      </c>
      <c r="B923" s="2">
        <v>45344</v>
      </c>
      <c r="C923" s="3">
        <v>38461</v>
      </c>
      <c r="D923" t="s">
        <v>26</v>
      </c>
    </row>
    <row r="924" spans="1:4" x14ac:dyDescent="0.35">
      <c r="A924">
        <v>82701</v>
      </c>
      <c r="B924" s="2">
        <v>45346</v>
      </c>
      <c r="C924" s="3">
        <v>38457</v>
      </c>
      <c r="D924" t="s">
        <v>27</v>
      </c>
    </row>
    <row r="925" spans="1:4" x14ac:dyDescent="0.35">
      <c r="A925">
        <v>55634</v>
      </c>
      <c r="B925" s="2">
        <v>45312</v>
      </c>
      <c r="C925" s="3">
        <v>38433</v>
      </c>
      <c r="D925" t="s">
        <v>27</v>
      </c>
    </row>
    <row r="926" spans="1:4" x14ac:dyDescent="0.35">
      <c r="A926">
        <v>80852</v>
      </c>
      <c r="B926" s="2">
        <v>45342</v>
      </c>
      <c r="C926" s="3">
        <v>38271</v>
      </c>
      <c r="D926" t="s">
        <v>26</v>
      </c>
    </row>
    <row r="927" spans="1:4" x14ac:dyDescent="0.35">
      <c r="A927">
        <v>90986</v>
      </c>
      <c r="B927" s="2">
        <v>45343</v>
      </c>
      <c r="C927" s="3">
        <v>38193</v>
      </c>
      <c r="D927" t="s">
        <v>26</v>
      </c>
    </row>
    <row r="928" spans="1:4" x14ac:dyDescent="0.35">
      <c r="A928">
        <v>62750</v>
      </c>
      <c r="B928" s="2">
        <v>45348</v>
      </c>
      <c r="C928" s="3">
        <v>38118</v>
      </c>
      <c r="D928" t="s">
        <v>27</v>
      </c>
    </row>
    <row r="929" spans="1:4" x14ac:dyDescent="0.35">
      <c r="A929">
        <v>74946</v>
      </c>
      <c r="B929" s="2">
        <v>45301</v>
      </c>
      <c r="C929" s="3">
        <v>38000</v>
      </c>
      <c r="D929" t="s">
        <v>27</v>
      </c>
    </row>
    <row r="930" spans="1:4" x14ac:dyDescent="0.35">
      <c r="A930">
        <v>23874</v>
      </c>
      <c r="B930" s="2">
        <v>45317</v>
      </c>
      <c r="C930" s="3">
        <v>37962</v>
      </c>
      <c r="D930" t="s">
        <v>27</v>
      </c>
    </row>
    <row r="931" spans="1:4" x14ac:dyDescent="0.35">
      <c r="A931">
        <v>28727</v>
      </c>
      <c r="B931" s="2">
        <v>45303</v>
      </c>
      <c r="C931" s="3">
        <v>37866</v>
      </c>
      <c r="D931" t="s">
        <v>27</v>
      </c>
    </row>
    <row r="932" spans="1:4" x14ac:dyDescent="0.35">
      <c r="A932">
        <v>61922</v>
      </c>
      <c r="B932" s="2">
        <v>45328</v>
      </c>
      <c r="C932" s="3">
        <v>37831</v>
      </c>
      <c r="D932" t="s">
        <v>27</v>
      </c>
    </row>
    <row r="933" spans="1:4" x14ac:dyDescent="0.35">
      <c r="A933">
        <v>98386</v>
      </c>
      <c r="B933" s="2">
        <v>45333</v>
      </c>
      <c r="C933" s="3">
        <v>37562</v>
      </c>
      <c r="D933" t="s">
        <v>26</v>
      </c>
    </row>
    <row r="934" spans="1:4" x14ac:dyDescent="0.35">
      <c r="A934">
        <v>21085</v>
      </c>
      <c r="B934" s="2">
        <v>45321</v>
      </c>
      <c r="C934" s="3">
        <v>37475</v>
      </c>
      <c r="D934" t="s">
        <v>28</v>
      </c>
    </row>
    <row r="935" spans="1:4" x14ac:dyDescent="0.35">
      <c r="A935">
        <v>60396</v>
      </c>
      <c r="B935" s="2">
        <v>45339</v>
      </c>
      <c r="C935" s="3">
        <v>37384</v>
      </c>
      <c r="D935" t="s">
        <v>27</v>
      </c>
    </row>
    <row r="936" spans="1:4" x14ac:dyDescent="0.35">
      <c r="A936">
        <v>94947</v>
      </c>
      <c r="B936" s="2">
        <v>45299</v>
      </c>
      <c r="C936" s="3">
        <v>37240</v>
      </c>
      <c r="D936" t="s">
        <v>27</v>
      </c>
    </row>
    <row r="937" spans="1:4" x14ac:dyDescent="0.35">
      <c r="A937">
        <v>41708</v>
      </c>
      <c r="B937" s="2">
        <v>45332</v>
      </c>
      <c r="C937" s="3">
        <v>37240</v>
      </c>
      <c r="D937" t="s">
        <v>27</v>
      </c>
    </row>
    <row r="938" spans="1:4" x14ac:dyDescent="0.35">
      <c r="A938">
        <v>66200</v>
      </c>
      <c r="B938" s="2">
        <v>45313</v>
      </c>
      <c r="C938" s="3">
        <v>37192</v>
      </c>
      <c r="D938" t="s">
        <v>26</v>
      </c>
    </row>
    <row r="939" spans="1:4" x14ac:dyDescent="0.35">
      <c r="A939">
        <v>53839</v>
      </c>
      <c r="B939" s="2">
        <v>45295</v>
      </c>
      <c r="C939" s="3">
        <v>37125</v>
      </c>
      <c r="D939" t="s">
        <v>28</v>
      </c>
    </row>
    <row r="940" spans="1:4" x14ac:dyDescent="0.35">
      <c r="A940">
        <v>99957</v>
      </c>
      <c r="B940" s="2">
        <v>45345</v>
      </c>
      <c r="C940" s="3">
        <v>37052</v>
      </c>
      <c r="D940" t="s">
        <v>27</v>
      </c>
    </row>
    <row r="941" spans="1:4" x14ac:dyDescent="0.35">
      <c r="A941">
        <v>71412</v>
      </c>
      <c r="B941" s="2">
        <v>45293</v>
      </c>
      <c r="C941" s="3">
        <v>36995</v>
      </c>
      <c r="D941" t="s">
        <v>26</v>
      </c>
    </row>
    <row r="942" spans="1:4" x14ac:dyDescent="0.35">
      <c r="A942">
        <v>45561</v>
      </c>
      <c r="B942" s="2">
        <v>45328</v>
      </c>
      <c r="C942" s="3">
        <v>36994</v>
      </c>
      <c r="D942" t="s">
        <v>26</v>
      </c>
    </row>
    <row r="943" spans="1:4" x14ac:dyDescent="0.35">
      <c r="A943">
        <v>66761</v>
      </c>
      <c r="B943" s="2">
        <v>45343</v>
      </c>
      <c r="C943" s="3">
        <v>36901</v>
      </c>
      <c r="D943" t="s">
        <v>28</v>
      </c>
    </row>
    <row r="944" spans="1:4" x14ac:dyDescent="0.35">
      <c r="A944">
        <v>51512</v>
      </c>
      <c r="B944" s="2">
        <v>45320</v>
      </c>
      <c r="C944" s="3">
        <v>36785</v>
      </c>
      <c r="D944" t="s">
        <v>27</v>
      </c>
    </row>
    <row r="945" spans="1:4" x14ac:dyDescent="0.35">
      <c r="A945">
        <v>43656</v>
      </c>
      <c r="B945" s="2">
        <v>45340</v>
      </c>
      <c r="C945" s="3">
        <v>36633</v>
      </c>
      <c r="D945" t="s">
        <v>28</v>
      </c>
    </row>
    <row r="946" spans="1:4" x14ac:dyDescent="0.35">
      <c r="A946">
        <v>18565</v>
      </c>
      <c r="B946" s="2">
        <v>45305</v>
      </c>
      <c r="C946" s="3">
        <v>36601</v>
      </c>
      <c r="D946" t="s">
        <v>26</v>
      </c>
    </row>
    <row r="947" spans="1:4" x14ac:dyDescent="0.35">
      <c r="A947">
        <v>18970</v>
      </c>
      <c r="B947" s="2">
        <v>45301</v>
      </c>
      <c r="C947" s="3">
        <v>36521</v>
      </c>
      <c r="D947" t="s">
        <v>28</v>
      </c>
    </row>
    <row r="948" spans="1:4" x14ac:dyDescent="0.35">
      <c r="A948">
        <v>95630</v>
      </c>
      <c r="B948" s="2">
        <v>45322</v>
      </c>
      <c r="C948" s="3">
        <v>36467</v>
      </c>
      <c r="D948" t="s">
        <v>28</v>
      </c>
    </row>
    <row r="949" spans="1:4" x14ac:dyDescent="0.35">
      <c r="A949">
        <v>13679</v>
      </c>
      <c r="B949" s="2">
        <v>45330</v>
      </c>
      <c r="C949" s="3">
        <v>36324</v>
      </c>
      <c r="D949" t="s">
        <v>27</v>
      </c>
    </row>
    <row r="950" spans="1:4" x14ac:dyDescent="0.35">
      <c r="A950">
        <v>19993</v>
      </c>
      <c r="B950" s="2">
        <v>45332</v>
      </c>
      <c r="C950" s="3">
        <v>36285</v>
      </c>
      <c r="D950" t="s">
        <v>26</v>
      </c>
    </row>
    <row r="951" spans="1:4" x14ac:dyDescent="0.35">
      <c r="A951">
        <v>46725</v>
      </c>
      <c r="B951" s="2">
        <v>45297</v>
      </c>
      <c r="C951" s="3">
        <v>36234</v>
      </c>
      <c r="D951" t="s">
        <v>28</v>
      </c>
    </row>
    <row r="952" spans="1:4" x14ac:dyDescent="0.35">
      <c r="A952">
        <v>57180</v>
      </c>
      <c r="B952" s="2">
        <v>45352</v>
      </c>
      <c r="C952" s="3">
        <v>35989</v>
      </c>
      <c r="D952" t="s">
        <v>26</v>
      </c>
    </row>
    <row r="953" spans="1:4" x14ac:dyDescent="0.35">
      <c r="A953">
        <v>92326</v>
      </c>
      <c r="B953" s="2">
        <v>45338</v>
      </c>
      <c r="C953" s="3">
        <v>35890</v>
      </c>
      <c r="D953" t="s">
        <v>26</v>
      </c>
    </row>
    <row r="954" spans="1:4" x14ac:dyDescent="0.35">
      <c r="A954">
        <v>34274</v>
      </c>
      <c r="B954" s="2">
        <v>45326</v>
      </c>
      <c r="C954" s="3">
        <v>35865</v>
      </c>
      <c r="D954" t="s">
        <v>26</v>
      </c>
    </row>
    <row r="955" spans="1:4" x14ac:dyDescent="0.35">
      <c r="A955">
        <v>43538</v>
      </c>
      <c r="B955" s="2">
        <v>45348</v>
      </c>
      <c r="C955" s="3">
        <v>35863</v>
      </c>
      <c r="D955" t="s">
        <v>26</v>
      </c>
    </row>
    <row r="956" spans="1:4" x14ac:dyDescent="0.35">
      <c r="A956">
        <v>37177</v>
      </c>
      <c r="B956" s="2">
        <v>45333</v>
      </c>
      <c r="C956" s="3">
        <v>35794</v>
      </c>
      <c r="D956" t="s">
        <v>27</v>
      </c>
    </row>
    <row r="957" spans="1:4" x14ac:dyDescent="0.35">
      <c r="A957">
        <v>50702</v>
      </c>
      <c r="B957" s="2">
        <v>45352</v>
      </c>
      <c r="C957" s="3">
        <v>35726</v>
      </c>
      <c r="D957" t="s">
        <v>26</v>
      </c>
    </row>
    <row r="958" spans="1:4" x14ac:dyDescent="0.35">
      <c r="A958">
        <v>64655</v>
      </c>
      <c r="B958" s="2">
        <v>45341</v>
      </c>
      <c r="C958" s="3">
        <v>35713</v>
      </c>
      <c r="D958" t="s">
        <v>26</v>
      </c>
    </row>
    <row r="959" spans="1:4" x14ac:dyDescent="0.35">
      <c r="A959">
        <v>63255</v>
      </c>
      <c r="B959" s="2">
        <v>45337</v>
      </c>
      <c r="C959" s="3">
        <v>35647</v>
      </c>
      <c r="D959" t="s">
        <v>27</v>
      </c>
    </row>
    <row r="960" spans="1:4" x14ac:dyDescent="0.35">
      <c r="A960">
        <v>84075</v>
      </c>
      <c r="B960" s="2">
        <v>45332</v>
      </c>
      <c r="C960" s="3">
        <v>35437</v>
      </c>
      <c r="D960" t="s">
        <v>26</v>
      </c>
    </row>
    <row r="961" spans="1:4" x14ac:dyDescent="0.35">
      <c r="A961">
        <v>12330</v>
      </c>
      <c r="B961" s="2">
        <v>45347</v>
      </c>
      <c r="C961" s="3">
        <v>35344</v>
      </c>
      <c r="D961" t="s">
        <v>28</v>
      </c>
    </row>
    <row r="962" spans="1:4" x14ac:dyDescent="0.35">
      <c r="A962">
        <v>61019</v>
      </c>
      <c r="B962" s="2">
        <v>45329</v>
      </c>
      <c r="C962" s="3">
        <v>35026</v>
      </c>
      <c r="D962" t="s">
        <v>27</v>
      </c>
    </row>
    <row r="963" spans="1:4" x14ac:dyDescent="0.35">
      <c r="A963">
        <v>35042</v>
      </c>
      <c r="B963" s="2">
        <v>45308</v>
      </c>
      <c r="C963" s="3">
        <v>34997</v>
      </c>
      <c r="D963" t="s">
        <v>26</v>
      </c>
    </row>
    <row r="964" spans="1:4" x14ac:dyDescent="0.35">
      <c r="A964">
        <v>69050</v>
      </c>
      <c r="B964" s="2">
        <v>45307</v>
      </c>
      <c r="C964" s="3">
        <v>34957</v>
      </c>
      <c r="D964" t="s">
        <v>28</v>
      </c>
    </row>
    <row r="965" spans="1:4" x14ac:dyDescent="0.35">
      <c r="A965">
        <v>61163</v>
      </c>
      <c r="B965" s="2">
        <v>45342</v>
      </c>
      <c r="C965" s="3">
        <v>34871</v>
      </c>
      <c r="D965" t="s">
        <v>27</v>
      </c>
    </row>
    <row r="966" spans="1:4" x14ac:dyDescent="0.35">
      <c r="A966">
        <v>88761</v>
      </c>
      <c r="B966" s="2">
        <v>45302</v>
      </c>
      <c r="C966" s="3">
        <v>34870</v>
      </c>
      <c r="D966" t="s">
        <v>28</v>
      </c>
    </row>
    <row r="967" spans="1:4" x14ac:dyDescent="0.35">
      <c r="A967">
        <v>42334</v>
      </c>
      <c r="B967" s="2">
        <v>45295</v>
      </c>
      <c r="C967" s="3">
        <v>34775</v>
      </c>
      <c r="D967" t="s">
        <v>26</v>
      </c>
    </row>
    <row r="968" spans="1:4" x14ac:dyDescent="0.35">
      <c r="A968">
        <v>51914</v>
      </c>
      <c r="B968" s="2">
        <v>45301</v>
      </c>
      <c r="C968" s="3">
        <v>34726</v>
      </c>
      <c r="D968" t="s">
        <v>27</v>
      </c>
    </row>
    <row r="969" spans="1:4" x14ac:dyDescent="0.35">
      <c r="A969">
        <v>19954</v>
      </c>
      <c r="B969" s="2">
        <v>45330</v>
      </c>
      <c r="C969" s="3">
        <v>34699</v>
      </c>
      <c r="D969" t="s">
        <v>27</v>
      </c>
    </row>
    <row r="970" spans="1:4" x14ac:dyDescent="0.35">
      <c r="A970">
        <v>24261</v>
      </c>
      <c r="B970" s="2">
        <v>45349</v>
      </c>
      <c r="C970" s="3">
        <v>34612</v>
      </c>
      <c r="D970" t="s">
        <v>27</v>
      </c>
    </row>
    <row r="971" spans="1:4" x14ac:dyDescent="0.35">
      <c r="A971">
        <v>42233</v>
      </c>
      <c r="B971" s="2">
        <v>45333</v>
      </c>
      <c r="C971" s="3">
        <v>34558</v>
      </c>
      <c r="D971" t="s">
        <v>26</v>
      </c>
    </row>
    <row r="972" spans="1:4" x14ac:dyDescent="0.35">
      <c r="A972">
        <v>50480</v>
      </c>
      <c r="B972" s="2">
        <v>45294</v>
      </c>
      <c r="C972" s="3">
        <v>34549</v>
      </c>
      <c r="D972" t="s">
        <v>28</v>
      </c>
    </row>
    <row r="973" spans="1:4" x14ac:dyDescent="0.35">
      <c r="A973">
        <v>28772</v>
      </c>
      <c r="B973" s="2">
        <v>45354</v>
      </c>
      <c r="C973" s="3">
        <v>34543</v>
      </c>
      <c r="D973" t="s">
        <v>26</v>
      </c>
    </row>
    <row r="974" spans="1:4" x14ac:dyDescent="0.35">
      <c r="A974">
        <v>65719</v>
      </c>
      <c r="B974" s="2">
        <v>45315</v>
      </c>
      <c r="C974" s="3">
        <v>34516</v>
      </c>
      <c r="D974" t="s">
        <v>26</v>
      </c>
    </row>
    <row r="975" spans="1:4" x14ac:dyDescent="0.35">
      <c r="A975">
        <v>43311</v>
      </c>
      <c r="B975" s="2">
        <v>45354</v>
      </c>
      <c r="C975" s="3">
        <v>34478</v>
      </c>
      <c r="D975" t="s">
        <v>26</v>
      </c>
    </row>
    <row r="976" spans="1:4" x14ac:dyDescent="0.35">
      <c r="A976">
        <v>73573</v>
      </c>
      <c r="B976" s="2">
        <v>45317</v>
      </c>
      <c r="C976" s="3">
        <v>34413</v>
      </c>
      <c r="D976" t="s">
        <v>26</v>
      </c>
    </row>
    <row r="977" spans="1:4" x14ac:dyDescent="0.35">
      <c r="A977">
        <v>79746</v>
      </c>
      <c r="B977" s="2">
        <v>45299</v>
      </c>
      <c r="C977" s="3">
        <v>34387</v>
      </c>
      <c r="D977" t="s">
        <v>28</v>
      </c>
    </row>
    <row r="978" spans="1:4" x14ac:dyDescent="0.35">
      <c r="A978">
        <v>13071</v>
      </c>
      <c r="B978" s="2">
        <v>45350</v>
      </c>
      <c r="C978" s="3">
        <v>34387</v>
      </c>
      <c r="D978" t="s">
        <v>26</v>
      </c>
    </row>
    <row r="979" spans="1:4" x14ac:dyDescent="0.35">
      <c r="A979">
        <v>59586</v>
      </c>
      <c r="B979" s="2">
        <v>45310</v>
      </c>
      <c r="C979" s="3">
        <v>34379</v>
      </c>
      <c r="D979" t="s">
        <v>26</v>
      </c>
    </row>
    <row r="980" spans="1:4" x14ac:dyDescent="0.35">
      <c r="A980">
        <v>66529</v>
      </c>
      <c r="B980" s="2">
        <v>45346</v>
      </c>
      <c r="C980" s="3">
        <v>34317</v>
      </c>
      <c r="D980" t="s">
        <v>26</v>
      </c>
    </row>
    <row r="981" spans="1:4" x14ac:dyDescent="0.35">
      <c r="A981">
        <v>83687</v>
      </c>
      <c r="B981" s="2">
        <v>45338</v>
      </c>
      <c r="C981" s="3">
        <v>34281</v>
      </c>
      <c r="D981" t="s">
        <v>28</v>
      </c>
    </row>
    <row r="982" spans="1:4" x14ac:dyDescent="0.35">
      <c r="A982">
        <v>71343</v>
      </c>
      <c r="B982" s="2">
        <v>45305</v>
      </c>
      <c r="C982" s="3">
        <v>34222</v>
      </c>
      <c r="D982" t="s">
        <v>27</v>
      </c>
    </row>
    <row r="983" spans="1:4" x14ac:dyDescent="0.35">
      <c r="A983">
        <v>62251</v>
      </c>
      <c r="B983" s="2">
        <v>45304</v>
      </c>
      <c r="C983" s="3">
        <v>34095</v>
      </c>
      <c r="D983" t="s">
        <v>26</v>
      </c>
    </row>
    <row r="984" spans="1:4" x14ac:dyDescent="0.35">
      <c r="A984">
        <v>37581</v>
      </c>
      <c r="B984" s="2">
        <v>45313</v>
      </c>
      <c r="C984" s="3">
        <v>34055</v>
      </c>
      <c r="D984" t="s">
        <v>26</v>
      </c>
    </row>
    <row r="985" spans="1:4" x14ac:dyDescent="0.35">
      <c r="A985">
        <v>51510</v>
      </c>
      <c r="B985" s="2">
        <v>45331</v>
      </c>
      <c r="C985" s="3">
        <v>33964</v>
      </c>
      <c r="D985" t="s">
        <v>28</v>
      </c>
    </row>
    <row r="986" spans="1:4" x14ac:dyDescent="0.35">
      <c r="A986">
        <v>25968</v>
      </c>
      <c r="B986" s="2">
        <v>45348</v>
      </c>
      <c r="C986" s="3">
        <v>33952</v>
      </c>
      <c r="D986" t="s">
        <v>27</v>
      </c>
    </row>
    <row r="987" spans="1:4" x14ac:dyDescent="0.35">
      <c r="A987">
        <v>14578</v>
      </c>
      <c r="B987" s="2">
        <v>45324</v>
      </c>
      <c r="C987" s="3">
        <v>33934</v>
      </c>
      <c r="D987" t="s">
        <v>27</v>
      </c>
    </row>
    <row r="988" spans="1:4" x14ac:dyDescent="0.35">
      <c r="A988">
        <v>72972</v>
      </c>
      <c r="B988" s="2">
        <v>45331</v>
      </c>
      <c r="C988" s="3">
        <v>33918</v>
      </c>
      <c r="D988" t="s">
        <v>28</v>
      </c>
    </row>
    <row r="989" spans="1:4" x14ac:dyDescent="0.35">
      <c r="A989">
        <v>28567</v>
      </c>
      <c r="B989" s="2">
        <v>45348</v>
      </c>
      <c r="C989" s="3">
        <v>33900</v>
      </c>
      <c r="D989" t="s">
        <v>28</v>
      </c>
    </row>
    <row r="990" spans="1:4" x14ac:dyDescent="0.35">
      <c r="A990">
        <v>76589</v>
      </c>
      <c r="B990" s="2">
        <v>45338</v>
      </c>
      <c r="C990" s="3">
        <v>33835</v>
      </c>
      <c r="D990" t="s">
        <v>28</v>
      </c>
    </row>
    <row r="991" spans="1:4" x14ac:dyDescent="0.35">
      <c r="A991">
        <v>39377</v>
      </c>
      <c r="B991" s="2">
        <v>45342</v>
      </c>
      <c r="C991" s="3">
        <v>33751</v>
      </c>
      <c r="D991" t="s">
        <v>27</v>
      </c>
    </row>
    <row r="992" spans="1:4" x14ac:dyDescent="0.35">
      <c r="A992">
        <v>90802</v>
      </c>
      <c r="B992" s="2">
        <v>45302</v>
      </c>
      <c r="C992" s="3">
        <v>33709</v>
      </c>
      <c r="D992" t="s">
        <v>26</v>
      </c>
    </row>
    <row r="993" spans="1:4" x14ac:dyDescent="0.35">
      <c r="A993">
        <v>19864</v>
      </c>
      <c r="B993" s="2">
        <v>45334</v>
      </c>
      <c r="C993" s="3">
        <v>33709</v>
      </c>
      <c r="D993" t="s">
        <v>26</v>
      </c>
    </row>
    <row r="994" spans="1:4" x14ac:dyDescent="0.35">
      <c r="A994">
        <v>42749</v>
      </c>
      <c r="B994" s="2">
        <v>45314</v>
      </c>
      <c r="C994" s="3">
        <v>33661</v>
      </c>
      <c r="D994" t="s">
        <v>26</v>
      </c>
    </row>
    <row r="995" spans="1:4" x14ac:dyDescent="0.35">
      <c r="A995">
        <v>32167</v>
      </c>
      <c r="B995" s="2">
        <v>45311</v>
      </c>
      <c r="C995" s="3">
        <v>33586</v>
      </c>
      <c r="D995" t="s">
        <v>28</v>
      </c>
    </row>
    <row r="996" spans="1:4" x14ac:dyDescent="0.35">
      <c r="A996">
        <v>88730</v>
      </c>
      <c r="B996" s="2">
        <v>45298</v>
      </c>
      <c r="C996" s="3">
        <v>33560</v>
      </c>
      <c r="D996" t="s">
        <v>26</v>
      </c>
    </row>
    <row r="997" spans="1:4" x14ac:dyDescent="0.35">
      <c r="A997">
        <v>29980</v>
      </c>
      <c r="B997" s="2">
        <v>45353</v>
      </c>
      <c r="C997" s="3">
        <v>33458</v>
      </c>
      <c r="D997" t="s">
        <v>28</v>
      </c>
    </row>
    <row r="998" spans="1:4" x14ac:dyDescent="0.35">
      <c r="A998">
        <v>19045</v>
      </c>
      <c r="B998" s="2">
        <v>45323</v>
      </c>
      <c r="C998" s="3">
        <v>33401</v>
      </c>
      <c r="D998" t="s">
        <v>27</v>
      </c>
    </row>
    <row r="999" spans="1:4" x14ac:dyDescent="0.35">
      <c r="A999">
        <v>22532</v>
      </c>
      <c r="B999" s="2">
        <v>45320</v>
      </c>
      <c r="C999" s="3">
        <v>33285</v>
      </c>
      <c r="D999" t="s">
        <v>28</v>
      </c>
    </row>
    <row r="1000" spans="1:4" x14ac:dyDescent="0.35">
      <c r="A1000">
        <v>54336</v>
      </c>
      <c r="B1000" s="2">
        <v>45325</v>
      </c>
      <c r="C1000" s="3">
        <v>33062</v>
      </c>
      <c r="D1000" t="s">
        <v>26</v>
      </c>
    </row>
    <row r="1001" spans="1:4" x14ac:dyDescent="0.35">
      <c r="A1001">
        <v>93321</v>
      </c>
      <c r="B1001" s="2">
        <v>45309</v>
      </c>
      <c r="C1001" s="3">
        <v>32992</v>
      </c>
      <c r="D1001" t="s">
        <v>27</v>
      </c>
    </row>
    <row r="1002" spans="1:4" x14ac:dyDescent="0.35">
      <c r="A1002">
        <v>68462</v>
      </c>
      <c r="B1002" s="2">
        <v>45295</v>
      </c>
      <c r="C1002" s="3">
        <v>32951</v>
      </c>
      <c r="D1002" t="s">
        <v>26</v>
      </c>
    </row>
    <row r="1003" spans="1:4" x14ac:dyDescent="0.35">
      <c r="A1003">
        <v>18288</v>
      </c>
      <c r="B1003" s="2">
        <v>45337</v>
      </c>
      <c r="C1003" s="3">
        <v>32879</v>
      </c>
      <c r="D1003" t="s">
        <v>27</v>
      </c>
    </row>
    <row r="1004" spans="1:4" x14ac:dyDescent="0.35">
      <c r="A1004">
        <v>72990</v>
      </c>
      <c r="B1004" s="2">
        <v>45314</v>
      </c>
      <c r="C1004" s="3">
        <v>32811</v>
      </c>
      <c r="D1004" t="s">
        <v>26</v>
      </c>
    </row>
    <row r="1005" spans="1:4" x14ac:dyDescent="0.35">
      <c r="A1005">
        <v>44539</v>
      </c>
      <c r="B1005" s="2">
        <v>45295</v>
      </c>
      <c r="C1005" s="3">
        <v>32694</v>
      </c>
      <c r="D1005" t="s">
        <v>26</v>
      </c>
    </row>
    <row r="1006" spans="1:4" x14ac:dyDescent="0.35">
      <c r="A1006">
        <v>57578</v>
      </c>
      <c r="B1006" s="2">
        <v>45328</v>
      </c>
      <c r="C1006" s="3">
        <v>32283</v>
      </c>
      <c r="D1006" t="s">
        <v>26</v>
      </c>
    </row>
    <row r="1007" spans="1:4" x14ac:dyDescent="0.35">
      <c r="A1007">
        <v>55895</v>
      </c>
      <c r="B1007" s="2">
        <v>45344</v>
      </c>
      <c r="C1007" s="3">
        <v>32204</v>
      </c>
      <c r="D1007" t="s">
        <v>27</v>
      </c>
    </row>
    <row r="1008" spans="1:4" x14ac:dyDescent="0.35">
      <c r="A1008">
        <v>77842</v>
      </c>
      <c r="B1008" s="2">
        <v>45345</v>
      </c>
      <c r="C1008" s="3">
        <v>32122</v>
      </c>
      <c r="D1008" t="s">
        <v>26</v>
      </c>
    </row>
    <row r="1009" spans="1:4" x14ac:dyDescent="0.35">
      <c r="A1009">
        <v>27642</v>
      </c>
      <c r="B1009" s="2">
        <v>45352</v>
      </c>
      <c r="C1009" s="3">
        <v>32093</v>
      </c>
      <c r="D1009" t="s">
        <v>27</v>
      </c>
    </row>
    <row r="1010" spans="1:4" x14ac:dyDescent="0.35">
      <c r="A1010">
        <v>41921</v>
      </c>
      <c r="B1010" s="2">
        <v>45332</v>
      </c>
      <c r="C1010" s="3">
        <v>32078</v>
      </c>
      <c r="D1010" t="s">
        <v>26</v>
      </c>
    </row>
    <row r="1011" spans="1:4" x14ac:dyDescent="0.35">
      <c r="A1011">
        <v>67063</v>
      </c>
      <c r="B1011" s="2">
        <v>45315</v>
      </c>
      <c r="C1011" s="3">
        <v>32069</v>
      </c>
      <c r="D1011" t="s">
        <v>27</v>
      </c>
    </row>
    <row r="1012" spans="1:4" x14ac:dyDescent="0.35">
      <c r="A1012">
        <v>76669</v>
      </c>
      <c r="B1012" s="2">
        <v>45353</v>
      </c>
      <c r="C1012" s="3">
        <v>32054</v>
      </c>
      <c r="D1012" t="s">
        <v>26</v>
      </c>
    </row>
    <row r="1013" spans="1:4" x14ac:dyDescent="0.35">
      <c r="A1013">
        <v>88106</v>
      </c>
      <c r="B1013" s="2">
        <v>45331</v>
      </c>
      <c r="C1013" s="3">
        <v>32053</v>
      </c>
      <c r="D1013" t="s">
        <v>28</v>
      </c>
    </row>
    <row r="1014" spans="1:4" x14ac:dyDescent="0.35">
      <c r="A1014">
        <v>23292</v>
      </c>
      <c r="B1014" s="2">
        <v>45306</v>
      </c>
      <c r="C1014" s="3">
        <v>32006</v>
      </c>
      <c r="D1014" t="s">
        <v>26</v>
      </c>
    </row>
    <row r="1015" spans="1:4" x14ac:dyDescent="0.35">
      <c r="A1015">
        <v>57585</v>
      </c>
      <c r="B1015" s="2">
        <v>45298</v>
      </c>
      <c r="C1015" s="3">
        <v>31963</v>
      </c>
      <c r="D1015" t="s">
        <v>28</v>
      </c>
    </row>
    <row r="1016" spans="1:4" x14ac:dyDescent="0.35">
      <c r="A1016">
        <v>62144</v>
      </c>
      <c r="B1016" s="2">
        <v>45303</v>
      </c>
      <c r="C1016" s="3">
        <v>31886</v>
      </c>
      <c r="D1016" t="s">
        <v>27</v>
      </c>
    </row>
    <row r="1017" spans="1:4" x14ac:dyDescent="0.35">
      <c r="A1017">
        <v>93501</v>
      </c>
      <c r="B1017" s="2">
        <v>45352</v>
      </c>
      <c r="C1017" s="3">
        <v>31875</v>
      </c>
      <c r="D1017" t="s">
        <v>28</v>
      </c>
    </row>
    <row r="1018" spans="1:4" x14ac:dyDescent="0.35">
      <c r="A1018">
        <v>35875</v>
      </c>
      <c r="B1018" s="2">
        <v>45296</v>
      </c>
      <c r="C1018" s="3">
        <v>31774</v>
      </c>
      <c r="D1018" t="s">
        <v>27</v>
      </c>
    </row>
    <row r="1019" spans="1:4" x14ac:dyDescent="0.35">
      <c r="A1019">
        <v>95443</v>
      </c>
      <c r="B1019" s="2">
        <v>45306</v>
      </c>
      <c r="C1019" s="3">
        <v>31718</v>
      </c>
      <c r="D1019" t="s">
        <v>26</v>
      </c>
    </row>
    <row r="1020" spans="1:4" x14ac:dyDescent="0.35">
      <c r="A1020">
        <v>62306</v>
      </c>
      <c r="B1020" s="2">
        <v>45323</v>
      </c>
      <c r="C1020" s="3">
        <v>31626</v>
      </c>
      <c r="D1020" t="s">
        <v>28</v>
      </c>
    </row>
    <row r="1021" spans="1:4" x14ac:dyDescent="0.35">
      <c r="A1021">
        <v>46995</v>
      </c>
      <c r="B1021" s="2">
        <v>45333</v>
      </c>
      <c r="C1021" s="3">
        <v>31538</v>
      </c>
      <c r="D1021" t="s">
        <v>26</v>
      </c>
    </row>
    <row r="1022" spans="1:4" x14ac:dyDescent="0.35">
      <c r="A1022">
        <v>91431</v>
      </c>
      <c r="B1022" s="2">
        <v>45331</v>
      </c>
      <c r="C1022" s="3">
        <v>31498</v>
      </c>
      <c r="D1022" t="s">
        <v>26</v>
      </c>
    </row>
    <row r="1023" spans="1:4" x14ac:dyDescent="0.35">
      <c r="A1023">
        <v>70384</v>
      </c>
      <c r="B1023" s="2">
        <v>45297</v>
      </c>
      <c r="C1023" s="3">
        <v>31481</v>
      </c>
      <c r="D1023" t="s">
        <v>27</v>
      </c>
    </row>
    <row r="1024" spans="1:4" x14ac:dyDescent="0.35">
      <c r="A1024">
        <v>84337</v>
      </c>
      <c r="B1024" s="2">
        <v>45328</v>
      </c>
      <c r="C1024" s="3">
        <v>31472</v>
      </c>
      <c r="D1024" t="s">
        <v>28</v>
      </c>
    </row>
    <row r="1025" spans="1:4" x14ac:dyDescent="0.35">
      <c r="A1025">
        <v>93736</v>
      </c>
      <c r="B1025" s="2">
        <v>45330</v>
      </c>
      <c r="C1025" s="3">
        <v>31348</v>
      </c>
      <c r="D1025" t="s">
        <v>28</v>
      </c>
    </row>
    <row r="1026" spans="1:4" x14ac:dyDescent="0.35">
      <c r="A1026">
        <v>79196</v>
      </c>
      <c r="B1026" s="2">
        <v>45312</v>
      </c>
      <c r="C1026" s="3">
        <v>31085</v>
      </c>
      <c r="D1026" t="s">
        <v>26</v>
      </c>
    </row>
    <row r="1027" spans="1:4" x14ac:dyDescent="0.35">
      <c r="A1027">
        <v>21582</v>
      </c>
      <c r="B1027" s="2">
        <v>45293</v>
      </c>
      <c r="C1027" s="3">
        <v>31008</v>
      </c>
      <c r="D1027" t="s">
        <v>26</v>
      </c>
    </row>
    <row r="1028" spans="1:4" x14ac:dyDescent="0.35">
      <c r="A1028">
        <v>44863</v>
      </c>
      <c r="B1028" s="2">
        <v>45314</v>
      </c>
      <c r="C1028" s="3">
        <v>30965</v>
      </c>
      <c r="D1028" t="s">
        <v>28</v>
      </c>
    </row>
    <row r="1029" spans="1:4" x14ac:dyDescent="0.35">
      <c r="A1029">
        <v>72439</v>
      </c>
      <c r="B1029" s="2">
        <v>45339</v>
      </c>
      <c r="C1029" s="3">
        <v>30961</v>
      </c>
      <c r="D1029" t="s">
        <v>26</v>
      </c>
    </row>
    <row r="1030" spans="1:4" x14ac:dyDescent="0.35">
      <c r="A1030">
        <v>72213</v>
      </c>
      <c r="B1030" s="2">
        <v>45353</v>
      </c>
      <c r="C1030" s="3">
        <v>30888</v>
      </c>
      <c r="D1030" t="s">
        <v>26</v>
      </c>
    </row>
    <row r="1031" spans="1:4" x14ac:dyDescent="0.35">
      <c r="A1031">
        <v>37363</v>
      </c>
      <c r="B1031" s="2">
        <v>45305</v>
      </c>
      <c r="C1031" s="3">
        <v>30783</v>
      </c>
      <c r="D1031" t="s">
        <v>26</v>
      </c>
    </row>
    <row r="1032" spans="1:4" x14ac:dyDescent="0.35">
      <c r="A1032">
        <v>58987</v>
      </c>
      <c r="B1032" s="2">
        <v>45300</v>
      </c>
      <c r="C1032" s="3">
        <v>30763</v>
      </c>
      <c r="D1032" t="s">
        <v>28</v>
      </c>
    </row>
    <row r="1033" spans="1:4" x14ac:dyDescent="0.35">
      <c r="A1033">
        <v>81191</v>
      </c>
      <c r="B1033" s="2">
        <v>45302</v>
      </c>
      <c r="C1033" s="3">
        <v>30630</v>
      </c>
      <c r="D1033" t="s">
        <v>28</v>
      </c>
    </row>
    <row r="1034" spans="1:4" x14ac:dyDescent="0.35">
      <c r="A1034">
        <v>22912</v>
      </c>
      <c r="B1034" s="2">
        <v>45347</v>
      </c>
      <c r="C1034" s="3">
        <v>30597</v>
      </c>
      <c r="D1034" t="s">
        <v>27</v>
      </c>
    </row>
    <row r="1035" spans="1:4" x14ac:dyDescent="0.35">
      <c r="A1035">
        <v>43825</v>
      </c>
      <c r="B1035" s="2">
        <v>45292</v>
      </c>
      <c r="C1035" s="3">
        <v>30529</v>
      </c>
      <c r="D1035" t="s">
        <v>28</v>
      </c>
    </row>
    <row r="1036" spans="1:4" x14ac:dyDescent="0.35">
      <c r="A1036">
        <v>26707</v>
      </c>
      <c r="B1036" s="2">
        <v>45341</v>
      </c>
      <c r="C1036" s="3">
        <v>30428</v>
      </c>
      <c r="D1036" t="s">
        <v>28</v>
      </c>
    </row>
    <row r="1037" spans="1:4" x14ac:dyDescent="0.35">
      <c r="A1037">
        <v>73081</v>
      </c>
      <c r="B1037" s="2">
        <v>45317</v>
      </c>
      <c r="C1037" s="3">
        <v>30422</v>
      </c>
      <c r="D1037" t="s">
        <v>27</v>
      </c>
    </row>
    <row r="1038" spans="1:4" x14ac:dyDescent="0.35">
      <c r="A1038">
        <v>65262</v>
      </c>
      <c r="B1038" s="2">
        <v>45309</v>
      </c>
      <c r="C1038" s="3">
        <v>30350</v>
      </c>
      <c r="D1038" t="s">
        <v>28</v>
      </c>
    </row>
    <row r="1039" spans="1:4" x14ac:dyDescent="0.35">
      <c r="A1039">
        <v>19943</v>
      </c>
      <c r="B1039" s="2">
        <v>45311</v>
      </c>
      <c r="C1039" s="3">
        <v>30330</v>
      </c>
      <c r="D1039" t="s">
        <v>28</v>
      </c>
    </row>
    <row r="1040" spans="1:4" x14ac:dyDescent="0.35">
      <c r="A1040">
        <v>40077</v>
      </c>
      <c r="B1040" s="2">
        <v>45305</v>
      </c>
      <c r="C1040" s="3">
        <v>30242</v>
      </c>
      <c r="D1040" t="s">
        <v>28</v>
      </c>
    </row>
    <row r="1041" spans="1:4" x14ac:dyDescent="0.35">
      <c r="A1041">
        <v>38515</v>
      </c>
      <c r="B1041" s="2">
        <v>45329</v>
      </c>
      <c r="C1041" s="3">
        <v>30197</v>
      </c>
      <c r="D1041" t="s">
        <v>26</v>
      </c>
    </row>
    <row r="1042" spans="1:4" x14ac:dyDescent="0.35">
      <c r="A1042">
        <v>38563</v>
      </c>
      <c r="B1042" s="2">
        <v>45325</v>
      </c>
      <c r="C1042" s="3">
        <v>30163</v>
      </c>
      <c r="D1042" t="s">
        <v>28</v>
      </c>
    </row>
    <row r="1043" spans="1:4" x14ac:dyDescent="0.35">
      <c r="A1043">
        <v>29570</v>
      </c>
      <c r="B1043" s="2">
        <v>45305</v>
      </c>
      <c r="C1043" s="3">
        <v>30135</v>
      </c>
      <c r="D1043" t="s">
        <v>26</v>
      </c>
    </row>
    <row r="1044" spans="1:4" x14ac:dyDescent="0.35">
      <c r="A1044">
        <v>34028</v>
      </c>
      <c r="B1044" s="2">
        <v>45309</v>
      </c>
      <c r="C1044" s="3">
        <v>30121</v>
      </c>
      <c r="D1044" t="s">
        <v>27</v>
      </c>
    </row>
    <row r="1045" spans="1:4" x14ac:dyDescent="0.35">
      <c r="A1045">
        <v>89881</v>
      </c>
      <c r="B1045" s="2">
        <v>45308</v>
      </c>
      <c r="C1045" s="3">
        <v>30110</v>
      </c>
      <c r="D1045" t="s">
        <v>28</v>
      </c>
    </row>
    <row r="1046" spans="1:4" x14ac:dyDescent="0.35">
      <c r="A1046">
        <v>32612</v>
      </c>
      <c r="B1046" s="2">
        <v>45298</v>
      </c>
      <c r="C1046" s="3">
        <v>29982</v>
      </c>
      <c r="D1046" t="s">
        <v>28</v>
      </c>
    </row>
    <row r="1047" spans="1:4" x14ac:dyDescent="0.35">
      <c r="A1047">
        <v>92039</v>
      </c>
      <c r="B1047" s="2">
        <v>45303</v>
      </c>
      <c r="C1047" s="3">
        <v>29971</v>
      </c>
      <c r="D1047" t="s">
        <v>27</v>
      </c>
    </row>
    <row r="1048" spans="1:4" x14ac:dyDescent="0.35">
      <c r="A1048">
        <v>20103</v>
      </c>
      <c r="B1048" s="2">
        <v>45296</v>
      </c>
      <c r="C1048" s="3">
        <v>29872</v>
      </c>
      <c r="D1048" t="s">
        <v>26</v>
      </c>
    </row>
    <row r="1049" spans="1:4" x14ac:dyDescent="0.35">
      <c r="A1049">
        <v>11312</v>
      </c>
      <c r="B1049" s="2">
        <v>45335</v>
      </c>
      <c r="C1049" s="3">
        <v>29826</v>
      </c>
      <c r="D1049" t="s">
        <v>28</v>
      </c>
    </row>
    <row r="1050" spans="1:4" x14ac:dyDescent="0.35">
      <c r="A1050">
        <v>86394</v>
      </c>
      <c r="B1050" s="2">
        <v>45301</v>
      </c>
      <c r="C1050" s="3">
        <v>29742</v>
      </c>
      <c r="D1050" t="s">
        <v>28</v>
      </c>
    </row>
    <row r="1051" spans="1:4" x14ac:dyDescent="0.35">
      <c r="A1051">
        <v>60320</v>
      </c>
      <c r="B1051" s="2">
        <v>45314</v>
      </c>
      <c r="C1051" s="3">
        <v>29665</v>
      </c>
      <c r="D1051" t="s">
        <v>28</v>
      </c>
    </row>
    <row r="1052" spans="1:4" x14ac:dyDescent="0.35">
      <c r="A1052">
        <v>27324</v>
      </c>
      <c r="B1052" s="2">
        <v>45296</v>
      </c>
      <c r="C1052" s="3">
        <v>29533</v>
      </c>
      <c r="D1052" t="s">
        <v>28</v>
      </c>
    </row>
    <row r="1053" spans="1:4" x14ac:dyDescent="0.35">
      <c r="A1053">
        <v>80317</v>
      </c>
      <c r="B1053" s="2">
        <v>45316</v>
      </c>
      <c r="C1053" s="3">
        <v>29460</v>
      </c>
      <c r="D1053" t="s">
        <v>27</v>
      </c>
    </row>
    <row r="1054" spans="1:4" x14ac:dyDescent="0.35">
      <c r="A1054">
        <v>89096</v>
      </c>
      <c r="B1054" s="2">
        <v>45292</v>
      </c>
      <c r="C1054" s="3">
        <v>29293</v>
      </c>
      <c r="D1054" t="s">
        <v>26</v>
      </c>
    </row>
    <row r="1055" spans="1:4" x14ac:dyDescent="0.35">
      <c r="A1055">
        <v>61100</v>
      </c>
      <c r="B1055" s="2">
        <v>45352</v>
      </c>
      <c r="C1055" s="3">
        <v>29291</v>
      </c>
      <c r="D1055" t="s">
        <v>28</v>
      </c>
    </row>
    <row r="1056" spans="1:4" x14ac:dyDescent="0.35">
      <c r="A1056">
        <v>81266</v>
      </c>
      <c r="B1056" s="2">
        <v>45338</v>
      </c>
      <c r="C1056" s="3">
        <v>29196</v>
      </c>
      <c r="D1056" t="s">
        <v>28</v>
      </c>
    </row>
    <row r="1057" spans="1:4" x14ac:dyDescent="0.35">
      <c r="A1057">
        <v>90917</v>
      </c>
      <c r="B1057" s="2">
        <v>45330</v>
      </c>
      <c r="C1057" s="3">
        <v>29176</v>
      </c>
      <c r="D1057" t="s">
        <v>28</v>
      </c>
    </row>
    <row r="1058" spans="1:4" x14ac:dyDescent="0.35">
      <c r="A1058">
        <v>30906</v>
      </c>
      <c r="B1058" s="2">
        <v>45298</v>
      </c>
      <c r="C1058" s="3">
        <v>29081</v>
      </c>
      <c r="D1058" t="s">
        <v>26</v>
      </c>
    </row>
    <row r="1059" spans="1:4" x14ac:dyDescent="0.35">
      <c r="A1059">
        <v>25969</v>
      </c>
      <c r="B1059" s="2">
        <v>45347</v>
      </c>
      <c r="C1059" s="3">
        <v>29045</v>
      </c>
      <c r="D1059" t="s">
        <v>28</v>
      </c>
    </row>
    <row r="1060" spans="1:4" x14ac:dyDescent="0.35">
      <c r="A1060">
        <v>48557</v>
      </c>
      <c r="B1060" s="2">
        <v>45349</v>
      </c>
      <c r="C1060" s="3">
        <v>29038</v>
      </c>
      <c r="D1060" t="s">
        <v>26</v>
      </c>
    </row>
    <row r="1061" spans="1:4" x14ac:dyDescent="0.35">
      <c r="A1061">
        <v>83394</v>
      </c>
      <c r="B1061" s="2">
        <v>45325</v>
      </c>
      <c r="C1061" s="3">
        <v>29029</v>
      </c>
      <c r="D1061" t="s">
        <v>27</v>
      </c>
    </row>
    <row r="1062" spans="1:4" x14ac:dyDescent="0.35">
      <c r="A1062">
        <v>36414</v>
      </c>
      <c r="B1062" s="2">
        <v>45344</v>
      </c>
      <c r="C1062" s="3">
        <v>28877</v>
      </c>
      <c r="D1062" t="s">
        <v>28</v>
      </c>
    </row>
    <row r="1063" spans="1:4" x14ac:dyDescent="0.35">
      <c r="A1063">
        <v>27071</v>
      </c>
      <c r="B1063" s="2">
        <v>45309</v>
      </c>
      <c r="C1063" s="3">
        <v>28833</v>
      </c>
      <c r="D1063" t="s">
        <v>26</v>
      </c>
    </row>
    <row r="1064" spans="1:4" x14ac:dyDescent="0.35">
      <c r="A1064">
        <v>12432</v>
      </c>
      <c r="B1064" s="2">
        <v>45307</v>
      </c>
      <c r="C1064" s="3">
        <v>28815</v>
      </c>
      <c r="D1064" t="s">
        <v>26</v>
      </c>
    </row>
    <row r="1065" spans="1:4" x14ac:dyDescent="0.35">
      <c r="A1065">
        <v>77437</v>
      </c>
      <c r="B1065" s="2">
        <v>45347</v>
      </c>
      <c r="C1065" s="3">
        <v>28767</v>
      </c>
      <c r="D1065" t="s">
        <v>27</v>
      </c>
    </row>
    <row r="1066" spans="1:4" x14ac:dyDescent="0.35">
      <c r="A1066">
        <v>21453</v>
      </c>
      <c r="B1066" s="2">
        <v>45328</v>
      </c>
      <c r="C1066" s="3">
        <v>28689</v>
      </c>
      <c r="D1066" t="s">
        <v>28</v>
      </c>
    </row>
    <row r="1067" spans="1:4" x14ac:dyDescent="0.35">
      <c r="A1067">
        <v>60412</v>
      </c>
      <c r="B1067" s="2">
        <v>45335</v>
      </c>
      <c r="C1067" s="3">
        <v>28557</v>
      </c>
      <c r="D1067" t="s">
        <v>27</v>
      </c>
    </row>
    <row r="1068" spans="1:4" x14ac:dyDescent="0.35">
      <c r="A1068">
        <v>85783</v>
      </c>
      <c r="B1068" s="2">
        <v>45303</v>
      </c>
      <c r="C1068" s="3">
        <v>28556</v>
      </c>
      <c r="D1068" t="s">
        <v>28</v>
      </c>
    </row>
    <row r="1069" spans="1:4" x14ac:dyDescent="0.35">
      <c r="A1069">
        <v>54702</v>
      </c>
      <c r="B1069" s="2">
        <v>45346</v>
      </c>
      <c r="C1069" s="3">
        <v>28556</v>
      </c>
      <c r="D1069" t="s">
        <v>28</v>
      </c>
    </row>
    <row r="1070" spans="1:4" x14ac:dyDescent="0.35">
      <c r="A1070">
        <v>88385</v>
      </c>
      <c r="B1070" s="2">
        <v>45314</v>
      </c>
      <c r="C1070" s="3">
        <v>28433</v>
      </c>
      <c r="D1070" t="s">
        <v>27</v>
      </c>
    </row>
    <row r="1071" spans="1:4" x14ac:dyDescent="0.35">
      <c r="A1071">
        <v>68587</v>
      </c>
      <c r="B1071" s="2">
        <v>45349</v>
      </c>
      <c r="C1071" s="3">
        <v>28399</v>
      </c>
      <c r="D1071" t="s">
        <v>27</v>
      </c>
    </row>
    <row r="1072" spans="1:4" x14ac:dyDescent="0.35">
      <c r="A1072">
        <v>82167</v>
      </c>
      <c r="B1072" s="2">
        <v>45319</v>
      </c>
      <c r="C1072" s="3">
        <v>27969</v>
      </c>
      <c r="D1072" t="s">
        <v>26</v>
      </c>
    </row>
    <row r="1073" spans="1:4" x14ac:dyDescent="0.35">
      <c r="A1073">
        <v>80520</v>
      </c>
      <c r="B1073" s="2">
        <v>45302</v>
      </c>
      <c r="C1073" s="3">
        <v>27826</v>
      </c>
      <c r="D1073" t="s">
        <v>28</v>
      </c>
    </row>
    <row r="1074" spans="1:4" x14ac:dyDescent="0.35">
      <c r="A1074">
        <v>53352</v>
      </c>
      <c r="B1074" s="2">
        <v>45329</v>
      </c>
      <c r="C1074" s="3">
        <v>27691</v>
      </c>
      <c r="D1074" t="s">
        <v>26</v>
      </c>
    </row>
    <row r="1075" spans="1:4" x14ac:dyDescent="0.35">
      <c r="A1075">
        <v>26833</v>
      </c>
      <c r="B1075" s="2">
        <v>45320</v>
      </c>
      <c r="C1075" s="3">
        <v>27625</v>
      </c>
      <c r="D1075" t="s">
        <v>28</v>
      </c>
    </row>
    <row r="1076" spans="1:4" x14ac:dyDescent="0.35">
      <c r="A1076">
        <v>31156</v>
      </c>
      <c r="B1076" s="2">
        <v>45315</v>
      </c>
      <c r="C1076" s="3">
        <v>27535</v>
      </c>
      <c r="D1076" t="s">
        <v>26</v>
      </c>
    </row>
    <row r="1077" spans="1:4" x14ac:dyDescent="0.35">
      <c r="A1077">
        <v>59027</v>
      </c>
      <c r="B1077" s="2">
        <v>45350</v>
      </c>
      <c r="C1077" s="3">
        <v>27260</v>
      </c>
      <c r="D1077" t="s">
        <v>26</v>
      </c>
    </row>
    <row r="1078" spans="1:4" x14ac:dyDescent="0.35">
      <c r="A1078">
        <v>59688</v>
      </c>
      <c r="B1078" s="2">
        <v>45329</v>
      </c>
      <c r="C1078" s="3">
        <v>27248</v>
      </c>
      <c r="D1078" t="s">
        <v>27</v>
      </c>
    </row>
    <row r="1079" spans="1:4" x14ac:dyDescent="0.35">
      <c r="A1079">
        <v>29358</v>
      </c>
      <c r="B1079" s="2">
        <v>45350</v>
      </c>
      <c r="C1079" s="3">
        <v>27216</v>
      </c>
      <c r="D1079" t="s">
        <v>28</v>
      </c>
    </row>
    <row r="1080" spans="1:4" x14ac:dyDescent="0.35">
      <c r="A1080">
        <v>28456</v>
      </c>
      <c r="B1080" s="2">
        <v>45311</v>
      </c>
      <c r="C1080" s="3">
        <v>26875</v>
      </c>
      <c r="D1080" t="s">
        <v>28</v>
      </c>
    </row>
    <row r="1081" spans="1:4" x14ac:dyDescent="0.35">
      <c r="A1081">
        <v>26627</v>
      </c>
      <c r="B1081" s="2">
        <v>45316</v>
      </c>
      <c r="C1081" s="3">
        <v>26857</v>
      </c>
      <c r="D1081" t="s">
        <v>26</v>
      </c>
    </row>
    <row r="1082" spans="1:4" x14ac:dyDescent="0.35">
      <c r="A1082">
        <v>22243</v>
      </c>
      <c r="B1082" s="2">
        <v>45335</v>
      </c>
      <c r="C1082" s="3">
        <v>26857</v>
      </c>
      <c r="D1082" t="s">
        <v>28</v>
      </c>
    </row>
    <row r="1083" spans="1:4" x14ac:dyDescent="0.35">
      <c r="A1083">
        <v>57129</v>
      </c>
      <c r="B1083" s="2">
        <v>45316</v>
      </c>
      <c r="C1083" s="3">
        <v>26764</v>
      </c>
      <c r="D1083" t="s">
        <v>27</v>
      </c>
    </row>
    <row r="1084" spans="1:4" x14ac:dyDescent="0.35">
      <c r="A1084">
        <v>30358</v>
      </c>
      <c r="B1084" s="2">
        <v>45317</v>
      </c>
      <c r="C1084" s="3">
        <v>26730</v>
      </c>
      <c r="D1084" t="s">
        <v>26</v>
      </c>
    </row>
    <row r="1085" spans="1:4" x14ac:dyDescent="0.35">
      <c r="A1085">
        <v>56290</v>
      </c>
      <c r="B1085" s="2">
        <v>45349</v>
      </c>
      <c r="C1085" s="3">
        <v>26649</v>
      </c>
      <c r="D1085" t="s">
        <v>27</v>
      </c>
    </row>
    <row r="1086" spans="1:4" x14ac:dyDescent="0.35">
      <c r="A1086">
        <v>24856</v>
      </c>
      <c r="B1086" s="2">
        <v>45346</v>
      </c>
      <c r="C1086" s="3">
        <v>26556</v>
      </c>
      <c r="D1086" t="s">
        <v>26</v>
      </c>
    </row>
    <row r="1087" spans="1:4" x14ac:dyDescent="0.35">
      <c r="A1087">
        <v>97709</v>
      </c>
      <c r="B1087" s="2">
        <v>45338</v>
      </c>
      <c r="C1087" s="3">
        <v>26450</v>
      </c>
      <c r="D1087" t="s">
        <v>26</v>
      </c>
    </row>
    <row r="1088" spans="1:4" x14ac:dyDescent="0.35">
      <c r="A1088">
        <v>70751</v>
      </c>
      <c r="B1088" s="2">
        <v>45334</v>
      </c>
      <c r="C1088" s="3">
        <v>26431</v>
      </c>
      <c r="D1088" t="s">
        <v>26</v>
      </c>
    </row>
    <row r="1089" spans="1:4" x14ac:dyDescent="0.35">
      <c r="A1089">
        <v>50346</v>
      </c>
      <c r="B1089" s="2">
        <v>45347</v>
      </c>
      <c r="C1089" s="3">
        <v>26396</v>
      </c>
      <c r="D1089" t="s">
        <v>26</v>
      </c>
    </row>
    <row r="1090" spans="1:4" x14ac:dyDescent="0.35">
      <c r="A1090">
        <v>69129</v>
      </c>
      <c r="B1090" s="2">
        <v>45309</v>
      </c>
      <c r="C1090" s="3">
        <v>26333</v>
      </c>
      <c r="D1090" t="s">
        <v>27</v>
      </c>
    </row>
    <row r="1091" spans="1:4" x14ac:dyDescent="0.35">
      <c r="A1091">
        <v>61835</v>
      </c>
      <c r="B1091" s="2">
        <v>45308</v>
      </c>
      <c r="C1091" s="3">
        <v>26330</v>
      </c>
      <c r="D1091" t="s">
        <v>28</v>
      </c>
    </row>
    <row r="1092" spans="1:4" x14ac:dyDescent="0.35">
      <c r="A1092">
        <v>72526</v>
      </c>
      <c r="B1092" s="2">
        <v>45327</v>
      </c>
      <c r="C1092" s="3">
        <v>26122</v>
      </c>
      <c r="D1092" t="s">
        <v>28</v>
      </c>
    </row>
    <row r="1093" spans="1:4" x14ac:dyDescent="0.35">
      <c r="A1093">
        <v>70976</v>
      </c>
      <c r="B1093" s="2">
        <v>45338</v>
      </c>
      <c r="C1093" s="3">
        <v>26106</v>
      </c>
      <c r="D1093" t="s">
        <v>26</v>
      </c>
    </row>
    <row r="1094" spans="1:4" x14ac:dyDescent="0.35">
      <c r="A1094">
        <v>44870</v>
      </c>
      <c r="B1094" s="2">
        <v>45351</v>
      </c>
      <c r="C1094" s="3">
        <v>26088</v>
      </c>
      <c r="D1094" t="s">
        <v>26</v>
      </c>
    </row>
    <row r="1095" spans="1:4" x14ac:dyDescent="0.35">
      <c r="A1095">
        <v>44157</v>
      </c>
      <c r="B1095" s="2">
        <v>45352</v>
      </c>
      <c r="C1095" s="3">
        <v>26031</v>
      </c>
      <c r="D1095" t="s">
        <v>27</v>
      </c>
    </row>
    <row r="1096" spans="1:4" x14ac:dyDescent="0.35">
      <c r="A1096">
        <v>58369</v>
      </c>
      <c r="B1096" s="2">
        <v>45312</v>
      </c>
      <c r="C1096" s="3">
        <v>26018</v>
      </c>
      <c r="D1096" t="s">
        <v>28</v>
      </c>
    </row>
    <row r="1097" spans="1:4" x14ac:dyDescent="0.35">
      <c r="A1097">
        <v>58712</v>
      </c>
      <c r="B1097" s="2">
        <v>45327</v>
      </c>
      <c r="C1097" s="3">
        <v>25956</v>
      </c>
      <c r="D1097" t="s">
        <v>28</v>
      </c>
    </row>
    <row r="1098" spans="1:4" x14ac:dyDescent="0.35">
      <c r="A1098">
        <v>65977</v>
      </c>
      <c r="B1098" s="2">
        <v>45322</v>
      </c>
      <c r="C1098" s="3">
        <v>25939</v>
      </c>
      <c r="D1098" t="s">
        <v>26</v>
      </c>
    </row>
    <row r="1099" spans="1:4" x14ac:dyDescent="0.35">
      <c r="A1099">
        <v>41753</v>
      </c>
      <c r="B1099" s="2">
        <v>45314</v>
      </c>
      <c r="C1099" s="3">
        <v>25937</v>
      </c>
      <c r="D1099" t="s">
        <v>27</v>
      </c>
    </row>
    <row r="1100" spans="1:4" x14ac:dyDescent="0.35">
      <c r="A1100">
        <v>68508</v>
      </c>
      <c r="B1100" s="2">
        <v>45333</v>
      </c>
      <c r="C1100" s="3">
        <v>25822</v>
      </c>
      <c r="D1100" t="s">
        <v>27</v>
      </c>
    </row>
    <row r="1101" spans="1:4" x14ac:dyDescent="0.35">
      <c r="A1101">
        <v>26644</v>
      </c>
      <c r="B1101" s="2">
        <v>45337</v>
      </c>
      <c r="C1101" s="3">
        <v>25708</v>
      </c>
      <c r="D1101" t="s">
        <v>28</v>
      </c>
    </row>
    <row r="1102" spans="1:4" x14ac:dyDescent="0.35">
      <c r="A1102">
        <v>48569</v>
      </c>
      <c r="B1102" s="2">
        <v>45342</v>
      </c>
      <c r="C1102" s="3">
        <v>25657</v>
      </c>
      <c r="D1102" t="s">
        <v>27</v>
      </c>
    </row>
    <row r="1103" spans="1:4" x14ac:dyDescent="0.35">
      <c r="A1103">
        <v>26465</v>
      </c>
      <c r="B1103" s="2">
        <v>45351</v>
      </c>
      <c r="C1103" s="3">
        <v>25581</v>
      </c>
      <c r="D1103" t="s">
        <v>27</v>
      </c>
    </row>
    <row r="1104" spans="1:4" x14ac:dyDescent="0.35">
      <c r="A1104">
        <v>67449</v>
      </c>
      <c r="B1104" s="2">
        <v>45303</v>
      </c>
      <c r="C1104" s="3">
        <v>25578</v>
      </c>
      <c r="D1104" t="s">
        <v>28</v>
      </c>
    </row>
    <row r="1105" spans="1:4" x14ac:dyDescent="0.35">
      <c r="A1105">
        <v>58351</v>
      </c>
      <c r="B1105" s="2">
        <v>45325</v>
      </c>
      <c r="C1105" s="3">
        <v>25557</v>
      </c>
      <c r="D1105" t="s">
        <v>26</v>
      </c>
    </row>
    <row r="1106" spans="1:4" x14ac:dyDescent="0.35">
      <c r="A1106">
        <v>90592</v>
      </c>
      <c r="B1106" s="2">
        <v>45307</v>
      </c>
      <c r="C1106" s="3">
        <v>25552</v>
      </c>
      <c r="D1106" t="s">
        <v>26</v>
      </c>
    </row>
    <row r="1107" spans="1:4" x14ac:dyDescent="0.35">
      <c r="A1107">
        <v>71460</v>
      </c>
      <c r="B1107" s="2">
        <v>45319</v>
      </c>
      <c r="C1107" s="3">
        <v>25535</v>
      </c>
      <c r="D1107" t="s">
        <v>26</v>
      </c>
    </row>
    <row r="1108" spans="1:4" x14ac:dyDescent="0.35">
      <c r="A1108">
        <v>44536</v>
      </c>
      <c r="B1108" s="2">
        <v>45292</v>
      </c>
      <c r="C1108" s="3">
        <v>25505</v>
      </c>
      <c r="D1108" t="s">
        <v>28</v>
      </c>
    </row>
    <row r="1109" spans="1:4" x14ac:dyDescent="0.35">
      <c r="A1109">
        <v>55071</v>
      </c>
      <c r="B1109" s="2">
        <v>45335</v>
      </c>
      <c r="C1109" s="3">
        <v>25466</v>
      </c>
      <c r="D1109" t="s">
        <v>26</v>
      </c>
    </row>
    <row r="1110" spans="1:4" x14ac:dyDescent="0.35">
      <c r="A1110">
        <v>53354</v>
      </c>
      <c r="B1110" s="2">
        <v>45351</v>
      </c>
      <c r="C1110" s="3">
        <v>25454</v>
      </c>
      <c r="D1110" t="s">
        <v>28</v>
      </c>
    </row>
    <row r="1111" spans="1:4" x14ac:dyDescent="0.35">
      <c r="A1111">
        <v>75730</v>
      </c>
      <c r="B1111" s="2">
        <v>45295</v>
      </c>
      <c r="C1111" s="3">
        <v>25409</v>
      </c>
      <c r="D1111" t="s">
        <v>26</v>
      </c>
    </row>
    <row r="1112" spans="1:4" x14ac:dyDescent="0.35">
      <c r="A1112">
        <v>37584</v>
      </c>
      <c r="B1112" s="2">
        <v>45317</v>
      </c>
      <c r="C1112" s="3">
        <v>25220</v>
      </c>
      <c r="D1112" t="s">
        <v>27</v>
      </c>
    </row>
    <row r="1113" spans="1:4" x14ac:dyDescent="0.35">
      <c r="A1113">
        <v>25368</v>
      </c>
      <c r="B1113" s="2">
        <v>45298</v>
      </c>
      <c r="C1113" s="3">
        <v>25214</v>
      </c>
      <c r="D1113" t="s">
        <v>26</v>
      </c>
    </row>
    <row r="1114" spans="1:4" x14ac:dyDescent="0.35">
      <c r="A1114">
        <v>52866</v>
      </c>
      <c r="B1114" s="2">
        <v>45337</v>
      </c>
      <c r="C1114" s="3">
        <v>25143</v>
      </c>
      <c r="D1114" t="s">
        <v>26</v>
      </c>
    </row>
    <row r="1115" spans="1:4" x14ac:dyDescent="0.35">
      <c r="A1115">
        <v>46940</v>
      </c>
      <c r="B1115" s="2">
        <v>45315</v>
      </c>
      <c r="C1115" s="3">
        <v>25090</v>
      </c>
      <c r="D1115" t="s">
        <v>27</v>
      </c>
    </row>
    <row r="1116" spans="1:4" x14ac:dyDescent="0.35">
      <c r="A1116">
        <v>32846</v>
      </c>
      <c r="B1116" s="2">
        <v>45317</v>
      </c>
      <c r="C1116" s="3">
        <v>24963</v>
      </c>
      <c r="D1116" t="s">
        <v>26</v>
      </c>
    </row>
    <row r="1117" spans="1:4" x14ac:dyDescent="0.35">
      <c r="A1117">
        <v>50114</v>
      </c>
      <c r="B1117" s="2">
        <v>45295</v>
      </c>
      <c r="C1117" s="3">
        <v>24951</v>
      </c>
      <c r="D1117" t="s">
        <v>27</v>
      </c>
    </row>
    <row r="1118" spans="1:4" x14ac:dyDescent="0.35">
      <c r="A1118">
        <v>38979</v>
      </c>
      <c r="B1118" s="2">
        <v>45341</v>
      </c>
      <c r="C1118" s="3">
        <v>24933</v>
      </c>
      <c r="D1118" t="s">
        <v>27</v>
      </c>
    </row>
    <row r="1119" spans="1:4" x14ac:dyDescent="0.35">
      <c r="A1119">
        <v>46752</v>
      </c>
      <c r="B1119" s="2">
        <v>45326</v>
      </c>
      <c r="C1119" s="3">
        <v>24883</v>
      </c>
      <c r="D1119" t="s">
        <v>28</v>
      </c>
    </row>
    <row r="1120" spans="1:4" x14ac:dyDescent="0.35">
      <c r="A1120">
        <v>18919</v>
      </c>
      <c r="B1120" s="2">
        <v>45350</v>
      </c>
      <c r="C1120" s="3">
        <v>24841</v>
      </c>
      <c r="D1120" t="s">
        <v>26</v>
      </c>
    </row>
    <row r="1121" spans="1:4" x14ac:dyDescent="0.35">
      <c r="A1121">
        <v>13263</v>
      </c>
      <c r="B1121" s="2">
        <v>45304</v>
      </c>
      <c r="C1121" s="3">
        <v>24836</v>
      </c>
      <c r="D1121" t="s">
        <v>28</v>
      </c>
    </row>
    <row r="1122" spans="1:4" x14ac:dyDescent="0.35">
      <c r="A1122">
        <v>36432</v>
      </c>
      <c r="B1122" s="2">
        <v>45299</v>
      </c>
      <c r="C1122" s="3">
        <v>24778</v>
      </c>
      <c r="D1122" t="s">
        <v>27</v>
      </c>
    </row>
    <row r="1123" spans="1:4" x14ac:dyDescent="0.35">
      <c r="A1123">
        <v>89927</v>
      </c>
      <c r="B1123" s="2">
        <v>45345</v>
      </c>
      <c r="C1123" s="3">
        <v>24749</v>
      </c>
      <c r="D1123" t="s">
        <v>26</v>
      </c>
    </row>
    <row r="1124" spans="1:4" x14ac:dyDescent="0.35">
      <c r="A1124">
        <v>33313</v>
      </c>
      <c r="B1124" s="2">
        <v>45305</v>
      </c>
      <c r="C1124" s="3">
        <v>24731</v>
      </c>
      <c r="D1124" t="s">
        <v>28</v>
      </c>
    </row>
    <row r="1125" spans="1:4" x14ac:dyDescent="0.35">
      <c r="A1125">
        <v>46378</v>
      </c>
      <c r="B1125" s="2">
        <v>45295</v>
      </c>
      <c r="C1125" s="3">
        <v>24687</v>
      </c>
      <c r="D1125" t="s">
        <v>27</v>
      </c>
    </row>
    <row r="1126" spans="1:4" x14ac:dyDescent="0.35">
      <c r="A1126">
        <v>62050</v>
      </c>
      <c r="B1126" s="2">
        <v>45308</v>
      </c>
      <c r="C1126" s="3">
        <v>24687</v>
      </c>
      <c r="D1126" t="s">
        <v>27</v>
      </c>
    </row>
    <row r="1127" spans="1:4" x14ac:dyDescent="0.35">
      <c r="A1127">
        <v>93523</v>
      </c>
      <c r="B1127" s="2">
        <v>45340</v>
      </c>
      <c r="C1127" s="3">
        <v>24643</v>
      </c>
      <c r="D1127" t="s">
        <v>27</v>
      </c>
    </row>
    <row r="1128" spans="1:4" x14ac:dyDescent="0.35">
      <c r="A1128">
        <v>52372</v>
      </c>
      <c r="B1128" s="2">
        <v>45342</v>
      </c>
      <c r="C1128" s="3">
        <v>24624</v>
      </c>
      <c r="D1128" t="s">
        <v>27</v>
      </c>
    </row>
    <row r="1129" spans="1:4" x14ac:dyDescent="0.35">
      <c r="A1129">
        <v>36480</v>
      </c>
      <c r="B1129" s="2">
        <v>45302</v>
      </c>
      <c r="C1129" s="3">
        <v>24561</v>
      </c>
      <c r="D1129" t="s">
        <v>27</v>
      </c>
    </row>
    <row r="1130" spans="1:4" x14ac:dyDescent="0.35">
      <c r="A1130">
        <v>77314</v>
      </c>
      <c r="B1130" s="2">
        <v>45321</v>
      </c>
      <c r="C1130" s="3">
        <v>24499</v>
      </c>
      <c r="D1130" t="s">
        <v>26</v>
      </c>
    </row>
    <row r="1131" spans="1:4" x14ac:dyDescent="0.35">
      <c r="A1131">
        <v>89150</v>
      </c>
      <c r="B1131" s="2">
        <v>45354</v>
      </c>
      <c r="C1131" s="3">
        <v>24438</v>
      </c>
      <c r="D1131" t="s">
        <v>28</v>
      </c>
    </row>
    <row r="1132" spans="1:4" x14ac:dyDescent="0.35">
      <c r="A1132">
        <v>83135</v>
      </c>
      <c r="B1132" s="2">
        <v>45301</v>
      </c>
      <c r="C1132" s="3">
        <v>24401</v>
      </c>
      <c r="D1132" t="s">
        <v>28</v>
      </c>
    </row>
    <row r="1133" spans="1:4" x14ac:dyDescent="0.35">
      <c r="A1133">
        <v>41957</v>
      </c>
      <c r="B1133" s="2">
        <v>45334</v>
      </c>
      <c r="C1133" s="3">
        <v>24286</v>
      </c>
      <c r="D1133" t="s">
        <v>27</v>
      </c>
    </row>
    <row r="1134" spans="1:4" x14ac:dyDescent="0.35">
      <c r="A1134">
        <v>47335</v>
      </c>
      <c r="B1134" s="2">
        <v>45333</v>
      </c>
      <c r="C1134" s="3">
        <v>24168</v>
      </c>
      <c r="D1134" t="s">
        <v>28</v>
      </c>
    </row>
    <row r="1135" spans="1:4" x14ac:dyDescent="0.35">
      <c r="A1135">
        <v>43203</v>
      </c>
      <c r="B1135" s="2">
        <v>45319</v>
      </c>
      <c r="C1135" s="3">
        <v>24150</v>
      </c>
      <c r="D1135" t="s">
        <v>28</v>
      </c>
    </row>
    <row r="1136" spans="1:4" x14ac:dyDescent="0.35">
      <c r="A1136">
        <v>39963</v>
      </c>
      <c r="B1136" s="2">
        <v>45306</v>
      </c>
      <c r="C1136" s="3">
        <v>24109</v>
      </c>
      <c r="D1136" t="s">
        <v>27</v>
      </c>
    </row>
    <row r="1137" spans="1:4" x14ac:dyDescent="0.35">
      <c r="A1137">
        <v>24779</v>
      </c>
      <c r="B1137" s="2">
        <v>45292</v>
      </c>
      <c r="C1137" s="3">
        <v>23987</v>
      </c>
      <c r="D1137" t="s">
        <v>26</v>
      </c>
    </row>
    <row r="1138" spans="1:4" x14ac:dyDescent="0.35">
      <c r="A1138">
        <v>33584</v>
      </c>
      <c r="B1138" s="2">
        <v>45335</v>
      </c>
      <c r="C1138" s="3">
        <v>23948</v>
      </c>
      <c r="D1138" t="s">
        <v>26</v>
      </c>
    </row>
    <row r="1139" spans="1:4" x14ac:dyDescent="0.35">
      <c r="A1139">
        <v>62062</v>
      </c>
      <c r="B1139" s="2">
        <v>45317</v>
      </c>
      <c r="C1139" s="3">
        <v>23929</v>
      </c>
      <c r="D1139" t="s">
        <v>26</v>
      </c>
    </row>
    <row r="1140" spans="1:4" x14ac:dyDescent="0.35">
      <c r="A1140">
        <v>15060</v>
      </c>
      <c r="B1140" s="2">
        <v>45297</v>
      </c>
      <c r="C1140" s="3">
        <v>23913</v>
      </c>
      <c r="D1140" t="s">
        <v>27</v>
      </c>
    </row>
    <row r="1141" spans="1:4" x14ac:dyDescent="0.35">
      <c r="A1141">
        <v>94168</v>
      </c>
      <c r="B1141" s="2">
        <v>45346</v>
      </c>
      <c r="C1141" s="3">
        <v>23740</v>
      </c>
      <c r="D1141" t="s">
        <v>28</v>
      </c>
    </row>
    <row r="1142" spans="1:4" x14ac:dyDescent="0.35">
      <c r="A1142">
        <v>98089</v>
      </c>
      <c r="B1142" s="2">
        <v>45349</v>
      </c>
      <c r="C1142" s="3">
        <v>23695</v>
      </c>
      <c r="D1142" t="s">
        <v>27</v>
      </c>
    </row>
    <row r="1143" spans="1:4" x14ac:dyDescent="0.35">
      <c r="A1143">
        <v>16001</v>
      </c>
      <c r="B1143" s="2">
        <v>45338</v>
      </c>
      <c r="C1143" s="3">
        <v>23513</v>
      </c>
      <c r="D1143" t="s">
        <v>28</v>
      </c>
    </row>
    <row r="1144" spans="1:4" x14ac:dyDescent="0.35">
      <c r="A1144">
        <v>49486</v>
      </c>
      <c r="B1144" s="2">
        <v>45307</v>
      </c>
      <c r="C1144" s="3">
        <v>23477</v>
      </c>
      <c r="D1144" t="s">
        <v>28</v>
      </c>
    </row>
    <row r="1145" spans="1:4" x14ac:dyDescent="0.35">
      <c r="A1145">
        <v>93677</v>
      </c>
      <c r="B1145" s="2">
        <v>45346</v>
      </c>
      <c r="C1145" s="3">
        <v>23386</v>
      </c>
      <c r="D1145" t="s">
        <v>26</v>
      </c>
    </row>
    <row r="1146" spans="1:4" x14ac:dyDescent="0.35">
      <c r="A1146">
        <v>69151</v>
      </c>
      <c r="B1146" s="2">
        <v>45317</v>
      </c>
      <c r="C1146" s="3">
        <v>23305</v>
      </c>
      <c r="D1146" t="s">
        <v>26</v>
      </c>
    </row>
    <row r="1147" spans="1:4" x14ac:dyDescent="0.35">
      <c r="A1147">
        <v>23428</v>
      </c>
      <c r="B1147" s="2">
        <v>45324</v>
      </c>
      <c r="C1147" s="3">
        <v>23274</v>
      </c>
      <c r="D1147" t="s">
        <v>26</v>
      </c>
    </row>
    <row r="1148" spans="1:4" x14ac:dyDescent="0.35">
      <c r="A1148">
        <v>95373</v>
      </c>
      <c r="B1148" s="2">
        <v>45307</v>
      </c>
      <c r="C1148" s="3">
        <v>22937</v>
      </c>
      <c r="D1148" t="s">
        <v>27</v>
      </c>
    </row>
    <row r="1149" spans="1:4" x14ac:dyDescent="0.35">
      <c r="A1149">
        <v>94937</v>
      </c>
      <c r="B1149" s="2">
        <v>45326</v>
      </c>
      <c r="C1149" s="3">
        <v>22843</v>
      </c>
      <c r="D1149" t="s">
        <v>28</v>
      </c>
    </row>
    <row r="1150" spans="1:4" x14ac:dyDescent="0.35">
      <c r="A1150">
        <v>54348</v>
      </c>
      <c r="B1150" s="2">
        <v>45322</v>
      </c>
      <c r="C1150" s="3">
        <v>22803</v>
      </c>
      <c r="D1150" t="s">
        <v>28</v>
      </c>
    </row>
    <row r="1151" spans="1:4" x14ac:dyDescent="0.35">
      <c r="A1151">
        <v>27613</v>
      </c>
      <c r="B1151" s="2">
        <v>45294</v>
      </c>
      <c r="C1151" s="3">
        <v>22767</v>
      </c>
      <c r="D1151" t="s">
        <v>26</v>
      </c>
    </row>
    <row r="1152" spans="1:4" x14ac:dyDescent="0.35">
      <c r="A1152">
        <v>53842</v>
      </c>
      <c r="B1152" s="2">
        <v>45301</v>
      </c>
      <c r="C1152" s="3">
        <v>22758</v>
      </c>
      <c r="D1152" t="s">
        <v>28</v>
      </c>
    </row>
    <row r="1153" spans="1:4" x14ac:dyDescent="0.35">
      <c r="A1153">
        <v>55666</v>
      </c>
      <c r="B1153" s="2">
        <v>45329</v>
      </c>
      <c r="C1153" s="3">
        <v>22753</v>
      </c>
      <c r="D1153" t="s">
        <v>27</v>
      </c>
    </row>
    <row r="1154" spans="1:4" x14ac:dyDescent="0.35">
      <c r="A1154">
        <v>81574</v>
      </c>
      <c r="B1154" s="2">
        <v>45297</v>
      </c>
      <c r="C1154" s="3">
        <v>22739</v>
      </c>
      <c r="D1154" t="s">
        <v>26</v>
      </c>
    </row>
    <row r="1155" spans="1:4" x14ac:dyDescent="0.35">
      <c r="A1155">
        <v>49130</v>
      </c>
      <c r="B1155" s="2">
        <v>45326</v>
      </c>
      <c r="C1155" s="3">
        <v>22601</v>
      </c>
      <c r="D1155" t="s">
        <v>26</v>
      </c>
    </row>
    <row r="1156" spans="1:4" x14ac:dyDescent="0.35">
      <c r="A1156">
        <v>42946</v>
      </c>
      <c r="B1156" s="2">
        <v>45313</v>
      </c>
      <c r="C1156" s="3">
        <v>22460</v>
      </c>
      <c r="D1156" t="s">
        <v>27</v>
      </c>
    </row>
    <row r="1157" spans="1:4" x14ac:dyDescent="0.35">
      <c r="A1157">
        <v>13217</v>
      </c>
      <c r="B1157" s="2">
        <v>45335</v>
      </c>
      <c r="C1157" s="3">
        <v>22456</v>
      </c>
      <c r="D1157" t="s">
        <v>27</v>
      </c>
    </row>
    <row r="1158" spans="1:4" x14ac:dyDescent="0.35">
      <c r="A1158">
        <v>74338</v>
      </c>
      <c r="B1158" s="2">
        <v>45353</v>
      </c>
      <c r="C1158" s="3">
        <v>22424</v>
      </c>
      <c r="D1158" t="s">
        <v>26</v>
      </c>
    </row>
    <row r="1159" spans="1:4" x14ac:dyDescent="0.35">
      <c r="A1159">
        <v>40048</v>
      </c>
      <c r="B1159" s="2">
        <v>45325</v>
      </c>
      <c r="C1159" s="3">
        <v>22422</v>
      </c>
      <c r="D1159" t="s">
        <v>26</v>
      </c>
    </row>
    <row r="1160" spans="1:4" x14ac:dyDescent="0.35">
      <c r="A1160">
        <v>33518</v>
      </c>
      <c r="B1160" s="2">
        <v>45335</v>
      </c>
      <c r="C1160" s="3">
        <v>22345</v>
      </c>
      <c r="D1160" t="s">
        <v>26</v>
      </c>
    </row>
    <row r="1161" spans="1:4" x14ac:dyDescent="0.35">
      <c r="A1161">
        <v>45111</v>
      </c>
      <c r="B1161" s="2">
        <v>45341</v>
      </c>
      <c r="C1161" s="3">
        <v>22331</v>
      </c>
      <c r="D1161" t="s">
        <v>28</v>
      </c>
    </row>
    <row r="1162" spans="1:4" x14ac:dyDescent="0.35">
      <c r="A1162">
        <v>23758</v>
      </c>
      <c r="B1162" s="2">
        <v>45294</v>
      </c>
      <c r="C1162" s="3">
        <v>22196</v>
      </c>
      <c r="D1162" t="s">
        <v>28</v>
      </c>
    </row>
    <row r="1163" spans="1:4" x14ac:dyDescent="0.35">
      <c r="A1163">
        <v>35050</v>
      </c>
      <c r="B1163" s="2">
        <v>45309</v>
      </c>
      <c r="C1163" s="3">
        <v>22170</v>
      </c>
      <c r="D1163" t="s">
        <v>26</v>
      </c>
    </row>
    <row r="1164" spans="1:4" x14ac:dyDescent="0.35">
      <c r="A1164">
        <v>70708</v>
      </c>
      <c r="B1164" s="2">
        <v>45301</v>
      </c>
      <c r="C1164" s="3">
        <v>22135</v>
      </c>
      <c r="D1164" t="s">
        <v>26</v>
      </c>
    </row>
    <row r="1165" spans="1:4" x14ac:dyDescent="0.35">
      <c r="A1165">
        <v>24953</v>
      </c>
      <c r="B1165" s="2">
        <v>45325</v>
      </c>
      <c r="C1165" s="3">
        <v>22112</v>
      </c>
      <c r="D1165" t="s">
        <v>27</v>
      </c>
    </row>
    <row r="1166" spans="1:4" x14ac:dyDescent="0.35">
      <c r="A1166">
        <v>20059</v>
      </c>
      <c r="B1166" s="2">
        <v>45323</v>
      </c>
      <c r="C1166" s="3">
        <v>22110</v>
      </c>
      <c r="D1166" t="s">
        <v>26</v>
      </c>
    </row>
    <row r="1167" spans="1:4" x14ac:dyDescent="0.35">
      <c r="A1167">
        <v>85030</v>
      </c>
      <c r="B1167" s="2">
        <v>45295</v>
      </c>
      <c r="C1167" s="3">
        <v>22019</v>
      </c>
      <c r="D1167" t="s">
        <v>27</v>
      </c>
    </row>
    <row r="1168" spans="1:4" x14ac:dyDescent="0.35">
      <c r="A1168">
        <v>63553</v>
      </c>
      <c r="B1168" s="2">
        <v>45338</v>
      </c>
      <c r="C1168" s="3">
        <v>21788</v>
      </c>
      <c r="D1168" t="s">
        <v>26</v>
      </c>
    </row>
    <row r="1169" spans="1:4" x14ac:dyDescent="0.35">
      <c r="A1169">
        <v>33011</v>
      </c>
      <c r="B1169" s="2">
        <v>45331</v>
      </c>
      <c r="C1169" s="3">
        <v>21786</v>
      </c>
      <c r="D1169" t="s">
        <v>26</v>
      </c>
    </row>
    <row r="1170" spans="1:4" x14ac:dyDescent="0.35">
      <c r="A1170">
        <v>92639</v>
      </c>
      <c r="B1170" s="2">
        <v>45326</v>
      </c>
      <c r="C1170" s="3">
        <v>21770</v>
      </c>
      <c r="D1170" t="s">
        <v>27</v>
      </c>
    </row>
    <row r="1171" spans="1:4" x14ac:dyDescent="0.35">
      <c r="A1171">
        <v>63131</v>
      </c>
      <c r="B1171" s="2">
        <v>45336</v>
      </c>
      <c r="C1171" s="3">
        <v>21742</v>
      </c>
      <c r="D1171" t="s">
        <v>27</v>
      </c>
    </row>
    <row r="1172" spans="1:4" x14ac:dyDescent="0.35">
      <c r="A1172">
        <v>26121</v>
      </c>
      <c r="B1172" s="2">
        <v>45301</v>
      </c>
      <c r="C1172" s="3">
        <v>21643</v>
      </c>
      <c r="D1172" t="s">
        <v>27</v>
      </c>
    </row>
    <row r="1173" spans="1:4" x14ac:dyDescent="0.35">
      <c r="A1173">
        <v>44867</v>
      </c>
      <c r="B1173" s="2">
        <v>45294</v>
      </c>
      <c r="C1173" s="3">
        <v>21439</v>
      </c>
      <c r="D1173" t="s">
        <v>27</v>
      </c>
    </row>
    <row r="1174" spans="1:4" x14ac:dyDescent="0.35">
      <c r="A1174">
        <v>54140</v>
      </c>
      <c r="B1174" s="2">
        <v>45307</v>
      </c>
      <c r="C1174" s="3">
        <v>21418</v>
      </c>
      <c r="D1174" t="s">
        <v>28</v>
      </c>
    </row>
    <row r="1175" spans="1:4" x14ac:dyDescent="0.35">
      <c r="A1175">
        <v>35511</v>
      </c>
      <c r="B1175" s="2">
        <v>45310</v>
      </c>
      <c r="C1175" s="3">
        <v>21301</v>
      </c>
      <c r="D1175" t="s">
        <v>27</v>
      </c>
    </row>
    <row r="1176" spans="1:4" x14ac:dyDescent="0.35">
      <c r="A1176">
        <v>48395</v>
      </c>
      <c r="B1176" s="2">
        <v>45297</v>
      </c>
      <c r="C1176" s="3">
        <v>21256</v>
      </c>
      <c r="D1176" t="s">
        <v>26</v>
      </c>
    </row>
    <row r="1177" spans="1:4" x14ac:dyDescent="0.35">
      <c r="A1177">
        <v>21896</v>
      </c>
      <c r="B1177" s="2">
        <v>45307</v>
      </c>
      <c r="C1177" s="3">
        <v>21179</v>
      </c>
      <c r="D1177" t="s">
        <v>26</v>
      </c>
    </row>
    <row r="1178" spans="1:4" x14ac:dyDescent="0.35">
      <c r="A1178">
        <v>87297</v>
      </c>
      <c r="B1178" s="2">
        <v>45318</v>
      </c>
      <c r="C1178" s="3">
        <v>21127</v>
      </c>
      <c r="D1178" t="s">
        <v>26</v>
      </c>
    </row>
    <row r="1179" spans="1:4" x14ac:dyDescent="0.35">
      <c r="A1179">
        <v>81801</v>
      </c>
      <c r="B1179" s="2">
        <v>45348</v>
      </c>
      <c r="C1179" s="3">
        <v>21081</v>
      </c>
      <c r="D1179" t="s">
        <v>27</v>
      </c>
    </row>
    <row r="1180" spans="1:4" x14ac:dyDescent="0.35">
      <c r="A1180">
        <v>16676</v>
      </c>
      <c r="B1180" s="2">
        <v>45330</v>
      </c>
      <c r="C1180" s="3">
        <v>21078</v>
      </c>
      <c r="D1180" t="s">
        <v>28</v>
      </c>
    </row>
    <row r="1181" spans="1:4" x14ac:dyDescent="0.35">
      <c r="A1181">
        <v>85990</v>
      </c>
      <c r="B1181" s="2">
        <v>45333</v>
      </c>
      <c r="C1181" s="3">
        <v>21004</v>
      </c>
      <c r="D1181" t="s">
        <v>27</v>
      </c>
    </row>
    <row r="1182" spans="1:4" x14ac:dyDescent="0.35">
      <c r="A1182">
        <v>22626</v>
      </c>
      <c r="B1182" s="2">
        <v>45352</v>
      </c>
      <c r="C1182" s="3">
        <v>20933</v>
      </c>
      <c r="D1182" t="s">
        <v>28</v>
      </c>
    </row>
    <row r="1183" spans="1:4" x14ac:dyDescent="0.35">
      <c r="A1183">
        <v>98834</v>
      </c>
      <c r="B1183" s="2">
        <v>45304</v>
      </c>
      <c r="C1183" s="3">
        <v>20873</v>
      </c>
      <c r="D1183" t="s">
        <v>28</v>
      </c>
    </row>
    <row r="1184" spans="1:4" x14ac:dyDescent="0.35">
      <c r="A1184">
        <v>97708</v>
      </c>
      <c r="B1184" s="2">
        <v>45353</v>
      </c>
      <c r="C1184" s="3">
        <v>20850</v>
      </c>
      <c r="D1184" t="s">
        <v>26</v>
      </c>
    </row>
    <row r="1185" spans="1:4" x14ac:dyDescent="0.35">
      <c r="A1185">
        <v>24765</v>
      </c>
      <c r="B1185" s="2">
        <v>45346</v>
      </c>
      <c r="C1185" s="3">
        <v>20841</v>
      </c>
      <c r="D1185" t="s">
        <v>26</v>
      </c>
    </row>
    <row r="1186" spans="1:4" x14ac:dyDescent="0.35">
      <c r="A1186">
        <v>93764</v>
      </c>
      <c r="B1186" s="2">
        <v>45323</v>
      </c>
      <c r="C1186" s="3">
        <v>20715</v>
      </c>
      <c r="D1186" t="s">
        <v>27</v>
      </c>
    </row>
    <row r="1187" spans="1:4" x14ac:dyDescent="0.35">
      <c r="A1187">
        <v>40951</v>
      </c>
      <c r="B1187" s="2">
        <v>45330</v>
      </c>
      <c r="C1187" s="3">
        <v>20657</v>
      </c>
      <c r="D1187" t="s">
        <v>26</v>
      </c>
    </row>
    <row r="1188" spans="1:4" x14ac:dyDescent="0.35">
      <c r="A1188">
        <v>66947</v>
      </c>
      <c r="B1188" s="2">
        <v>45318</v>
      </c>
      <c r="C1188" s="3">
        <v>20616</v>
      </c>
      <c r="D1188" t="s">
        <v>28</v>
      </c>
    </row>
    <row r="1189" spans="1:4" x14ac:dyDescent="0.35">
      <c r="A1189">
        <v>15796</v>
      </c>
      <c r="B1189" s="2">
        <v>45342</v>
      </c>
      <c r="C1189" s="3">
        <v>20582</v>
      </c>
      <c r="D1189" t="s">
        <v>28</v>
      </c>
    </row>
    <row r="1190" spans="1:4" x14ac:dyDescent="0.35">
      <c r="A1190">
        <v>61566</v>
      </c>
      <c r="B1190" s="2">
        <v>45322</v>
      </c>
      <c r="C1190" s="3">
        <v>20531</v>
      </c>
      <c r="D1190" t="s">
        <v>27</v>
      </c>
    </row>
    <row r="1191" spans="1:4" x14ac:dyDescent="0.35">
      <c r="A1191">
        <v>68349</v>
      </c>
      <c r="B1191" s="2">
        <v>45332</v>
      </c>
      <c r="C1191" s="3">
        <v>20502</v>
      </c>
      <c r="D1191" t="s">
        <v>27</v>
      </c>
    </row>
    <row r="1192" spans="1:4" x14ac:dyDescent="0.35">
      <c r="A1192">
        <v>48273</v>
      </c>
      <c r="B1192" s="2">
        <v>45328</v>
      </c>
      <c r="C1192" s="3">
        <v>20473</v>
      </c>
      <c r="D1192" t="s">
        <v>28</v>
      </c>
    </row>
    <row r="1193" spans="1:4" x14ac:dyDescent="0.35">
      <c r="A1193">
        <v>73880</v>
      </c>
      <c r="B1193" s="2">
        <v>45346</v>
      </c>
      <c r="C1193" s="3">
        <v>20381</v>
      </c>
      <c r="D1193" t="s">
        <v>27</v>
      </c>
    </row>
    <row r="1194" spans="1:4" x14ac:dyDescent="0.35">
      <c r="A1194">
        <v>83992</v>
      </c>
      <c r="B1194" s="2">
        <v>45334</v>
      </c>
      <c r="C1194" s="3">
        <v>20271</v>
      </c>
      <c r="D1194" t="s">
        <v>27</v>
      </c>
    </row>
    <row r="1195" spans="1:4" x14ac:dyDescent="0.35">
      <c r="A1195">
        <v>89422</v>
      </c>
      <c r="B1195" s="2">
        <v>45299</v>
      </c>
      <c r="C1195" s="3">
        <v>20240</v>
      </c>
      <c r="D1195" t="s">
        <v>28</v>
      </c>
    </row>
    <row r="1196" spans="1:4" x14ac:dyDescent="0.35">
      <c r="A1196">
        <v>90483</v>
      </c>
      <c r="B1196" s="2">
        <v>45345</v>
      </c>
      <c r="C1196" s="3">
        <v>20217</v>
      </c>
      <c r="D1196" t="s">
        <v>26</v>
      </c>
    </row>
    <row r="1197" spans="1:4" x14ac:dyDescent="0.35">
      <c r="A1197">
        <v>14235</v>
      </c>
      <c r="B1197" s="2">
        <v>45337</v>
      </c>
      <c r="C1197" s="3">
        <v>20198</v>
      </c>
      <c r="D1197" t="s">
        <v>26</v>
      </c>
    </row>
    <row r="1198" spans="1:4" x14ac:dyDescent="0.35">
      <c r="A1198">
        <v>86886</v>
      </c>
      <c r="B1198" s="2">
        <v>45339</v>
      </c>
      <c r="C1198" s="3">
        <v>19940</v>
      </c>
      <c r="D1198" t="s">
        <v>26</v>
      </c>
    </row>
    <row r="1199" spans="1:4" x14ac:dyDescent="0.35">
      <c r="A1199">
        <v>23094</v>
      </c>
      <c r="B1199" s="2">
        <v>45298</v>
      </c>
      <c r="C1199" s="3">
        <v>19863</v>
      </c>
      <c r="D1199" t="s">
        <v>27</v>
      </c>
    </row>
    <row r="1200" spans="1:4" x14ac:dyDescent="0.35">
      <c r="A1200">
        <v>38276</v>
      </c>
      <c r="B1200" s="2">
        <v>45349</v>
      </c>
      <c r="C1200" s="3">
        <v>19767</v>
      </c>
      <c r="D1200" t="s">
        <v>27</v>
      </c>
    </row>
    <row r="1201" spans="1:4" x14ac:dyDescent="0.35">
      <c r="A1201">
        <v>83493</v>
      </c>
      <c r="B1201" s="2">
        <v>45321</v>
      </c>
      <c r="C1201" s="3">
        <v>19723</v>
      </c>
      <c r="D1201" t="s">
        <v>27</v>
      </c>
    </row>
    <row r="1202" spans="1:4" x14ac:dyDescent="0.35">
      <c r="A1202">
        <v>45268</v>
      </c>
      <c r="B1202" s="2">
        <v>45337</v>
      </c>
      <c r="C1202" s="3">
        <v>19720</v>
      </c>
      <c r="D1202" t="s">
        <v>28</v>
      </c>
    </row>
    <row r="1203" spans="1:4" x14ac:dyDescent="0.35">
      <c r="A1203">
        <v>83848</v>
      </c>
      <c r="B1203" s="2">
        <v>45352</v>
      </c>
      <c r="C1203" s="3">
        <v>19644</v>
      </c>
      <c r="D1203" t="s">
        <v>28</v>
      </c>
    </row>
    <row r="1204" spans="1:4" x14ac:dyDescent="0.35">
      <c r="A1204">
        <v>99480</v>
      </c>
      <c r="B1204" s="2">
        <v>45332</v>
      </c>
      <c r="C1204" s="3">
        <v>19638</v>
      </c>
      <c r="D1204" t="s">
        <v>26</v>
      </c>
    </row>
    <row r="1205" spans="1:4" x14ac:dyDescent="0.35">
      <c r="A1205">
        <v>81215</v>
      </c>
      <c r="B1205" s="2">
        <v>45295</v>
      </c>
      <c r="C1205" s="3">
        <v>19589</v>
      </c>
      <c r="D1205" t="s">
        <v>26</v>
      </c>
    </row>
    <row r="1206" spans="1:4" x14ac:dyDescent="0.35">
      <c r="A1206">
        <v>13865</v>
      </c>
      <c r="B1206" s="2">
        <v>45293</v>
      </c>
      <c r="C1206" s="3">
        <v>19586</v>
      </c>
      <c r="D1206" t="s">
        <v>27</v>
      </c>
    </row>
    <row r="1207" spans="1:4" x14ac:dyDescent="0.35">
      <c r="A1207">
        <v>61370</v>
      </c>
      <c r="B1207" s="2">
        <v>45325</v>
      </c>
      <c r="C1207" s="3">
        <v>19585</v>
      </c>
      <c r="D1207" t="s">
        <v>26</v>
      </c>
    </row>
    <row r="1208" spans="1:4" x14ac:dyDescent="0.35">
      <c r="A1208">
        <v>92927</v>
      </c>
      <c r="B1208" s="2">
        <v>45320</v>
      </c>
      <c r="C1208" s="3">
        <v>19583</v>
      </c>
      <c r="D1208" t="s">
        <v>28</v>
      </c>
    </row>
    <row r="1209" spans="1:4" x14ac:dyDescent="0.35">
      <c r="A1209">
        <v>42046</v>
      </c>
      <c r="B1209" s="2">
        <v>45294</v>
      </c>
      <c r="C1209" s="3">
        <v>19582</v>
      </c>
      <c r="D1209" t="s">
        <v>26</v>
      </c>
    </row>
    <row r="1210" spans="1:4" x14ac:dyDescent="0.35">
      <c r="A1210">
        <v>17562</v>
      </c>
      <c r="B1210" s="2">
        <v>45298</v>
      </c>
      <c r="C1210" s="3">
        <v>19509</v>
      </c>
      <c r="D1210" t="s">
        <v>28</v>
      </c>
    </row>
    <row r="1211" spans="1:4" x14ac:dyDescent="0.35">
      <c r="A1211">
        <v>42317</v>
      </c>
      <c r="B1211" s="2">
        <v>45329</v>
      </c>
      <c r="C1211" s="3">
        <v>19407</v>
      </c>
      <c r="D1211" t="s">
        <v>27</v>
      </c>
    </row>
    <row r="1212" spans="1:4" x14ac:dyDescent="0.35">
      <c r="A1212">
        <v>86949</v>
      </c>
      <c r="B1212" s="2">
        <v>45339</v>
      </c>
      <c r="C1212" s="3">
        <v>19349</v>
      </c>
      <c r="D1212" t="s">
        <v>27</v>
      </c>
    </row>
    <row r="1213" spans="1:4" x14ac:dyDescent="0.35">
      <c r="A1213">
        <v>33533</v>
      </c>
      <c r="B1213" s="2">
        <v>45313</v>
      </c>
      <c r="C1213" s="3">
        <v>19326</v>
      </c>
      <c r="D1213" t="s">
        <v>26</v>
      </c>
    </row>
    <row r="1214" spans="1:4" x14ac:dyDescent="0.35">
      <c r="A1214">
        <v>95691</v>
      </c>
      <c r="B1214" s="2">
        <v>45314</v>
      </c>
      <c r="C1214" s="3">
        <v>19279</v>
      </c>
      <c r="D1214" t="s">
        <v>27</v>
      </c>
    </row>
    <row r="1215" spans="1:4" x14ac:dyDescent="0.35">
      <c r="A1215">
        <v>26695</v>
      </c>
      <c r="B1215" s="2">
        <v>45336</v>
      </c>
      <c r="C1215" s="3">
        <v>19216</v>
      </c>
      <c r="D1215" t="s">
        <v>26</v>
      </c>
    </row>
    <row r="1216" spans="1:4" x14ac:dyDescent="0.35">
      <c r="A1216">
        <v>40945</v>
      </c>
      <c r="B1216" s="2">
        <v>45305</v>
      </c>
      <c r="C1216" s="3">
        <v>19135</v>
      </c>
      <c r="D1216" t="s">
        <v>28</v>
      </c>
    </row>
    <row r="1217" spans="1:4" x14ac:dyDescent="0.35">
      <c r="A1217">
        <v>88150</v>
      </c>
      <c r="B1217" s="2">
        <v>45307</v>
      </c>
      <c r="C1217" s="3">
        <v>19044</v>
      </c>
      <c r="D1217" t="s">
        <v>28</v>
      </c>
    </row>
    <row r="1218" spans="1:4" x14ac:dyDescent="0.35">
      <c r="A1218">
        <v>70594</v>
      </c>
      <c r="B1218" s="2">
        <v>45326</v>
      </c>
      <c r="C1218" s="3">
        <v>18935</v>
      </c>
      <c r="D1218" t="s">
        <v>27</v>
      </c>
    </row>
    <row r="1219" spans="1:4" x14ac:dyDescent="0.35">
      <c r="A1219">
        <v>65023</v>
      </c>
      <c r="B1219" s="2">
        <v>45352</v>
      </c>
      <c r="C1219" s="3">
        <v>18914</v>
      </c>
      <c r="D1219" t="s">
        <v>28</v>
      </c>
    </row>
    <row r="1220" spans="1:4" x14ac:dyDescent="0.35">
      <c r="A1220">
        <v>56380</v>
      </c>
      <c r="B1220" s="2">
        <v>45332</v>
      </c>
      <c r="C1220" s="3">
        <v>18788</v>
      </c>
      <c r="D1220" t="s">
        <v>26</v>
      </c>
    </row>
    <row r="1221" spans="1:4" x14ac:dyDescent="0.35">
      <c r="A1221">
        <v>37167</v>
      </c>
      <c r="B1221" s="2">
        <v>45308</v>
      </c>
      <c r="C1221" s="3">
        <v>18784</v>
      </c>
      <c r="D1221" t="s">
        <v>28</v>
      </c>
    </row>
    <row r="1222" spans="1:4" x14ac:dyDescent="0.35">
      <c r="A1222">
        <v>48952</v>
      </c>
      <c r="B1222" s="2">
        <v>45292</v>
      </c>
      <c r="C1222" s="3">
        <v>18769</v>
      </c>
      <c r="D1222" t="s">
        <v>27</v>
      </c>
    </row>
    <row r="1223" spans="1:4" x14ac:dyDescent="0.35">
      <c r="A1223">
        <v>54083</v>
      </c>
      <c r="B1223" s="2">
        <v>45341</v>
      </c>
      <c r="C1223" s="3">
        <v>18648</v>
      </c>
      <c r="D1223" t="s">
        <v>26</v>
      </c>
    </row>
    <row r="1224" spans="1:4" x14ac:dyDescent="0.35">
      <c r="A1224">
        <v>54942</v>
      </c>
      <c r="B1224" s="2">
        <v>45297</v>
      </c>
      <c r="C1224" s="3">
        <v>18640</v>
      </c>
      <c r="D1224" t="s">
        <v>26</v>
      </c>
    </row>
    <row r="1225" spans="1:4" x14ac:dyDescent="0.35">
      <c r="A1225">
        <v>34133</v>
      </c>
      <c r="B1225" s="2">
        <v>45340</v>
      </c>
      <c r="C1225" s="3">
        <v>18608</v>
      </c>
      <c r="D1225" t="s">
        <v>26</v>
      </c>
    </row>
    <row r="1226" spans="1:4" x14ac:dyDescent="0.35">
      <c r="A1226">
        <v>79820</v>
      </c>
      <c r="B1226" s="2">
        <v>45296</v>
      </c>
      <c r="C1226" s="3">
        <v>18593</v>
      </c>
      <c r="D1226" t="s">
        <v>28</v>
      </c>
    </row>
    <row r="1227" spans="1:4" x14ac:dyDescent="0.35">
      <c r="A1227">
        <v>26043</v>
      </c>
      <c r="B1227" s="2">
        <v>45313</v>
      </c>
      <c r="C1227" s="3">
        <v>18526</v>
      </c>
      <c r="D1227" t="s">
        <v>27</v>
      </c>
    </row>
    <row r="1228" spans="1:4" x14ac:dyDescent="0.35">
      <c r="A1228">
        <v>71397</v>
      </c>
      <c r="B1228" s="2">
        <v>45349</v>
      </c>
      <c r="C1228" s="3">
        <v>18516</v>
      </c>
      <c r="D1228" t="s">
        <v>26</v>
      </c>
    </row>
    <row r="1229" spans="1:4" x14ac:dyDescent="0.35">
      <c r="A1229">
        <v>14259</v>
      </c>
      <c r="B1229" s="2">
        <v>45315</v>
      </c>
      <c r="C1229" s="3">
        <v>18329</v>
      </c>
      <c r="D1229" t="s">
        <v>26</v>
      </c>
    </row>
    <row r="1230" spans="1:4" x14ac:dyDescent="0.35">
      <c r="A1230">
        <v>25862</v>
      </c>
      <c r="B1230" s="2">
        <v>45334</v>
      </c>
      <c r="C1230" s="3">
        <v>18319</v>
      </c>
      <c r="D1230" t="s">
        <v>27</v>
      </c>
    </row>
    <row r="1231" spans="1:4" x14ac:dyDescent="0.35">
      <c r="A1231">
        <v>22500</v>
      </c>
      <c r="B1231" s="2">
        <v>45323</v>
      </c>
      <c r="C1231" s="3">
        <v>18308</v>
      </c>
      <c r="D1231" t="s">
        <v>28</v>
      </c>
    </row>
    <row r="1232" spans="1:4" x14ac:dyDescent="0.35">
      <c r="A1232">
        <v>69470</v>
      </c>
      <c r="B1232" s="2">
        <v>45302</v>
      </c>
      <c r="C1232" s="3">
        <v>18258</v>
      </c>
      <c r="D1232" t="s">
        <v>26</v>
      </c>
    </row>
    <row r="1233" spans="1:4" x14ac:dyDescent="0.35">
      <c r="A1233">
        <v>34654</v>
      </c>
      <c r="B1233" s="2">
        <v>45326</v>
      </c>
      <c r="C1233" s="3">
        <v>18185</v>
      </c>
      <c r="D1233" t="s">
        <v>26</v>
      </c>
    </row>
    <row r="1234" spans="1:4" x14ac:dyDescent="0.35">
      <c r="A1234">
        <v>17905</v>
      </c>
      <c r="B1234" s="2">
        <v>45354</v>
      </c>
      <c r="C1234" s="3">
        <v>18121</v>
      </c>
      <c r="D1234" t="s">
        <v>28</v>
      </c>
    </row>
    <row r="1235" spans="1:4" x14ac:dyDescent="0.35">
      <c r="A1235">
        <v>43967</v>
      </c>
      <c r="B1235" s="2">
        <v>45325</v>
      </c>
      <c r="C1235" s="3">
        <v>17864</v>
      </c>
      <c r="D1235" t="s">
        <v>26</v>
      </c>
    </row>
    <row r="1236" spans="1:4" x14ac:dyDescent="0.35">
      <c r="A1236">
        <v>49966</v>
      </c>
      <c r="B1236" s="2">
        <v>45316</v>
      </c>
      <c r="C1236" s="3">
        <v>17827</v>
      </c>
      <c r="D1236" t="s">
        <v>28</v>
      </c>
    </row>
    <row r="1237" spans="1:4" x14ac:dyDescent="0.35">
      <c r="A1237">
        <v>76721</v>
      </c>
      <c r="B1237" s="2">
        <v>45353</v>
      </c>
      <c r="C1237" s="3">
        <v>17820</v>
      </c>
      <c r="D1237" t="s">
        <v>26</v>
      </c>
    </row>
    <row r="1238" spans="1:4" x14ac:dyDescent="0.35">
      <c r="A1238">
        <v>44935</v>
      </c>
      <c r="B1238" s="2">
        <v>45299</v>
      </c>
      <c r="C1238" s="3">
        <v>17750</v>
      </c>
      <c r="D1238" t="s">
        <v>26</v>
      </c>
    </row>
    <row r="1239" spans="1:4" x14ac:dyDescent="0.35">
      <c r="A1239">
        <v>33542</v>
      </c>
      <c r="B1239" s="2">
        <v>45343</v>
      </c>
      <c r="C1239" s="3">
        <v>17608</v>
      </c>
      <c r="D1239" t="s">
        <v>26</v>
      </c>
    </row>
    <row r="1240" spans="1:4" x14ac:dyDescent="0.35">
      <c r="A1240">
        <v>73546</v>
      </c>
      <c r="B1240" s="2">
        <v>45332</v>
      </c>
      <c r="C1240" s="3">
        <v>17576</v>
      </c>
      <c r="D1240" t="s">
        <v>26</v>
      </c>
    </row>
    <row r="1241" spans="1:4" x14ac:dyDescent="0.35">
      <c r="A1241">
        <v>92307</v>
      </c>
      <c r="B1241" s="2">
        <v>45300</v>
      </c>
      <c r="C1241" s="3">
        <v>17522</v>
      </c>
      <c r="D1241" t="s">
        <v>26</v>
      </c>
    </row>
    <row r="1242" spans="1:4" x14ac:dyDescent="0.35">
      <c r="A1242">
        <v>53272</v>
      </c>
      <c r="B1242" s="2">
        <v>45318</v>
      </c>
      <c r="C1242" s="3">
        <v>17459</v>
      </c>
      <c r="D1242" t="s">
        <v>27</v>
      </c>
    </row>
    <row r="1243" spans="1:4" x14ac:dyDescent="0.35">
      <c r="A1243">
        <v>62717</v>
      </c>
      <c r="B1243" s="2">
        <v>45334</v>
      </c>
      <c r="C1243" s="3">
        <v>17433</v>
      </c>
      <c r="D1243" t="s">
        <v>27</v>
      </c>
    </row>
    <row r="1244" spans="1:4" x14ac:dyDescent="0.35">
      <c r="A1244">
        <v>95569</v>
      </c>
      <c r="B1244" s="2">
        <v>45339</v>
      </c>
      <c r="C1244" s="3">
        <v>17426</v>
      </c>
      <c r="D1244" t="s">
        <v>28</v>
      </c>
    </row>
    <row r="1245" spans="1:4" x14ac:dyDescent="0.35">
      <c r="A1245">
        <v>86991</v>
      </c>
      <c r="B1245" s="2">
        <v>45344</v>
      </c>
      <c r="C1245" s="3">
        <v>17372</v>
      </c>
      <c r="D1245" t="s">
        <v>26</v>
      </c>
    </row>
    <row r="1246" spans="1:4" x14ac:dyDescent="0.35">
      <c r="A1246">
        <v>87918</v>
      </c>
      <c r="B1246" s="2">
        <v>45309</v>
      </c>
      <c r="C1246" s="3">
        <v>17340</v>
      </c>
      <c r="D1246" t="s">
        <v>26</v>
      </c>
    </row>
    <row r="1247" spans="1:4" x14ac:dyDescent="0.35">
      <c r="A1247">
        <v>77980</v>
      </c>
      <c r="B1247" s="2">
        <v>45294</v>
      </c>
      <c r="C1247" s="3">
        <v>17249</v>
      </c>
      <c r="D1247" t="s">
        <v>26</v>
      </c>
    </row>
    <row r="1248" spans="1:4" x14ac:dyDescent="0.35">
      <c r="A1248">
        <v>38113</v>
      </c>
      <c r="B1248" s="2">
        <v>45343</v>
      </c>
      <c r="C1248" s="3">
        <v>17239</v>
      </c>
      <c r="D1248" t="s">
        <v>27</v>
      </c>
    </row>
    <row r="1249" spans="1:4" x14ac:dyDescent="0.35">
      <c r="A1249">
        <v>41118</v>
      </c>
      <c r="B1249" s="2">
        <v>45310</v>
      </c>
      <c r="C1249" s="3">
        <v>17210</v>
      </c>
      <c r="D1249" t="s">
        <v>28</v>
      </c>
    </row>
    <row r="1250" spans="1:4" x14ac:dyDescent="0.35">
      <c r="A1250">
        <v>66664</v>
      </c>
      <c r="B1250" s="2">
        <v>45334</v>
      </c>
      <c r="C1250" s="3">
        <v>17192</v>
      </c>
      <c r="D1250" t="s">
        <v>27</v>
      </c>
    </row>
    <row r="1251" spans="1:4" x14ac:dyDescent="0.35">
      <c r="A1251">
        <v>54561</v>
      </c>
      <c r="B1251" s="2">
        <v>45346</v>
      </c>
      <c r="C1251" s="3">
        <v>17120</v>
      </c>
      <c r="D1251" t="s">
        <v>27</v>
      </c>
    </row>
    <row r="1252" spans="1:4" x14ac:dyDescent="0.35">
      <c r="A1252">
        <v>38111</v>
      </c>
      <c r="B1252" s="2">
        <v>45333</v>
      </c>
      <c r="C1252" s="3">
        <v>17089</v>
      </c>
      <c r="D1252" t="s">
        <v>27</v>
      </c>
    </row>
    <row r="1253" spans="1:4" x14ac:dyDescent="0.35">
      <c r="A1253">
        <v>13642</v>
      </c>
      <c r="B1253" s="2">
        <v>45310</v>
      </c>
      <c r="C1253" s="3">
        <v>17015</v>
      </c>
      <c r="D1253" t="s">
        <v>27</v>
      </c>
    </row>
    <row r="1254" spans="1:4" x14ac:dyDescent="0.35">
      <c r="A1254">
        <v>63876</v>
      </c>
      <c r="B1254" s="2">
        <v>45302</v>
      </c>
      <c r="C1254" s="3">
        <v>16872</v>
      </c>
      <c r="D1254" t="s">
        <v>27</v>
      </c>
    </row>
    <row r="1255" spans="1:4" x14ac:dyDescent="0.35">
      <c r="A1255">
        <v>14440</v>
      </c>
      <c r="B1255" s="2">
        <v>45296</v>
      </c>
      <c r="C1255" s="3">
        <v>16839</v>
      </c>
      <c r="D1255" t="s">
        <v>27</v>
      </c>
    </row>
    <row r="1256" spans="1:4" x14ac:dyDescent="0.35">
      <c r="A1256">
        <v>51012</v>
      </c>
      <c r="B1256" s="2">
        <v>45298</v>
      </c>
      <c r="C1256" s="3">
        <v>16817</v>
      </c>
      <c r="D1256" t="s">
        <v>28</v>
      </c>
    </row>
    <row r="1257" spans="1:4" x14ac:dyDescent="0.35">
      <c r="A1257">
        <v>41016</v>
      </c>
      <c r="B1257" s="2">
        <v>45300</v>
      </c>
      <c r="C1257" s="3">
        <v>16804</v>
      </c>
      <c r="D1257" t="s">
        <v>26</v>
      </c>
    </row>
    <row r="1258" spans="1:4" x14ac:dyDescent="0.35">
      <c r="A1258">
        <v>21733</v>
      </c>
      <c r="B1258" s="2">
        <v>45307</v>
      </c>
      <c r="C1258" s="3">
        <v>16520</v>
      </c>
      <c r="D1258" t="s">
        <v>27</v>
      </c>
    </row>
    <row r="1259" spans="1:4" x14ac:dyDescent="0.35">
      <c r="A1259">
        <v>44943</v>
      </c>
      <c r="B1259" s="2">
        <v>45350</v>
      </c>
      <c r="C1259" s="3">
        <v>16403</v>
      </c>
      <c r="D1259" t="s">
        <v>27</v>
      </c>
    </row>
    <row r="1260" spans="1:4" x14ac:dyDescent="0.35">
      <c r="A1260">
        <v>41017</v>
      </c>
      <c r="B1260" s="2">
        <v>45305</v>
      </c>
      <c r="C1260" s="3">
        <v>16336</v>
      </c>
      <c r="D1260" t="s">
        <v>27</v>
      </c>
    </row>
    <row r="1261" spans="1:4" x14ac:dyDescent="0.35">
      <c r="A1261">
        <v>51642</v>
      </c>
      <c r="B1261" s="2">
        <v>45302</v>
      </c>
      <c r="C1261" s="3">
        <v>16281</v>
      </c>
      <c r="D1261" t="s">
        <v>28</v>
      </c>
    </row>
    <row r="1262" spans="1:4" x14ac:dyDescent="0.35">
      <c r="A1262">
        <v>19197</v>
      </c>
      <c r="B1262" s="2">
        <v>45348</v>
      </c>
      <c r="C1262" s="3">
        <v>16247</v>
      </c>
      <c r="D1262" t="s">
        <v>28</v>
      </c>
    </row>
    <row r="1263" spans="1:4" x14ac:dyDescent="0.35">
      <c r="A1263">
        <v>65884</v>
      </c>
      <c r="B1263" s="2">
        <v>45307</v>
      </c>
      <c r="C1263" s="3">
        <v>16036</v>
      </c>
      <c r="D1263" t="s">
        <v>28</v>
      </c>
    </row>
    <row r="1264" spans="1:4" x14ac:dyDescent="0.35">
      <c r="A1264">
        <v>71132</v>
      </c>
      <c r="B1264" s="2">
        <v>45353</v>
      </c>
      <c r="C1264" s="3">
        <v>15890</v>
      </c>
      <c r="D1264" t="s">
        <v>26</v>
      </c>
    </row>
    <row r="1265" spans="1:4" x14ac:dyDescent="0.35">
      <c r="A1265">
        <v>29098</v>
      </c>
      <c r="B1265" s="2">
        <v>45293</v>
      </c>
      <c r="C1265" s="3">
        <v>15857</v>
      </c>
      <c r="D1265" t="s">
        <v>28</v>
      </c>
    </row>
    <row r="1266" spans="1:4" x14ac:dyDescent="0.35">
      <c r="A1266">
        <v>52410</v>
      </c>
      <c r="B1266" s="2">
        <v>45313</v>
      </c>
      <c r="C1266" s="3">
        <v>15817</v>
      </c>
      <c r="D1266" t="s">
        <v>26</v>
      </c>
    </row>
    <row r="1267" spans="1:4" x14ac:dyDescent="0.35">
      <c r="A1267">
        <v>67323</v>
      </c>
      <c r="B1267" s="2">
        <v>45327</v>
      </c>
      <c r="C1267" s="3">
        <v>15804</v>
      </c>
      <c r="D1267" t="s">
        <v>28</v>
      </c>
    </row>
    <row r="1268" spans="1:4" x14ac:dyDescent="0.35">
      <c r="A1268">
        <v>34970</v>
      </c>
      <c r="B1268" s="2">
        <v>45299</v>
      </c>
      <c r="C1268" s="3">
        <v>15436</v>
      </c>
      <c r="D1268" t="s">
        <v>26</v>
      </c>
    </row>
    <row r="1269" spans="1:4" x14ac:dyDescent="0.35">
      <c r="A1269">
        <v>51717</v>
      </c>
      <c r="B1269" s="2">
        <v>45299</v>
      </c>
      <c r="C1269" s="3">
        <v>15410</v>
      </c>
      <c r="D1269" t="s">
        <v>27</v>
      </c>
    </row>
    <row r="1270" spans="1:4" x14ac:dyDescent="0.35">
      <c r="A1270">
        <v>34310</v>
      </c>
      <c r="B1270" s="2">
        <v>45327</v>
      </c>
      <c r="C1270" s="3">
        <v>15404</v>
      </c>
      <c r="D1270" t="s">
        <v>26</v>
      </c>
    </row>
    <row r="1271" spans="1:4" x14ac:dyDescent="0.35">
      <c r="A1271">
        <v>61249</v>
      </c>
      <c r="B1271" s="2">
        <v>45319</v>
      </c>
      <c r="C1271" s="3">
        <v>15333</v>
      </c>
      <c r="D1271" t="s">
        <v>27</v>
      </c>
    </row>
    <row r="1272" spans="1:4" x14ac:dyDescent="0.35">
      <c r="A1272">
        <v>64040</v>
      </c>
      <c r="B1272" s="2">
        <v>45293</v>
      </c>
      <c r="C1272" s="3">
        <v>15243</v>
      </c>
      <c r="D1272" t="s">
        <v>28</v>
      </c>
    </row>
    <row r="1273" spans="1:4" x14ac:dyDescent="0.35">
      <c r="A1273">
        <v>48776</v>
      </c>
      <c r="B1273" s="2">
        <v>45313</v>
      </c>
      <c r="C1273" s="3">
        <v>15160</v>
      </c>
      <c r="D1273" t="s">
        <v>26</v>
      </c>
    </row>
    <row r="1274" spans="1:4" x14ac:dyDescent="0.35">
      <c r="A1274">
        <v>67332</v>
      </c>
      <c r="B1274" s="2">
        <v>45313</v>
      </c>
      <c r="C1274" s="3">
        <v>15143</v>
      </c>
      <c r="D1274" t="s">
        <v>28</v>
      </c>
    </row>
    <row r="1275" spans="1:4" x14ac:dyDescent="0.35">
      <c r="A1275">
        <v>18795</v>
      </c>
      <c r="B1275" s="2">
        <v>45303</v>
      </c>
      <c r="C1275" s="3">
        <v>15074</v>
      </c>
      <c r="D1275" t="s">
        <v>26</v>
      </c>
    </row>
    <row r="1276" spans="1:4" x14ac:dyDescent="0.35">
      <c r="A1276">
        <v>11789</v>
      </c>
      <c r="B1276" s="2">
        <v>45346</v>
      </c>
      <c r="C1276" s="3">
        <v>15069</v>
      </c>
      <c r="D1276" t="s">
        <v>28</v>
      </c>
    </row>
    <row r="1277" spans="1:4" x14ac:dyDescent="0.35">
      <c r="A1277">
        <v>78130</v>
      </c>
      <c r="B1277" s="2">
        <v>45308</v>
      </c>
      <c r="C1277" s="3">
        <v>14992</v>
      </c>
      <c r="D1277" t="s">
        <v>27</v>
      </c>
    </row>
    <row r="1278" spans="1:4" x14ac:dyDescent="0.35">
      <c r="A1278">
        <v>83890</v>
      </c>
      <c r="B1278" s="2">
        <v>45351</v>
      </c>
      <c r="C1278" s="3">
        <v>14911</v>
      </c>
      <c r="D1278" t="s">
        <v>28</v>
      </c>
    </row>
    <row r="1279" spans="1:4" x14ac:dyDescent="0.35">
      <c r="A1279">
        <v>56066</v>
      </c>
      <c r="B1279" s="2">
        <v>45319</v>
      </c>
      <c r="C1279" s="3">
        <v>14854</v>
      </c>
      <c r="D1279" t="s">
        <v>26</v>
      </c>
    </row>
    <row r="1280" spans="1:4" x14ac:dyDescent="0.35">
      <c r="A1280">
        <v>91059</v>
      </c>
      <c r="B1280" s="2">
        <v>45314</v>
      </c>
      <c r="C1280" s="3">
        <v>14688</v>
      </c>
      <c r="D1280" t="s">
        <v>27</v>
      </c>
    </row>
    <row r="1281" spans="1:4" x14ac:dyDescent="0.35">
      <c r="A1281">
        <v>28614</v>
      </c>
      <c r="B1281" s="2">
        <v>45338</v>
      </c>
      <c r="C1281" s="3">
        <v>14546</v>
      </c>
      <c r="D1281" t="s">
        <v>27</v>
      </c>
    </row>
    <row r="1282" spans="1:4" x14ac:dyDescent="0.35">
      <c r="A1282">
        <v>33873</v>
      </c>
      <c r="B1282" s="2">
        <v>45301</v>
      </c>
      <c r="C1282" s="3">
        <v>14512</v>
      </c>
      <c r="D1282" t="s">
        <v>27</v>
      </c>
    </row>
    <row r="1283" spans="1:4" x14ac:dyDescent="0.35">
      <c r="A1283">
        <v>45877</v>
      </c>
      <c r="B1283" s="2">
        <v>45322</v>
      </c>
      <c r="C1283" s="3">
        <v>14438</v>
      </c>
      <c r="D1283" t="s">
        <v>28</v>
      </c>
    </row>
    <row r="1284" spans="1:4" x14ac:dyDescent="0.35">
      <c r="A1284">
        <v>58573</v>
      </c>
      <c r="B1284" s="2">
        <v>45324</v>
      </c>
      <c r="C1284" s="3">
        <v>14199</v>
      </c>
      <c r="D1284" t="s">
        <v>27</v>
      </c>
    </row>
    <row r="1285" spans="1:4" x14ac:dyDescent="0.35">
      <c r="A1285">
        <v>87282</v>
      </c>
      <c r="B1285" s="2">
        <v>45323</v>
      </c>
      <c r="C1285" s="3">
        <v>14092</v>
      </c>
      <c r="D1285" t="s">
        <v>27</v>
      </c>
    </row>
    <row r="1286" spans="1:4" x14ac:dyDescent="0.35">
      <c r="A1286">
        <v>49634</v>
      </c>
      <c r="B1286" s="2">
        <v>45310</v>
      </c>
      <c r="C1286" s="3">
        <v>13874</v>
      </c>
      <c r="D1286" t="s">
        <v>28</v>
      </c>
    </row>
    <row r="1287" spans="1:4" x14ac:dyDescent="0.35">
      <c r="A1287">
        <v>63425</v>
      </c>
      <c r="B1287" s="2">
        <v>45331</v>
      </c>
      <c r="C1287" s="3">
        <v>13778</v>
      </c>
      <c r="D1287" t="s">
        <v>27</v>
      </c>
    </row>
    <row r="1288" spans="1:4" x14ac:dyDescent="0.35">
      <c r="A1288">
        <v>52507</v>
      </c>
      <c r="B1288" s="2">
        <v>45345</v>
      </c>
      <c r="C1288" s="3">
        <v>13660</v>
      </c>
      <c r="D1288" t="s">
        <v>26</v>
      </c>
    </row>
    <row r="1289" spans="1:4" x14ac:dyDescent="0.35">
      <c r="A1289">
        <v>87401</v>
      </c>
      <c r="B1289" s="2">
        <v>45305</v>
      </c>
      <c r="C1289" s="3">
        <v>13588</v>
      </c>
      <c r="D1289" t="s">
        <v>26</v>
      </c>
    </row>
    <row r="1290" spans="1:4" x14ac:dyDescent="0.35">
      <c r="A1290">
        <v>76618</v>
      </c>
      <c r="B1290" s="2">
        <v>45338</v>
      </c>
      <c r="C1290" s="3">
        <v>13551</v>
      </c>
      <c r="D1290" t="s">
        <v>28</v>
      </c>
    </row>
    <row r="1291" spans="1:4" x14ac:dyDescent="0.35">
      <c r="A1291">
        <v>14265</v>
      </c>
      <c r="B1291" s="2">
        <v>45353</v>
      </c>
      <c r="C1291" s="3">
        <v>13486</v>
      </c>
      <c r="D1291" t="s">
        <v>27</v>
      </c>
    </row>
    <row r="1292" spans="1:4" x14ac:dyDescent="0.35">
      <c r="A1292">
        <v>53065</v>
      </c>
      <c r="B1292" s="2">
        <v>45314</v>
      </c>
      <c r="C1292" s="3">
        <v>13446</v>
      </c>
      <c r="D1292" t="s">
        <v>28</v>
      </c>
    </row>
    <row r="1293" spans="1:4" x14ac:dyDescent="0.35">
      <c r="A1293">
        <v>93503</v>
      </c>
      <c r="B1293" s="2">
        <v>45336</v>
      </c>
      <c r="C1293" s="3">
        <v>13443</v>
      </c>
      <c r="D1293" t="s">
        <v>28</v>
      </c>
    </row>
    <row r="1294" spans="1:4" x14ac:dyDescent="0.35">
      <c r="A1294">
        <v>54581</v>
      </c>
      <c r="B1294" s="2">
        <v>45330</v>
      </c>
      <c r="C1294" s="3">
        <v>13440</v>
      </c>
      <c r="D1294" t="s">
        <v>26</v>
      </c>
    </row>
    <row r="1295" spans="1:4" x14ac:dyDescent="0.35">
      <c r="A1295">
        <v>40646</v>
      </c>
      <c r="B1295" s="2">
        <v>45301</v>
      </c>
      <c r="C1295" s="3">
        <v>13439</v>
      </c>
      <c r="D1295" t="s">
        <v>26</v>
      </c>
    </row>
    <row r="1296" spans="1:4" x14ac:dyDescent="0.35">
      <c r="A1296">
        <v>47338</v>
      </c>
      <c r="B1296" s="2">
        <v>45333</v>
      </c>
      <c r="C1296" s="3">
        <v>13348</v>
      </c>
      <c r="D1296" t="s">
        <v>26</v>
      </c>
    </row>
    <row r="1297" spans="1:4" x14ac:dyDescent="0.35">
      <c r="A1297">
        <v>35463</v>
      </c>
      <c r="B1297" s="2">
        <v>45327</v>
      </c>
      <c r="C1297" s="3">
        <v>13245</v>
      </c>
      <c r="D1297" t="s">
        <v>28</v>
      </c>
    </row>
    <row r="1298" spans="1:4" x14ac:dyDescent="0.35">
      <c r="A1298">
        <v>76324</v>
      </c>
      <c r="B1298" s="2">
        <v>45302</v>
      </c>
      <c r="C1298" s="3">
        <v>13229</v>
      </c>
      <c r="D1298" t="s">
        <v>28</v>
      </c>
    </row>
    <row r="1299" spans="1:4" x14ac:dyDescent="0.35">
      <c r="A1299">
        <v>50626</v>
      </c>
      <c r="B1299" s="2">
        <v>45351</v>
      </c>
      <c r="C1299" s="3">
        <v>13217</v>
      </c>
      <c r="D1299" t="s">
        <v>26</v>
      </c>
    </row>
    <row r="1300" spans="1:4" x14ac:dyDescent="0.35">
      <c r="A1300">
        <v>73947</v>
      </c>
      <c r="B1300" s="2">
        <v>45340</v>
      </c>
      <c r="C1300" s="3">
        <v>13209</v>
      </c>
      <c r="D1300" t="s">
        <v>27</v>
      </c>
    </row>
    <row r="1301" spans="1:4" x14ac:dyDescent="0.35">
      <c r="A1301">
        <v>16833</v>
      </c>
      <c r="B1301" s="2">
        <v>45292</v>
      </c>
      <c r="C1301" s="3">
        <v>13109</v>
      </c>
      <c r="D1301" t="s">
        <v>27</v>
      </c>
    </row>
    <row r="1302" spans="1:4" x14ac:dyDescent="0.35">
      <c r="A1302">
        <v>23286</v>
      </c>
      <c r="B1302" s="2">
        <v>45352</v>
      </c>
      <c r="C1302" s="3">
        <v>12983</v>
      </c>
      <c r="D1302" t="s">
        <v>26</v>
      </c>
    </row>
    <row r="1303" spans="1:4" x14ac:dyDescent="0.35">
      <c r="A1303">
        <v>24043</v>
      </c>
      <c r="B1303" s="2">
        <v>45318</v>
      </c>
      <c r="C1303" s="3">
        <v>12965</v>
      </c>
      <c r="D1303" t="s">
        <v>28</v>
      </c>
    </row>
    <row r="1304" spans="1:4" x14ac:dyDescent="0.35">
      <c r="A1304">
        <v>14851</v>
      </c>
      <c r="B1304" s="2">
        <v>45349</v>
      </c>
      <c r="C1304" s="3">
        <v>12952</v>
      </c>
      <c r="D1304" t="s">
        <v>26</v>
      </c>
    </row>
    <row r="1305" spans="1:4" x14ac:dyDescent="0.35">
      <c r="A1305">
        <v>32718</v>
      </c>
      <c r="B1305" s="2">
        <v>45313</v>
      </c>
      <c r="C1305" s="3">
        <v>12949</v>
      </c>
      <c r="D1305" t="s">
        <v>26</v>
      </c>
    </row>
    <row r="1306" spans="1:4" x14ac:dyDescent="0.35">
      <c r="A1306">
        <v>66807</v>
      </c>
      <c r="B1306" s="2">
        <v>45312</v>
      </c>
      <c r="C1306" s="3">
        <v>12779</v>
      </c>
      <c r="D1306" t="s">
        <v>27</v>
      </c>
    </row>
    <row r="1307" spans="1:4" x14ac:dyDescent="0.35">
      <c r="A1307">
        <v>20542</v>
      </c>
      <c r="B1307" s="2">
        <v>45345</v>
      </c>
      <c r="C1307" s="3">
        <v>12729</v>
      </c>
      <c r="D1307" t="s">
        <v>27</v>
      </c>
    </row>
    <row r="1308" spans="1:4" x14ac:dyDescent="0.35">
      <c r="A1308">
        <v>65184</v>
      </c>
      <c r="B1308" s="2">
        <v>45310</v>
      </c>
      <c r="C1308" s="3">
        <v>12718</v>
      </c>
      <c r="D1308" t="s">
        <v>27</v>
      </c>
    </row>
    <row r="1309" spans="1:4" x14ac:dyDescent="0.35">
      <c r="A1309">
        <v>75252</v>
      </c>
      <c r="B1309" s="2">
        <v>45332</v>
      </c>
      <c r="C1309" s="3">
        <v>12623</v>
      </c>
      <c r="D1309" t="s">
        <v>26</v>
      </c>
    </row>
    <row r="1310" spans="1:4" x14ac:dyDescent="0.35">
      <c r="A1310">
        <v>32427</v>
      </c>
      <c r="B1310" s="2">
        <v>45314</v>
      </c>
      <c r="C1310" s="3">
        <v>12545</v>
      </c>
      <c r="D1310" t="s">
        <v>27</v>
      </c>
    </row>
    <row r="1311" spans="1:4" x14ac:dyDescent="0.35">
      <c r="A1311">
        <v>53613</v>
      </c>
      <c r="B1311" s="2">
        <v>45310</v>
      </c>
      <c r="C1311" s="3">
        <v>12495</v>
      </c>
      <c r="D1311" t="s">
        <v>26</v>
      </c>
    </row>
    <row r="1312" spans="1:4" x14ac:dyDescent="0.35">
      <c r="A1312">
        <v>97106</v>
      </c>
      <c r="B1312" s="2">
        <v>45296</v>
      </c>
      <c r="C1312" s="3">
        <v>12396</v>
      </c>
      <c r="D1312" t="s">
        <v>26</v>
      </c>
    </row>
    <row r="1313" spans="1:4" x14ac:dyDescent="0.35">
      <c r="A1313">
        <v>47551</v>
      </c>
      <c r="B1313" s="2">
        <v>45299</v>
      </c>
      <c r="C1313" s="3">
        <v>12348</v>
      </c>
      <c r="D1313" t="s">
        <v>27</v>
      </c>
    </row>
    <row r="1314" spans="1:4" x14ac:dyDescent="0.35">
      <c r="A1314">
        <v>89238</v>
      </c>
      <c r="B1314" s="2">
        <v>45333</v>
      </c>
      <c r="C1314" s="3">
        <v>12309</v>
      </c>
      <c r="D1314" t="s">
        <v>26</v>
      </c>
    </row>
    <row r="1315" spans="1:4" x14ac:dyDescent="0.35">
      <c r="A1315">
        <v>85949</v>
      </c>
      <c r="B1315" s="2">
        <v>45327</v>
      </c>
      <c r="C1315" s="3">
        <v>12004</v>
      </c>
      <c r="D1315" t="s">
        <v>27</v>
      </c>
    </row>
    <row r="1316" spans="1:4" x14ac:dyDescent="0.35">
      <c r="A1316">
        <v>40715</v>
      </c>
      <c r="B1316" s="2">
        <v>45303</v>
      </c>
      <c r="C1316" s="3">
        <v>11934</v>
      </c>
      <c r="D1316" t="s">
        <v>26</v>
      </c>
    </row>
    <row r="1317" spans="1:4" x14ac:dyDescent="0.35">
      <c r="A1317">
        <v>45156</v>
      </c>
      <c r="B1317" s="2">
        <v>45345</v>
      </c>
      <c r="C1317" s="3">
        <v>11805</v>
      </c>
      <c r="D1317" t="s">
        <v>28</v>
      </c>
    </row>
    <row r="1318" spans="1:4" x14ac:dyDescent="0.35">
      <c r="A1318">
        <v>87209</v>
      </c>
      <c r="B1318" s="2">
        <v>45307</v>
      </c>
      <c r="C1318" s="3">
        <v>11760</v>
      </c>
      <c r="D1318" t="s">
        <v>26</v>
      </c>
    </row>
    <row r="1319" spans="1:4" x14ac:dyDescent="0.35">
      <c r="A1319">
        <v>78546</v>
      </c>
      <c r="B1319" s="2">
        <v>45317</v>
      </c>
      <c r="C1319" s="3">
        <v>11679</v>
      </c>
      <c r="D1319" t="s">
        <v>27</v>
      </c>
    </row>
    <row r="1320" spans="1:4" x14ac:dyDescent="0.35">
      <c r="A1320">
        <v>17780</v>
      </c>
      <c r="B1320" s="2">
        <v>45321</v>
      </c>
      <c r="C1320" s="3">
        <v>11582</v>
      </c>
      <c r="D1320" t="s">
        <v>26</v>
      </c>
    </row>
    <row r="1321" spans="1:4" x14ac:dyDescent="0.35">
      <c r="A1321">
        <v>35745</v>
      </c>
      <c r="B1321" s="2">
        <v>45311</v>
      </c>
      <c r="C1321" s="3">
        <v>11578</v>
      </c>
      <c r="D1321" t="s">
        <v>27</v>
      </c>
    </row>
    <row r="1322" spans="1:4" x14ac:dyDescent="0.35">
      <c r="A1322">
        <v>79576</v>
      </c>
      <c r="B1322" s="2">
        <v>45331</v>
      </c>
      <c r="C1322" s="3">
        <v>11502</v>
      </c>
      <c r="D1322" t="s">
        <v>27</v>
      </c>
    </row>
    <row r="1323" spans="1:4" x14ac:dyDescent="0.35">
      <c r="A1323">
        <v>77227</v>
      </c>
      <c r="B1323" s="2">
        <v>45293</v>
      </c>
      <c r="C1323" s="3">
        <v>11403</v>
      </c>
      <c r="D1323" t="s">
        <v>28</v>
      </c>
    </row>
    <row r="1324" spans="1:4" x14ac:dyDescent="0.35">
      <c r="A1324">
        <v>37191</v>
      </c>
      <c r="B1324" s="2">
        <v>45330</v>
      </c>
      <c r="C1324" s="3">
        <v>11379</v>
      </c>
      <c r="D1324" t="s">
        <v>28</v>
      </c>
    </row>
    <row r="1325" spans="1:4" x14ac:dyDescent="0.35">
      <c r="A1325">
        <v>73380</v>
      </c>
      <c r="B1325" s="2">
        <v>45321</v>
      </c>
      <c r="C1325" s="3">
        <v>11270</v>
      </c>
      <c r="D1325" t="s">
        <v>26</v>
      </c>
    </row>
    <row r="1326" spans="1:4" x14ac:dyDescent="0.35">
      <c r="A1326">
        <v>73277</v>
      </c>
      <c r="B1326" s="2">
        <v>45297</v>
      </c>
      <c r="C1326" s="3">
        <v>11166</v>
      </c>
      <c r="D1326" t="s">
        <v>26</v>
      </c>
    </row>
    <row r="1327" spans="1:4" x14ac:dyDescent="0.35">
      <c r="A1327">
        <v>21800</v>
      </c>
      <c r="B1327" s="2">
        <v>45316</v>
      </c>
      <c r="C1327" s="3">
        <v>11162</v>
      </c>
      <c r="D1327" t="s">
        <v>28</v>
      </c>
    </row>
    <row r="1328" spans="1:4" x14ac:dyDescent="0.35">
      <c r="A1328">
        <v>60434</v>
      </c>
      <c r="B1328" s="2">
        <v>45321</v>
      </c>
      <c r="C1328" s="3">
        <v>11061</v>
      </c>
      <c r="D1328" t="s">
        <v>27</v>
      </c>
    </row>
    <row r="1329" spans="1:4" x14ac:dyDescent="0.35">
      <c r="A1329">
        <v>42659</v>
      </c>
      <c r="B1329" s="2">
        <v>45312</v>
      </c>
      <c r="C1329" s="3">
        <v>11015</v>
      </c>
      <c r="D1329" t="s">
        <v>27</v>
      </c>
    </row>
    <row r="1330" spans="1:4" x14ac:dyDescent="0.35">
      <c r="A1330">
        <v>86273</v>
      </c>
      <c r="B1330" s="2">
        <v>45350</v>
      </c>
      <c r="C1330" s="3">
        <v>11013</v>
      </c>
      <c r="D1330" t="s">
        <v>26</v>
      </c>
    </row>
    <row r="1331" spans="1:4" x14ac:dyDescent="0.35">
      <c r="A1331">
        <v>84502</v>
      </c>
      <c r="B1331" s="2">
        <v>45342</v>
      </c>
      <c r="C1331" s="3">
        <v>10971</v>
      </c>
      <c r="D1331" t="s">
        <v>26</v>
      </c>
    </row>
    <row r="1332" spans="1:4" x14ac:dyDescent="0.35">
      <c r="A1332">
        <v>84308</v>
      </c>
      <c r="B1332" s="2">
        <v>45333</v>
      </c>
      <c r="C1332" s="3">
        <v>10970</v>
      </c>
      <c r="D1332" t="s">
        <v>27</v>
      </c>
    </row>
    <row r="1333" spans="1:4" x14ac:dyDescent="0.35">
      <c r="A1333">
        <v>36067</v>
      </c>
      <c r="B1333" s="2">
        <v>45305</v>
      </c>
      <c r="C1333" s="3">
        <v>10936</v>
      </c>
      <c r="D1333" t="s">
        <v>28</v>
      </c>
    </row>
    <row r="1334" spans="1:4" x14ac:dyDescent="0.35">
      <c r="A1334">
        <v>40899</v>
      </c>
      <c r="B1334" s="2">
        <v>45327</v>
      </c>
      <c r="C1334" s="3">
        <v>10842</v>
      </c>
      <c r="D1334" t="s">
        <v>28</v>
      </c>
    </row>
    <row r="1335" spans="1:4" x14ac:dyDescent="0.35">
      <c r="A1335">
        <v>17465</v>
      </c>
      <c r="B1335" s="2">
        <v>45334</v>
      </c>
      <c r="C1335" s="3">
        <v>10815</v>
      </c>
      <c r="D1335" t="s">
        <v>27</v>
      </c>
    </row>
    <row r="1336" spans="1:4" x14ac:dyDescent="0.35">
      <c r="A1336">
        <v>18424</v>
      </c>
      <c r="B1336" s="2">
        <v>45341</v>
      </c>
      <c r="C1336" s="3">
        <v>10810</v>
      </c>
      <c r="D1336" t="s">
        <v>28</v>
      </c>
    </row>
    <row r="1337" spans="1:4" x14ac:dyDescent="0.35">
      <c r="A1337">
        <v>61840</v>
      </c>
      <c r="B1337" s="2">
        <v>45341</v>
      </c>
      <c r="C1337" s="3">
        <v>10713</v>
      </c>
      <c r="D1337" t="s">
        <v>27</v>
      </c>
    </row>
    <row r="1338" spans="1:4" x14ac:dyDescent="0.35">
      <c r="A1338">
        <v>66487</v>
      </c>
      <c r="B1338" s="2">
        <v>45301</v>
      </c>
      <c r="C1338" s="3">
        <v>10558</v>
      </c>
      <c r="D1338" t="s">
        <v>26</v>
      </c>
    </row>
    <row r="1339" spans="1:4" x14ac:dyDescent="0.35">
      <c r="A1339">
        <v>87895</v>
      </c>
      <c r="B1339" s="2">
        <v>45311</v>
      </c>
      <c r="C1339" s="3">
        <v>10542</v>
      </c>
      <c r="D1339" t="s">
        <v>27</v>
      </c>
    </row>
    <row r="1340" spans="1:4" x14ac:dyDescent="0.35">
      <c r="A1340">
        <v>60238</v>
      </c>
      <c r="B1340" s="2">
        <v>45322</v>
      </c>
      <c r="C1340" s="3">
        <v>10436</v>
      </c>
      <c r="D1340" t="s">
        <v>26</v>
      </c>
    </row>
    <row r="1341" spans="1:4" x14ac:dyDescent="0.35">
      <c r="A1341">
        <v>47314</v>
      </c>
      <c r="B1341" s="2">
        <v>45293</v>
      </c>
      <c r="C1341" s="3">
        <v>10419</v>
      </c>
      <c r="D1341" t="s">
        <v>27</v>
      </c>
    </row>
    <row r="1342" spans="1:4" x14ac:dyDescent="0.35">
      <c r="A1342">
        <v>44211</v>
      </c>
      <c r="B1342" s="2">
        <v>45292</v>
      </c>
      <c r="C1342" s="3">
        <v>10255</v>
      </c>
      <c r="D1342" t="s">
        <v>26</v>
      </c>
    </row>
    <row r="1343" spans="1:4" x14ac:dyDescent="0.35">
      <c r="A1343">
        <v>23936</v>
      </c>
      <c r="B1343" s="2">
        <v>45314</v>
      </c>
      <c r="C1343" s="3">
        <v>10223</v>
      </c>
      <c r="D1343" t="s">
        <v>28</v>
      </c>
    </row>
    <row r="1344" spans="1:4" x14ac:dyDescent="0.35">
      <c r="A1344">
        <v>76190</v>
      </c>
      <c r="B1344" s="2">
        <v>45343</v>
      </c>
      <c r="C1344" s="3">
        <v>10139</v>
      </c>
      <c r="D1344" t="s">
        <v>28</v>
      </c>
    </row>
    <row r="1345" spans="1:4" x14ac:dyDescent="0.35">
      <c r="A1345">
        <v>66706</v>
      </c>
      <c r="B1345" s="2">
        <v>45296</v>
      </c>
      <c r="C1345" s="3">
        <v>10104</v>
      </c>
      <c r="D1345" t="s">
        <v>27</v>
      </c>
    </row>
    <row r="1346" spans="1:4" x14ac:dyDescent="0.35">
      <c r="A1346">
        <v>67000</v>
      </c>
      <c r="B1346" s="2">
        <v>45315</v>
      </c>
      <c r="C1346" s="3">
        <v>10009</v>
      </c>
      <c r="D1346" t="s">
        <v>26</v>
      </c>
    </row>
    <row r="1347" spans="1:4" x14ac:dyDescent="0.35">
      <c r="A1347">
        <v>50919</v>
      </c>
      <c r="B1347" s="2">
        <v>45344</v>
      </c>
      <c r="C1347" s="3">
        <v>10008</v>
      </c>
      <c r="D1347" t="s">
        <v>28</v>
      </c>
    </row>
    <row r="1348" spans="1:4" x14ac:dyDescent="0.35">
      <c r="A1348">
        <v>11119</v>
      </c>
      <c r="B1348" s="2">
        <v>45321</v>
      </c>
      <c r="C1348" s="3">
        <v>9940</v>
      </c>
      <c r="D1348" t="s">
        <v>27</v>
      </c>
    </row>
    <row r="1349" spans="1:4" x14ac:dyDescent="0.35">
      <c r="A1349">
        <v>63098</v>
      </c>
      <c r="B1349" s="2">
        <v>45306</v>
      </c>
      <c r="C1349" s="3">
        <v>9801</v>
      </c>
      <c r="D1349" t="s">
        <v>26</v>
      </c>
    </row>
    <row r="1350" spans="1:4" x14ac:dyDescent="0.35">
      <c r="A1350">
        <v>85747</v>
      </c>
      <c r="B1350" s="2">
        <v>45311</v>
      </c>
      <c r="C1350" s="3">
        <v>9702</v>
      </c>
      <c r="D1350" t="s">
        <v>26</v>
      </c>
    </row>
    <row r="1351" spans="1:4" x14ac:dyDescent="0.35">
      <c r="A1351">
        <v>91948</v>
      </c>
      <c r="B1351" s="2">
        <v>45354</v>
      </c>
      <c r="C1351" s="3">
        <v>9701</v>
      </c>
      <c r="D1351" t="s">
        <v>26</v>
      </c>
    </row>
    <row r="1352" spans="1:4" x14ac:dyDescent="0.35">
      <c r="A1352">
        <v>35049</v>
      </c>
      <c r="B1352" s="2">
        <v>45346</v>
      </c>
      <c r="C1352" s="3">
        <v>9641</v>
      </c>
      <c r="D1352" t="s">
        <v>26</v>
      </c>
    </row>
    <row r="1353" spans="1:4" x14ac:dyDescent="0.35">
      <c r="A1353">
        <v>75389</v>
      </c>
      <c r="B1353" s="2">
        <v>45309</v>
      </c>
      <c r="C1353" s="3">
        <v>9594</v>
      </c>
      <c r="D1353" t="s">
        <v>26</v>
      </c>
    </row>
    <row r="1354" spans="1:4" x14ac:dyDescent="0.35">
      <c r="A1354">
        <v>40583</v>
      </c>
      <c r="B1354" s="2">
        <v>45293</v>
      </c>
      <c r="C1354" s="3">
        <v>9531</v>
      </c>
      <c r="D1354" t="s">
        <v>26</v>
      </c>
    </row>
    <row r="1355" spans="1:4" x14ac:dyDescent="0.35">
      <c r="A1355">
        <v>50947</v>
      </c>
      <c r="B1355" s="2">
        <v>45313</v>
      </c>
      <c r="C1355" s="3">
        <v>9417</v>
      </c>
      <c r="D1355" t="s">
        <v>28</v>
      </c>
    </row>
    <row r="1356" spans="1:4" x14ac:dyDescent="0.35">
      <c r="A1356">
        <v>23591</v>
      </c>
      <c r="B1356" s="2">
        <v>45304</v>
      </c>
      <c r="C1356" s="3">
        <v>9409</v>
      </c>
      <c r="D1356" t="s">
        <v>26</v>
      </c>
    </row>
    <row r="1357" spans="1:4" x14ac:dyDescent="0.35">
      <c r="A1357">
        <v>47353</v>
      </c>
      <c r="B1357" s="2">
        <v>45312</v>
      </c>
      <c r="C1357" s="3">
        <v>9345</v>
      </c>
      <c r="D1357" t="s">
        <v>27</v>
      </c>
    </row>
    <row r="1358" spans="1:4" x14ac:dyDescent="0.35">
      <c r="A1358">
        <v>96470</v>
      </c>
      <c r="B1358" s="2">
        <v>45310</v>
      </c>
      <c r="C1358" s="3">
        <v>9283</v>
      </c>
      <c r="D1358" t="s">
        <v>26</v>
      </c>
    </row>
    <row r="1359" spans="1:4" x14ac:dyDescent="0.35">
      <c r="A1359">
        <v>13253</v>
      </c>
      <c r="B1359" s="2">
        <v>45321</v>
      </c>
      <c r="C1359" s="3">
        <v>9256</v>
      </c>
      <c r="D1359" t="s">
        <v>27</v>
      </c>
    </row>
    <row r="1360" spans="1:4" x14ac:dyDescent="0.35">
      <c r="A1360">
        <v>79505</v>
      </c>
      <c r="B1360" s="2">
        <v>45300</v>
      </c>
      <c r="C1360" s="3">
        <v>9086</v>
      </c>
      <c r="D1360" t="s">
        <v>26</v>
      </c>
    </row>
    <row r="1361" spans="1:4" x14ac:dyDescent="0.35">
      <c r="A1361">
        <v>74424</v>
      </c>
      <c r="B1361" s="2">
        <v>45319</v>
      </c>
      <c r="C1361" s="3">
        <v>9028</v>
      </c>
      <c r="D1361" t="s">
        <v>26</v>
      </c>
    </row>
    <row r="1362" spans="1:4" x14ac:dyDescent="0.35">
      <c r="A1362">
        <v>60837</v>
      </c>
      <c r="B1362" s="2">
        <v>45304</v>
      </c>
      <c r="C1362" s="3">
        <v>9005</v>
      </c>
      <c r="D1362" t="s">
        <v>27</v>
      </c>
    </row>
    <row r="1363" spans="1:4" x14ac:dyDescent="0.35">
      <c r="A1363">
        <v>97862</v>
      </c>
      <c r="B1363" s="2">
        <v>45305</v>
      </c>
      <c r="C1363" s="3">
        <v>8872</v>
      </c>
      <c r="D1363" t="s">
        <v>26</v>
      </c>
    </row>
    <row r="1364" spans="1:4" x14ac:dyDescent="0.35">
      <c r="A1364">
        <v>94464</v>
      </c>
      <c r="B1364" s="2">
        <v>45347</v>
      </c>
      <c r="C1364" s="3">
        <v>8838</v>
      </c>
      <c r="D1364" t="s">
        <v>27</v>
      </c>
    </row>
    <row r="1365" spans="1:4" x14ac:dyDescent="0.35">
      <c r="A1365">
        <v>19831</v>
      </c>
      <c r="B1365" s="2">
        <v>45332</v>
      </c>
      <c r="C1365" s="3">
        <v>8778</v>
      </c>
      <c r="D1365" t="s">
        <v>27</v>
      </c>
    </row>
    <row r="1366" spans="1:4" x14ac:dyDescent="0.35">
      <c r="A1366">
        <v>75192</v>
      </c>
      <c r="B1366" s="2">
        <v>45304</v>
      </c>
      <c r="C1366" s="3">
        <v>8776</v>
      </c>
      <c r="D1366" t="s">
        <v>27</v>
      </c>
    </row>
    <row r="1367" spans="1:4" x14ac:dyDescent="0.35">
      <c r="A1367">
        <v>15857</v>
      </c>
      <c r="B1367" s="2">
        <v>45311</v>
      </c>
      <c r="C1367" s="3">
        <v>8702</v>
      </c>
      <c r="D1367" t="s">
        <v>28</v>
      </c>
    </row>
    <row r="1368" spans="1:4" x14ac:dyDescent="0.35">
      <c r="A1368">
        <v>57770</v>
      </c>
      <c r="B1368" s="2">
        <v>45310</v>
      </c>
      <c r="C1368" s="3">
        <v>8658</v>
      </c>
      <c r="D1368" t="s">
        <v>28</v>
      </c>
    </row>
    <row r="1369" spans="1:4" x14ac:dyDescent="0.35">
      <c r="A1369">
        <v>63809</v>
      </c>
      <c r="B1369" s="2">
        <v>45308</v>
      </c>
      <c r="C1369" s="3">
        <v>8638</v>
      </c>
      <c r="D1369" t="s">
        <v>26</v>
      </c>
    </row>
    <row r="1370" spans="1:4" x14ac:dyDescent="0.35">
      <c r="A1370">
        <v>60844</v>
      </c>
      <c r="B1370" s="2">
        <v>45325</v>
      </c>
      <c r="C1370" s="3">
        <v>8574</v>
      </c>
      <c r="D1370" t="s">
        <v>28</v>
      </c>
    </row>
    <row r="1371" spans="1:4" x14ac:dyDescent="0.35">
      <c r="A1371">
        <v>53991</v>
      </c>
      <c r="B1371" s="2">
        <v>45341</v>
      </c>
      <c r="C1371" s="3">
        <v>8543</v>
      </c>
      <c r="D1371" t="s">
        <v>28</v>
      </c>
    </row>
    <row r="1372" spans="1:4" x14ac:dyDescent="0.35">
      <c r="A1372">
        <v>98679</v>
      </c>
      <c r="B1372" s="2">
        <v>45309</v>
      </c>
      <c r="C1372" s="3">
        <v>8519</v>
      </c>
      <c r="D1372" t="s">
        <v>27</v>
      </c>
    </row>
    <row r="1373" spans="1:4" x14ac:dyDescent="0.35">
      <c r="A1373">
        <v>61216</v>
      </c>
      <c r="B1373" s="2">
        <v>45325</v>
      </c>
      <c r="C1373" s="3">
        <v>8450</v>
      </c>
      <c r="D1373" t="s">
        <v>26</v>
      </c>
    </row>
    <row r="1374" spans="1:4" x14ac:dyDescent="0.35">
      <c r="A1374">
        <v>66702</v>
      </c>
      <c r="B1374" s="2">
        <v>45318</v>
      </c>
      <c r="C1374" s="3">
        <v>8418</v>
      </c>
      <c r="D1374" t="s">
        <v>26</v>
      </c>
    </row>
    <row r="1375" spans="1:4" x14ac:dyDescent="0.35">
      <c r="A1375">
        <v>50350</v>
      </c>
      <c r="B1375" s="2">
        <v>45352</v>
      </c>
      <c r="C1375" s="3">
        <v>8401</v>
      </c>
      <c r="D1375" t="s">
        <v>26</v>
      </c>
    </row>
    <row r="1376" spans="1:4" x14ac:dyDescent="0.35">
      <c r="A1376">
        <v>32353</v>
      </c>
      <c r="B1376" s="2">
        <v>45314</v>
      </c>
      <c r="C1376" s="3">
        <v>8375</v>
      </c>
      <c r="D1376" t="s">
        <v>27</v>
      </c>
    </row>
    <row r="1377" spans="1:4" x14ac:dyDescent="0.35">
      <c r="A1377">
        <v>78440</v>
      </c>
      <c r="B1377" s="2">
        <v>45303</v>
      </c>
      <c r="C1377" s="3">
        <v>8339</v>
      </c>
      <c r="D1377" t="s">
        <v>28</v>
      </c>
    </row>
    <row r="1378" spans="1:4" x14ac:dyDescent="0.35">
      <c r="A1378">
        <v>96885</v>
      </c>
      <c r="B1378" s="2">
        <v>45302</v>
      </c>
      <c r="C1378" s="3">
        <v>8334</v>
      </c>
      <c r="D1378" t="s">
        <v>28</v>
      </c>
    </row>
    <row r="1379" spans="1:4" x14ac:dyDescent="0.35">
      <c r="A1379">
        <v>37981</v>
      </c>
      <c r="B1379" s="2">
        <v>45349</v>
      </c>
      <c r="C1379" s="3">
        <v>8299</v>
      </c>
      <c r="D1379" t="s">
        <v>27</v>
      </c>
    </row>
    <row r="1380" spans="1:4" x14ac:dyDescent="0.35">
      <c r="A1380">
        <v>19824</v>
      </c>
      <c r="B1380" s="2">
        <v>45306</v>
      </c>
      <c r="C1380" s="3">
        <v>7971</v>
      </c>
      <c r="D1380" t="s">
        <v>28</v>
      </c>
    </row>
    <row r="1381" spans="1:4" x14ac:dyDescent="0.35">
      <c r="A1381">
        <v>26519</v>
      </c>
      <c r="B1381" s="2">
        <v>45336</v>
      </c>
      <c r="C1381" s="3">
        <v>7907</v>
      </c>
      <c r="D1381" t="s">
        <v>28</v>
      </c>
    </row>
    <row r="1382" spans="1:4" x14ac:dyDescent="0.35">
      <c r="A1382">
        <v>59803</v>
      </c>
      <c r="B1382" s="2">
        <v>45303</v>
      </c>
      <c r="C1382" s="3">
        <v>7852</v>
      </c>
      <c r="D1382" t="s">
        <v>27</v>
      </c>
    </row>
    <row r="1383" spans="1:4" x14ac:dyDescent="0.35">
      <c r="A1383">
        <v>52849</v>
      </c>
      <c r="B1383" s="2">
        <v>45311</v>
      </c>
      <c r="C1383" s="3">
        <v>7643</v>
      </c>
      <c r="D1383" t="s">
        <v>26</v>
      </c>
    </row>
    <row r="1384" spans="1:4" x14ac:dyDescent="0.35">
      <c r="A1384">
        <v>24397</v>
      </c>
      <c r="B1384" s="2">
        <v>45344</v>
      </c>
      <c r="C1384" s="3">
        <v>7530</v>
      </c>
      <c r="D1384" t="s">
        <v>28</v>
      </c>
    </row>
    <row r="1385" spans="1:4" x14ac:dyDescent="0.35">
      <c r="A1385">
        <v>59457</v>
      </c>
      <c r="B1385" s="2">
        <v>45353</v>
      </c>
      <c r="C1385" s="3">
        <v>7519</v>
      </c>
      <c r="D1385" t="s">
        <v>27</v>
      </c>
    </row>
    <row r="1386" spans="1:4" x14ac:dyDescent="0.35">
      <c r="A1386">
        <v>40866</v>
      </c>
      <c r="B1386" s="2">
        <v>45331</v>
      </c>
      <c r="C1386" s="3">
        <v>7446</v>
      </c>
      <c r="D1386" t="s">
        <v>28</v>
      </c>
    </row>
    <row r="1387" spans="1:4" x14ac:dyDescent="0.35">
      <c r="A1387">
        <v>55896</v>
      </c>
      <c r="B1387" s="2">
        <v>45329</v>
      </c>
      <c r="C1387" s="3">
        <v>7441</v>
      </c>
      <c r="D1387" t="s">
        <v>27</v>
      </c>
    </row>
    <row r="1388" spans="1:4" x14ac:dyDescent="0.35">
      <c r="A1388">
        <v>90253</v>
      </c>
      <c r="B1388" s="2">
        <v>45334</v>
      </c>
      <c r="C1388" s="3">
        <v>7363</v>
      </c>
      <c r="D1388" t="s">
        <v>27</v>
      </c>
    </row>
    <row r="1389" spans="1:4" x14ac:dyDescent="0.35">
      <c r="A1389">
        <v>41343</v>
      </c>
      <c r="B1389" s="2">
        <v>45304</v>
      </c>
      <c r="C1389" s="3">
        <v>7198</v>
      </c>
      <c r="D1389" t="s">
        <v>28</v>
      </c>
    </row>
    <row r="1390" spans="1:4" x14ac:dyDescent="0.35">
      <c r="A1390">
        <v>88239</v>
      </c>
      <c r="B1390" s="2">
        <v>45333</v>
      </c>
      <c r="C1390" s="3">
        <v>7095</v>
      </c>
      <c r="D1390" t="s">
        <v>27</v>
      </c>
    </row>
    <row r="1391" spans="1:4" x14ac:dyDescent="0.35">
      <c r="A1391">
        <v>70560</v>
      </c>
      <c r="B1391" s="2">
        <v>45321</v>
      </c>
      <c r="C1391" s="3">
        <v>7090</v>
      </c>
      <c r="D1391" t="s">
        <v>27</v>
      </c>
    </row>
    <row r="1392" spans="1:4" x14ac:dyDescent="0.35">
      <c r="A1392">
        <v>82036</v>
      </c>
      <c r="B1392" s="2">
        <v>45350</v>
      </c>
      <c r="C1392" s="3">
        <v>7013</v>
      </c>
      <c r="D1392" t="s">
        <v>26</v>
      </c>
    </row>
    <row r="1393" spans="1:4" x14ac:dyDescent="0.35">
      <c r="A1393">
        <v>39661</v>
      </c>
      <c r="B1393" s="2">
        <v>45354</v>
      </c>
      <c r="C1393" s="3">
        <v>7013</v>
      </c>
      <c r="D1393" t="s">
        <v>27</v>
      </c>
    </row>
    <row r="1394" spans="1:4" x14ac:dyDescent="0.35">
      <c r="A1394">
        <v>76599</v>
      </c>
      <c r="B1394" s="2">
        <v>45335</v>
      </c>
      <c r="C1394" s="3">
        <v>6979</v>
      </c>
      <c r="D1394" t="s">
        <v>27</v>
      </c>
    </row>
    <row r="1395" spans="1:4" x14ac:dyDescent="0.35">
      <c r="A1395">
        <v>42003</v>
      </c>
      <c r="B1395" s="2">
        <v>45354</v>
      </c>
      <c r="C1395" s="3">
        <v>6903</v>
      </c>
      <c r="D1395" t="s">
        <v>26</v>
      </c>
    </row>
    <row r="1396" spans="1:4" x14ac:dyDescent="0.35">
      <c r="A1396">
        <v>16513</v>
      </c>
      <c r="B1396" s="2">
        <v>45330</v>
      </c>
      <c r="C1396" s="3">
        <v>6884</v>
      </c>
      <c r="D1396" t="s">
        <v>27</v>
      </c>
    </row>
    <row r="1397" spans="1:4" x14ac:dyDescent="0.35">
      <c r="A1397">
        <v>48464</v>
      </c>
      <c r="B1397" s="2">
        <v>45338</v>
      </c>
      <c r="C1397" s="3">
        <v>6841</v>
      </c>
      <c r="D1397" t="s">
        <v>27</v>
      </c>
    </row>
    <row r="1398" spans="1:4" x14ac:dyDescent="0.35">
      <c r="A1398">
        <v>59241</v>
      </c>
      <c r="B1398" s="2">
        <v>45303</v>
      </c>
      <c r="C1398" s="3">
        <v>6821</v>
      </c>
      <c r="D1398" t="s">
        <v>28</v>
      </c>
    </row>
    <row r="1399" spans="1:4" x14ac:dyDescent="0.35">
      <c r="A1399">
        <v>48854</v>
      </c>
      <c r="B1399" s="2">
        <v>45324</v>
      </c>
      <c r="C1399" s="3">
        <v>6810</v>
      </c>
      <c r="D1399" t="s">
        <v>26</v>
      </c>
    </row>
    <row r="1400" spans="1:4" x14ac:dyDescent="0.35">
      <c r="A1400">
        <v>81021</v>
      </c>
      <c r="B1400" s="2">
        <v>45343</v>
      </c>
      <c r="C1400" s="3">
        <v>6799</v>
      </c>
      <c r="D1400" t="s">
        <v>26</v>
      </c>
    </row>
    <row r="1401" spans="1:4" x14ac:dyDescent="0.35">
      <c r="A1401">
        <v>16714</v>
      </c>
      <c r="B1401" s="2">
        <v>45346</v>
      </c>
      <c r="C1401" s="3">
        <v>6772</v>
      </c>
      <c r="D1401" t="s">
        <v>27</v>
      </c>
    </row>
    <row r="1402" spans="1:4" x14ac:dyDescent="0.35">
      <c r="A1402">
        <v>42748</v>
      </c>
      <c r="B1402" s="2">
        <v>45351</v>
      </c>
      <c r="C1402" s="3">
        <v>6750</v>
      </c>
      <c r="D1402" t="s">
        <v>28</v>
      </c>
    </row>
    <row r="1403" spans="1:4" x14ac:dyDescent="0.35">
      <c r="A1403">
        <v>54562</v>
      </c>
      <c r="B1403" s="2">
        <v>45306</v>
      </c>
      <c r="C1403" s="3">
        <v>6698</v>
      </c>
      <c r="D1403" t="s">
        <v>27</v>
      </c>
    </row>
    <row r="1404" spans="1:4" x14ac:dyDescent="0.35">
      <c r="A1404">
        <v>67410</v>
      </c>
      <c r="B1404" s="2">
        <v>45294</v>
      </c>
      <c r="C1404" s="3">
        <v>6635</v>
      </c>
      <c r="D1404" t="s">
        <v>26</v>
      </c>
    </row>
    <row r="1405" spans="1:4" x14ac:dyDescent="0.35">
      <c r="A1405">
        <v>74840</v>
      </c>
      <c r="B1405" s="2">
        <v>45340</v>
      </c>
      <c r="C1405" s="3">
        <v>6589</v>
      </c>
      <c r="D1405" t="s">
        <v>26</v>
      </c>
    </row>
    <row r="1406" spans="1:4" x14ac:dyDescent="0.35">
      <c r="A1406">
        <v>55786</v>
      </c>
      <c r="B1406" s="2">
        <v>45294</v>
      </c>
      <c r="C1406" s="3">
        <v>6588</v>
      </c>
      <c r="D1406" t="s">
        <v>26</v>
      </c>
    </row>
    <row r="1407" spans="1:4" x14ac:dyDescent="0.35">
      <c r="A1407">
        <v>19510</v>
      </c>
      <c r="B1407" s="2">
        <v>45306</v>
      </c>
      <c r="C1407" s="3">
        <v>6437</v>
      </c>
      <c r="D1407" t="s">
        <v>28</v>
      </c>
    </row>
    <row r="1408" spans="1:4" x14ac:dyDescent="0.35">
      <c r="A1408">
        <v>22184</v>
      </c>
      <c r="B1408" s="2">
        <v>45350</v>
      </c>
      <c r="C1408" s="3">
        <v>6219</v>
      </c>
      <c r="D1408" t="s">
        <v>27</v>
      </c>
    </row>
    <row r="1409" spans="1:4" x14ac:dyDescent="0.35">
      <c r="A1409">
        <v>84958</v>
      </c>
      <c r="B1409" s="2">
        <v>45321</v>
      </c>
      <c r="C1409" s="3">
        <v>6078</v>
      </c>
      <c r="D1409" t="s">
        <v>28</v>
      </c>
    </row>
    <row r="1410" spans="1:4" x14ac:dyDescent="0.35">
      <c r="A1410">
        <v>62222</v>
      </c>
      <c r="B1410" s="2">
        <v>45342</v>
      </c>
      <c r="C1410" s="3">
        <v>6065</v>
      </c>
      <c r="D1410" t="s">
        <v>26</v>
      </c>
    </row>
    <row r="1411" spans="1:4" x14ac:dyDescent="0.35">
      <c r="A1411">
        <v>51152</v>
      </c>
      <c r="B1411" s="2">
        <v>45323</v>
      </c>
      <c r="C1411" s="3">
        <v>6012</v>
      </c>
      <c r="D1411" t="s">
        <v>26</v>
      </c>
    </row>
    <row r="1412" spans="1:4" x14ac:dyDescent="0.35">
      <c r="A1412">
        <v>16008</v>
      </c>
      <c r="B1412" s="2">
        <v>45331</v>
      </c>
      <c r="C1412" s="3">
        <v>5953</v>
      </c>
      <c r="D1412" t="s">
        <v>26</v>
      </c>
    </row>
    <row r="1413" spans="1:4" x14ac:dyDescent="0.35">
      <c r="A1413">
        <v>54686</v>
      </c>
      <c r="B1413" s="2">
        <v>45306</v>
      </c>
      <c r="C1413" s="3">
        <v>5892</v>
      </c>
      <c r="D1413" t="s">
        <v>26</v>
      </c>
    </row>
    <row r="1414" spans="1:4" x14ac:dyDescent="0.35">
      <c r="A1414">
        <v>88900</v>
      </c>
      <c r="B1414" s="2">
        <v>45339</v>
      </c>
      <c r="C1414" s="3">
        <v>5724</v>
      </c>
      <c r="D1414" t="s">
        <v>28</v>
      </c>
    </row>
    <row r="1415" spans="1:4" x14ac:dyDescent="0.35">
      <c r="A1415">
        <v>97389</v>
      </c>
      <c r="B1415" s="2">
        <v>45323</v>
      </c>
      <c r="C1415" s="3">
        <v>5581</v>
      </c>
      <c r="D1415" t="s">
        <v>27</v>
      </c>
    </row>
    <row r="1416" spans="1:4" x14ac:dyDescent="0.35">
      <c r="A1416">
        <v>15578</v>
      </c>
      <c r="B1416" s="2">
        <v>45344</v>
      </c>
      <c r="C1416" s="3">
        <v>5539</v>
      </c>
      <c r="D1416" t="s">
        <v>28</v>
      </c>
    </row>
    <row r="1417" spans="1:4" x14ac:dyDescent="0.35">
      <c r="A1417">
        <v>15107</v>
      </c>
      <c r="B1417" s="2">
        <v>45340</v>
      </c>
      <c r="C1417" s="3">
        <v>5532</v>
      </c>
      <c r="D1417" t="s">
        <v>26</v>
      </c>
    </row>
    <row r="1418" spans="1:4" x14ac:dyDescent="0.35">
      <c r="A1418">
        <v>80550</v>
      </c>
      <c r="B1418" s="2">
        <v>45317</v>
      </c>
      <c r="C1418" s="3">
        <v>5517</v>
      </c>
      <c r="D1418" t="s">
        <v>28</v>
      </c>
    </row>
    <row r="1419" spans="1:4" x14ac:dyDescent="0.35">
      <c r="A1419">
        <v>84928</v>
      </c>
      <c r="B1419" s="2">
        <v>45301</v>
      </c>
      <c r="C1419" s="3">
        <v>5503</v>
      </c>
      <c r="D1419" t="s">
        <v>28</v>
      </c>
    </row>
    <row r="1420" spans="1:4" x14ac:dyDescent="0.35">
      <c r="A1420">
        <v>37074</v>
      </c>
      <c r="B1420" s="2">
        <v>45327</v>
      </c>
      <c r="C1420" s="3">
        <v>5495</v>
      </c>
      <c r="D1420" t="s">
        <v>27</v>
      </c>
    </row>
    <row r="1421" spans="1:4" x14ac:dyDescent="0.35">
      <c r="A1421">
        <v>72579</v>
      </c>
      <c r="B1421" s="2">
        <v>45325</v>
      </c>
      <c r="C1421" s="3">
        <v>5460</v>
      </c>
      <c r="D1421" t="s">
        <v>27</v>
      </c>
    </row>
    <row r="1422" spans="1:4" x14ac:dyDescent="0.35">
      <c r="A1422">
        <v>37505</v>
      </c>
      <c r="B1422" s="2">
        <v>45296</v>
      </c>
      <c r="C1422" s="3">
        <v>5428</v>
      </c>
      <c r="D1422" t="s">
        <v>26</v>
      </c>
    </row>
    <row r="1423" spans="1:4" x14ac:dyDescent="0.35">
      <c r="A1423">
        <v>87914</v>
      </c>
      <c r="B1423" s="2">
        <v>45318</v>
      </c>
      <c r="C1423" s="3">
        <v>5389</v>
      </c>
      <c r="D1423" t="s">
        <v>28</v>
      </c>
    </row>
    <row r="1424" spans="1:4" x14ac:dyDescent="0.35">
      <c r="A1424">
        <v>17095</v>
      </c>
      <c r="B1424" s="2">
        <v>45347</v>
      </c>
      <c r="C1424" s="3">
        <v>5376</v>
      </c>
      <c r="D1424" t="s">
        <v>28</v>
      </c>
    </row>
    <row r="1425" spans="1:4" x14ac:dyDescent="0.35">
      <c r="A1425">
        <v>76383</v>
      </c>
      <c r="B1425" s="2">
        <v>45330</v>
      </c>
      <c r="C1425" s="3">
        <v>5257</v>
      </c>
      <c r="D1425" t="s">
        <v>28</v>
      </c>
    </row>
    <row r="1426" spans="1:4" x14ac:dyDescent="0.35">
      <c r="A1426">
        <v>38730</v>
      </c>
      <c r="B1426" s="2">
        <v>45320</v>
      </c>
      <c r="C1426" s="3">
        <v>5063</v>
      </c>
      <c r="D1426" t="s">
        <v>27</v>
      </c>
    </row>
    <row r="1427" spans="1:4" x14ac:dyDescent="0.35">
      <c r="A1427">
        <v>81864</v>
      </c>
      <c r="B1427" s="2">
        <v>45326</v>
      </c>
      <c r="C1427" s="3">
        <v>5042</v>
      </c>
      <c r="D1427" t="s">
        <v>28</v>
      </c>
    </row>
    <row r="1428" spans="1:4" x14ac:dyDescent="0.35">
      <c r="A1428">
        <v>93152</v>
      </c>
      <c r="B1428" s="2">
        <v>45297</v>
      </c>
      <c r="C1428" s="3">
        <v>5005</v>
      </c>
      <c r="D1428" t="s">
        <v>27</v>
      </c>
    </row>
    <row r="1429" spans="1:4" x14ac:dyDescent="0.35">
      <c r="A1429">
        <v>28528</v>
      </c>
      <c r="B1429" s="2">
        <v>45303</v>
      </c>
      <c r="C1429" s="3">
        <v>4935</v>
      </c>
      <c r="D1429" t="s">
        <v>27</v>
      </c>
    </row>
    <row r="1430" spans="1:4" x14ac:dyDescent="0.35">
      <c r="A1430">
        <v>72832</v>
      </c>
      <c r="B1430" s="2">
        <v>45349</v>
      </c>
      <c r="C1430" s="3">
        <v>4890</v>
      </c>
      <c r="D1430" t="s">
        <v>27</v>
      </c>
    </row>
    <row r="1431" spans="1:4" x14ac:dyDescent="0.35">
      <c r="A1431">
        <v>54988</v>
      </c>
      <c r="B1431" s="2">
        <v>45317</v>
      </c>
      <c r="C1431" s="3">
        <v>4820</v>
      </c>
      <c r="D1431" t="s">
        <v>27</v>
      </c>
    </row>
    <row r="1432" spans="1:4" x14ac:dyDescent="0.35">
      <c r="A1432">
        <v>20938</v>
      </c>
      <c r="B1432" s="2">
        <v>45342</v>
      </c>
      <c r="C1432" s="3">
        <v>4730</v>
      </c>
      <c r="D1432" t="s">
        <v>28</v>
      </c>
    </row>
    <row r="1433" spans="1:4" x14ac:dyDescent="0.35">
      <c r="A1433">
        <v>20324</v>
      </c>
      <c r="B1433" s="2">
        <v>45342</v>
      </c>
      <c r="C1433" s="3">
        <v>4623</v>
      </c>
      <c r="D1433" t="s">
        <v>27</v>
      </c>
    </row>
    <row r="1434" spans="1:4" x14ac:dyDescent="0.35">
      <c r="A1434">
        <v>29367</v>
      </c>
      <c r="B1434" s="2">
        <v>45310</v>
      </c>
      <c r="C1434" s="3">
        <v>4616</v>
      </c>
      <c r="D1434" t="s">
        <v>28</v>
      </c>
    </row>
    <row r="1435" spans="1:4" x14ac:dyDescent="0.35">
      <c r="A1435">
        <v>35466</v>
      </c>
      <c r="B1435" s="2">
        <v>45337</v>
      </c>
      <c r="C1435" s="3">
        <v>4519</v>
      </c>
      <c r="D1435" t="s">
        <v>26</v>
      </c>
    </row>
    <row r="1436" spans="1:4" x14ac:dyDescent="0.35">
      <c r="A1436">
        <v>57344</v>
      </c>
      <c r="B1436" s="2">
        <v>45321</v>
      </c>
      <c r="C1436" s="3">
        <v>4516</v>
      </c>
      <c r="D1436" t="s">
        <v>27</v>
      </c>
    </row>
    <row r="1437" spans="1:4" x14ac:dyDescent="0.35">
      <c r="A1437">
        <v>63645</v>
      </c>
      <c r="B1437" s="2">
        <v>45305</v>
      </c>
      <c r="C1437" s="3">
        <v>4486</v>
      </c>
      <c r="D1437" t="s">
        <v>26</v>
      </c>
    </row>
    <row r="1438" spans="1:4" x14ac:dyDescent="0.35">
      <c r="A1438">
        <v>15639</v>
      </c>
      <c r="B1438" s="2">
        <v>45303</v>
      </c>
      <c r="C1438" s="3">
        <v>4485</v>
      </c>
      <c r="D1438" t="s">
        <v>26</v>
      </c>
    </row>
    <row r="1439" spans="1:4" x14ac:dyDescent="0.35">
      <c r="A1439">
        <v>36435</v>
      </c>
      <c r="B1439" s="2">
        <v>45341</v>
      </c>
      <c r="C1439" s="3">
        <v>4406</v>
      </c>
      <c r="D1439" t="s">
        <v>26</v>
      </c>
    </row>
    <row r="1440" spans="1:4" x14ac:dyDescent="0.35">
      <c r="A1440">
        <v>42602</v>
      </c>
      <c r="B1440" s="2">
        <v>45295</v>
      </c>
      <c r="C1440" s="3">
        <v>4366</v>
      </c>
      <c r="D1440" t="s">
        <v>28</v>
      </c>
    </row>
    <row r="1441" spans="1:4" x14ac:dyDescent="0.35">
      <c r="A1441">
        <v>99476</v>
      </c>
      <c r="B1441" s="2">
        <v>45306</v>
      </c>
      <c r="C1441" s="3">
        <v>4258</v>
      </c>
      <c r="D1441" t="s">
        <v>27</v>
      </c>
    </row>
    <row r="1442" spans="1:4" x14ac:dyDescent="0.35">
      <c r="A1442">
        <v>84039</v>
      </c>
      <c r="B1442" s="2">
        <v>45306</v>
      </c>
      <c r="C1442" s="3">
        <v>3878</v>
      </c>
      <c r="D1442" t="s">
        <v>28</v>
      </c>
    </row>
    <row r="1443" spans="1:4" x14ac:dyDescent="0.35">
      <c r="A1443">
        <v>43214</v>
      </c>
      <c r="B1443" s="2">
        <v>45344</v>
      </c>
      <c r="C1443" s="3">
        <v>3851</v>
      </c>
      <c r="D1443" t="s">
        <v>26</v>
      </c>
    </row>
    <row r="1444" spans="1:4" x14ac:dyDescent="0.35">
      <c r="A1444">
        <v>86448</v>
      </c>
      <c r="B1444" s="2">
        <v>45339</v>
      </c>
      <c r="C1444" s="3">
        <v>3776</v>
      </c>
      <c r="D1444" t="s">
        <v>28</v>
      </c>
    </row>
    <row r="1445" spans="1:4" x14ac:dyDescent="0.35">
      <c r="A1445">
        <v>55128</v>
      </c>
      <c r="B1445" s="2">
        <v>45344</v>
      </c>
      <c r="C1445" s="3">
        <v>3721</v>
      </c>
      <c r="D1445" t="s">
        <v>28</v>
      </c>
    </row>
    <row r="1446" spans="1:4" x14ac:dyDescent="0.35">
      <c r="A1446">
        <v>74208</v>
      </c>
      <c r="B1446" s="2">
        <v>45346</v>
      </c>
      <c r="C1446" s="3">
        <v>3666</v>
      </c>
      <c r="D1446" t="s">
        <v>27</v>
      </c>
    </row>
    <row r="1447" spans="1:4" x14ac:dyDescent="0.35">
      <c r="A1447">
        <v>55904</v>
      </c>
      <c r="B1447" s="2">
        <v>45350</v>
      </c>
      <c r="C1447" s="3">
        <v>3600</v>
      </c>
      <c r="D1447" t="s">
        <v>28</v>
      </c>
    </row>
    <row r="1448" spans="1:4" x14ac:dyDescent="0.35">
      <c r="A1448">
        <v>51094</v>
      </c>
      <c r="B1448" s="2">
        <v>45337</v>
      </c>
      <c r="C1448" s="3">
        <v>3595</v>
      </c>
      <c r="D1448" t="s">
        <v>28</v>
      </c>
    </row>
    <row r="1449" spans="1:4" x14ac:dyDescent="0.35">
      <c r="A1449">
        <v>97658</v>
      </c>
      <c r="B1449" s="2">
        <v>45323</v>
      </c>
      <c r="C1449" s="3">
        <v>3516</v>
      </c>
      <c r="D1449" t="s">
        <v>28</v>
      </c>
    </row>
    <row r="1450" spans="1:4" x14ac:dyDescent="0.35">
      <c r="A1450">
        <v>53163</v>
      </c>
      <c r="B1450" s="2">
        <v>45309</v>
      </c>
      <c r="C1450" s="3">
        <v>3441</v>
      </c>
      <c r="D1450" t="s">
        <v>28</v>
      </c>
    </row>
    <row r="1451" spans="1:4" x14ac:dyDescent="0.35">
      <c r="A1451">
        <v>78571</v>
      </c>
      <c r="B1451" s="2">
        <v>45297</v>
      </c>
      <c r="C1451" s="3">
        <v>3423</v>
      </c>
      <c r="D1451" t="s">
        <v>27</v>
      </c>
    </row>
    <row r="1452" spans="1:4" x14ac:dyDescent="0.35">
      <c r="A1452">
        <v>36891</v>
      </c>
      <c r="B1452" s="2">
        <v>45341</v>
      </c>
      <c r="C1452" s="3">
        <v>3421</v>
      </c>
      <c r="D1452" t="s">
        <v>27</v>
      </c>
    </row>
    <row r="1453" spans="1:4" x14ac:dyDescent="0.35">
      <c r="A1453">
        <v>59094</v>
      </c>
      <c r="B1453" s="2">
        <v>45327</v>
      </c>
      <c r="C1453" s="3">
        <v>3277</v>
      </c>
      <c r="D1453" t="s">
        <v>28</v>
      </c>
    </row>
    <row r="1454" spans="1:4" x14ac:dyDescent="0.35">
      <c r="A1454">
        <v>13003</v>
      </c>
      <c r="B1454" s="2">
        <v>45337</v>
      </c>
      <c r="C1454" s="3">
        <v>3256</v>
      </c>
      <c r="D1454" t="s">
        <v>28</v>
      </c>
    </row>
    <row r="1455" spans="1:4" x14ac:dyDescent="0.35">
      <c r="A1455">
        <v>65147</v>
      </c>
      <c r="B1455" s="2">
        <v>45311</v>
      </c>
      <c r="C1455" s="3">
        <v>3224</v>
      </c>
      <c r="D1455" t="s">
        <v>28</v>
      </c>
    </row>
    <row r="1456" spans="1:4" x14ac:dyDescent="0.35">
      <c r="A1456">
        <v>55755</v>
      </c>
      <c r="B1456" s="2">
        <v>45308</v>
      </c>
      <c r="C1456" s="3">
        <v>3223</v>
      </c>
      <c r="D1456" t="s">
        <v>27</v>
      </c>
    </row>
    <row r="1457" spans="1:4" x14ac:dyDescent="0.35">
      <c r="A1457">
        <v>31990</v>
      </c>
      <c r="B1457" s="2">
        <v>45324</v>
      </c>
      <c r="C1457" s="3">
        <v>3158</v>
      </c>
      <c r="D1457" t="s">
        <v>28</v>
      </c>
    </row>
    <row r="1458" spans="1:4" x14ac:dyDescent="0.35">
      <c r="A1458">
        <v>97516</v>
      </c>
      <c r="B1458" s="2">
        <v>45316</v>
      </c>
      <c r="C1458" s="3">
        <v>3101</v>
      </c>
      <c r="D1458" t="s">
        <v>26</v>
      </c>
    </row>
    <row r="1459" spans="1:4" x14ac:dyDescent="0.35">
      <c r="A1459">
        <v>65660</v>
      </c>
      <c r="B1459" s="2">
        <v>45336</v>
      </c>
      <c r="C1459" s="3">
        <v>3034</v>
      </c>
      <c r="D1459" t="s">
        <v>26</v>
      </c>
    </row>
    <row r="1460" spans="1:4" x14ac:dyDescent="0.35">
      <c r="A1460">
        <v>32807</v>
      </c>
      <c r="B1460" s="2">
        <v>45298</v>
      </c>
      <c r="C1460" s="3">
        <v>2926</v>
      </c>
      <c r="D1460" t="s">
        <v>26</v>
      </c>
    </row>
    <row r="1461" spans="1:4" x14ac:dyDescent="0.35">
      <c r="A1461">
        <v>45814</v>
      </c>
      <c r="B1461" s="2">
        <v>45351</v>
      </c>
      <c r="C1461" s="3">
        <v>2906</v>
      </c>
      <c r="D1461" t="s">
        <v>27</v>
      </c>
    </row>
    <row r="1462" spans="1:4" x14ac:dyDescent="0.35">
      <c r="A1462">
        <v>75271</v>
      </c>
      <c r="B1462" s="2">
        <v>45313</v>
      </c>
      <c r="C1462" s="3">
        <v>2898</v>
      </c>
      <c r="D1462" t="s">
        <v>28</v>
      </c>
    </row>
    <row r="1463" spans="1:4" x14ac:dyDescent="0.35">
      <c r="A1463">
        <v>98763</v>
      </c>
      <c r="B1463" s="2">
        <v>45313</v>
      </c>
      <c r="C1463" s="3">
        <v>2674</v>
      </c>
      <c r="D1463" t="s">
        <v>27</v>
      </c>
    </row>
    <row r="1464" spans="1:4" x14ac:dyDescent="0.35">
      <c r="A1464">
        <v>93488</v>
      </c>
      <c r="B1464" s="2">
        <v>45317</v>
      </c>
      <c r="C1464" s="3">
        <v>2667</v>
      </c>
      <c r="D1464" t="s">
        <v>28</v>
      </c>
    </row>
    <row r="1465" spans="1:4" x14ac:dyDescent="0.35">
      <c r="A1465">
        <v>79711</v>
      </c>
      <c r="B1465" s="2">
        <v>45322</v>
      </c>
      <c r="C1465" s="3">
        <v>2486</v>
      </c>
      <c r="D1465" t="s">
        <v>26</v>
      </c>
    </row>
    <row r="1466" spans="1:4" x14ac:dyDescent="0.35">
      <c r="A1466">
        <v>39004</v>
      </c>
      <c r="B1466" s="2">
        <v>45329</v>
      </c>
      <c r="C1466" s="3">
        <v>2462</v>
      </c>
      <c r="D1466" t="s">
        <v>27</v>
      </c>
    </row>
    <row r="1467" spans="1:4" x14ac:dyDescent="0.35">
      <c r="A1467">
        <v>39125</v>
      </c>
      <c r="B1467" s="2">
        <v>45329</v>
      </c>
      <c r="C1467" s="3">
        <v>2404</v>
      </c>
      <c r="D1467" t="s">
        <v>28</v>
      </c>
    </row>
    <row r="1468" spans="1:4" x14ac:dyDescent="0.35">
      <c r="A1468">
        <v>20828</v>
      </c>
      <c r="B1468" s="2">
        <v>45314</v>
      </c>
      <c r="C1468" s="3">
        <v>2319</v>
      </c>
      <c r="D1468" t="s">
        <v>27</v>
      </c>
    </row>
    <row r="1469" spans="1:4" x14ac:dyDescent="0.35">
      <c r="A1469">
        <v>35688</v>
      </c>
      <c r="B1469" s="2">
        <v>45333</v>
      </c>
      <c r="C1469" s="3">
        <v>2294</v>
      </c>
      <c r="D1469" t="s">
        <v>28</v>
      </c>
    </row>
    <row r="1470" spans="1:4" x14ac:dyDescent="0.35">
      <c r="A1470">
        <v>89181</v>
      </c>
      <c r="B1470" s="2">
        <v>45301</v>
      </c>
      <c r="C1470" s="3">
        <v>2241</v>
      </c>
      <c r="D1470" t="s">
        <v>27</v>
      </c>
    </row>
    <row r="1471" spans="1:4" x14ac:dyDescent="0.35">
      <c r="A1471">
        <v>55930</v>
      </c>
      <c r="B1471" s="2">
        <v>45340</v>
      </c>
      <c r="C1471" s="3">
        <v>2053</v>
      </c>
      <c r="D1471" t="s">
        <v>26</v>
      </c>
    </row>
    <row r="1472" spans="1:4" x14ac:dyDescent="0.35">
      <c r="A1472">
        <v>45857</v>
      </c>
      <c r="B1472" s="2">
        <v>45307</v>
      </c>
      <c r="C1472" s="3">
        <v>1920</v>
      </c>
      <c r="D1472" t="s">
        <v>28</v>
      </c>
    </row>
    <row r="1473" spans="1:4" x14ac:dyDescent="0.35">
      <c r="A1473">
        <v>97951</v>
      </c>
      <c r="B1473" s="2">
        <v>45334</v>
      </c>
      <c r="C1473" s="3">
        <v>1850</v>
      </c>
      <c r="D1473" t="s">
        <v>27</v>
      </c>
    </row>
    <row r="1474" spans="1:4" x14ac:dyDescent="0.35">
      <c r="A1474">
        <v>43968</v>
      </c>
      <c r="B1474" s="2">
        <v>45312</v>
      </c>
      <c r="C1474" s="3">
        <v>1799</v>
      </c>
      <c r="D1474" t="s">
        <v>26</v>
      </c>
    </row>
    <row r="1475" spans="1:4" x14ac:dyDescent="0.35">
      <c r="A1475">
        <v>99540</v>
      </c>
      <c r="B1475" s="2">
        <v>45343</v>
      </c>
      <c r="C1475" s="3">
        <v>1798</v>
      </c>
      <c r="D1475" t="s">
        <v>28</v>
      </c>
    </row>
    <row r="1476" spans="1:4" x14ac:dyDescent="0.35">
      <c r="A1476">
        <v>14824</v>
      </c>
      <c r="B1476" s="2">
        <v>45324</v>
      </c>
      <c r="C1476" s="3">
        <v>1762</v>
      </c>
      <c r="D1476" t="s">
        <v>27</v>
      </c>
    </row>
    <row r="1477" spans="1:4" x14ac:dyDescent="0.35">
      <c r="A1477">
        <v>94742</v>
      </c>
      <c r="B1477" s="2">
        <v>45329</v>
      </c>
      <c r="C1477" s="3">
        <v>1723</v>
      </c>
      <c r="D1477" t="s">
        <v>28</v>
      </c>
    </row>
    <row r="1478" spans="1:4" x14ac:dyDescent="0.35">
      <c r="A1478">
        <v>69867</v>
      </c>
      <c r="B1478" s="2">
        <v>45309</v>
      </c>
      <c r="C1478" s="3">
        <v>1634</v>
      </c>
      <c r="D1478" t="s">
        <v>27</v>
      </c>
    </row>
    <row r="1479" spans="1:4" x14ac:dyDescent="0.35">
      <c r="A1479">
        <v>11233</v>
      </c>
      <c r="B1479" s="2">
        <v>45331</v>
      </c>
      <c r="C1479" s="3">
        <v>1560</v>
      </c>
      <c r="D1479" t="s">
        <v>28</v>
      </c>
    </row>
    <row r="1480" spans="1:4" x14ac:dyDescent="0.35">
      <c r="A1480">
        <v>97192</v>
      </c>
      <c r="B1480" s="2">
        <v>45351</v>
      </c>
      <c r="C1480" s="3">
        <v>1554</v>
      </c>
      <c r="D1480" t="s">
        <v>27</v>
      </c>
    </row>
    <row r="1481" spans="1:4" x14ac:dyDescent="0.35">
      <c r="A1481">
        <v>27339</v>
      </c>
      <c r="B1481" s="2">
        <v>45300</v>
      </c>
      <c r="C1481" s="3">
        <v>1451</v>
      </c>
      <c r="D1481" t="s">
        <v>27</v>
      </c>
    </row>
    <row r="1482" spans="1:4" x14ac:dyDescent="0.35">
      <c r="A1482">
        <v>22772</v>
      </c>
      <c r="B1482" s="2">
        <v>45313</v>
      </c>
      <c r="C1482" s="3">
        <v>1426</v>
      </c>
      <c r="D1482" t="s">
        <v>26</v>
      </c>
    </row>
    <row r="1483" spans="1:4" x14ac:dyDescent="0.35">
      <c r="A1483">
        <v>57454</v>
      </c>
      <c r="B1483" s="2">
        <v>45327</v>
      </c>
      <c r="C1483" s="3">
        <v>1352</v>
      </c>
      <c r="D1483" t="s">
        <v>26</v>
      </c>
    </row>
    <row r="1484" spans="1:4" x14ac:dyDescent="0.35">
      <c r="A1484">
        <v>79661</v>
      </c>
      <c r="B1484" s="2">
        <v>45338</v>
      </c>
      <c r="C1484" s="3">
        <v>1333</v>
      </c>
      <c r="D1484" t="s">
        <v>28</v>
      </c>
    </row>
    <row r="1485" spans="1:4" x14ac:dyDescent="0.35">
      <c r="A1485">
        <v>38210</v>
      </c>
      <c r="B1485" s="2">
        <v>45348</v>
      </c>
      <c r="C1485" s="3">
        <v>1216</v>
      </c>
      <c r="D1485" t="s">
        <v>27</v>
      </c>
    </row>
    <row r="1486" spans="1:4" x14ac:dyDescent="0.35">
      <c r="A1486">
        <v>13380</v>
      </c>
      <c r="B1486" s="2">
        <v>45328</v>
      </c>
      <c r="C1486" s="3">
        <v>1187</v>
      </c>
      <c r="D1486" t="s">
        <v>26</v>
      </c>
    </row>
    <row r="1487" spans="1:4" x14ac:dyDescent="0.35">
      <c r="A1487">
        <v>52528</v>
      </c>
      <c r="B1487" s="2">
        <v>45301</v>
      </c>
      <c r="C1487" s="3">
        <v>1175</v>
      </c>
      <c r="D1487" t="s">
        <v>27</v>
      </c>
    </row>
    <row r="1488" spans="1:4" x14ac:dyDescent="0.35">
      <c r="A1488">
        <v>94444</v>
      </c>
      <c r="B1488" s="2">
        <v>45303</v>
      </c>
      <c r="C1488" s="3">
        <v>1103</v>
      </c>
      <c r="D1488" t="s">
        <v>27</v>
      </c>
    </row>
    <row r="1489" spans="1:4" x14ac:dyDescent="0.35">
      <c r="A1489">
        <v>48966</v>
      </c>
      <c r="B1489" s="2">
        <v>45322</v>
      </c>
      <c r="C1489" s="3">
        <v>1097</v>
      </c>
      <c r="D1489" t="s">
        <v>27</v>
      </c>
    </row>
    <row r="1490" spans="1:4" x14ac:dyDescent="0.35">
      <c r="A1490">
        <v>34691</v>
      </c>
      <c r="B1490" s="2">
        <v>45297</v>
      </c>
      <c r="C1490" s="3">
        <v>1025</v>
      </c>
      <c r="D1490" t="s">
        <v>27</v>
      </c>
    </row>
    <row r="1491" spans="1:4" x14ac:dyDescent="0.35">
      <c r="A1491">
        <v>67386</v>
      </c>
      <c r="B1491" s="2">
        <v>45328</v>
      </c>
      <c r="C1491" s="3">
        <v>881</v>
      </c>
      <c r="D1491" t="s">
        <v>27</v>
      </c>
    </row>
    <row r="1492" spans="1:4" x14ac:dyDescent="0.35">
      <c r="A1492">
        <v>91143</v>
      </c>
      <c r="B1492" s="2">
        <v>45327</v>
      </c>
      <c r="C1492" s="3">
        <v>877</v>
      </c>
      <c r="D1492" t="s">
        <v>27</v>
      </c>
    </row>
    <row r="1493" spans="1:4" x14ac:dyDescent="0.35">
      <c r="A1493">
        <v>28278</v>
      </c>
      <c r="B1493" s="2">
        <v>45338</v>
      </c>
      <c r="C1493" s="3">
        <v>832</v>
      </c>
      <c r="D1493" t="s">
        <v>27</v>
      </c>
    </row>
    <row r="1494" spans="1:4" x14ac:dyDescent="0.35">
      <c r="A1494">
        <v>13893</v>
      </c>
      <c r="B1494" s="2">
        <v>45344</v>
      </c>
      <c r="C1494" s="3">
        <v>801</v>
      </c>
      <c r="D1494" t="s">
        <v>27</v>
      </c>
    </row>
    <row r="1495" spans="1:4" x14ac:dyDescent="0.35">
      <c r="A1495">
        <v>53328</v>
      </c>
      <c r="B1495" s="2">
        <v>45311</v>
      </c>
      <c r="C1495" s="3">
        <v>741</v>
      </c>
      <c r="D1495" t="s">
        <v>26</v>
      </c>
    </row>
    <row r="1496" spans="1:4" x14ac:dyDescent="0.35">
      <c r="A1496">
        <v>51573</v>
      </c>
      <c r="B1496" s="2">
        <v>45339</v>
      </c>
      <c r="C1496" s="3">
        <v>733</v>
      </c>
      <c r="D1496" t="s">
        <v>26</v>
      </c>
    </row>
    <row r="1497" spans="1:4" x14ac:dyDescent="0.35">
      <c r="A1497">
        <v>10972</v>
      </c>
      <c r="B1497" s="2">
        <v>45336</v>
      </c>
      <c r="C1497" s="3">
        <v>631</v>
      </c>
      <c r="D1497" t="s">
        <v>28</v>
      </c>
    </row>
    <row r="1498" spans="1:4" x14ac:dyDescent="0.35">
      <c r="A1498">
        <v>60900</v>
      </c>
      <c r="B1498" s="2">
        <v>45333</v>
      </c>
      <c r="C1498" s="3">
        <v>608</v>
      </c>
      <c r="D1498" t="s">
        <v>26</v>
      </c>
    </row>
    <row r="1499" spans="1:4" x14ac:dyDescent="0.35">
      <c r="A1499">
        <v>81063</v>
      </c>
      <c r="B1499" s="2">
        <v>45334</v>
      </c>
      <c r="C1499" s="3">
        <v>594</v>
      </c>
      <c r="D1499" t="s">
        <v>27</v>
      </c>
    </row>
    <row r="1500" spans="1:4" x14ac:dyDescent="0.35">
      <c r="A1500">
        <v>68844</v>
      </c>
      <c r="B1500" s="2">
        <v>45301</v>
      </c>
      <c r="C1500" s="3">
        <v>538</v>
      </c>
      <c r="D1500" t="s">
        <v>28</v>
      </c>
    </row>
    <row r="1501" spans="1:4" x14ac:dyDescent="0.35">
      <c r="A1501">
        <v>85547</v>
      </c>
      <c r="B1501" s="2">
        <v>45351</v>
      </c>
      <c r="C1501" s="3">
        <v>511</v>
      </c>
      <c r="D1501" t="s">
        <v>51</v>
      </c>
    </row>
  </sheetData>
  <autoFilter ref="A1:D150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catalogos</vt:lpstr>
      <vt:lpstr>Clientes</vt:lpstr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2025-02-14T00:39:00Z</dcterms:created>
  <dcterms:modified xsi:type="dcterms:W3CDTF">2025-02-14T02:32:44Z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44b68d0c-b4ff-40a4-b129-c18adfccc8ec</vt:lpwstr>
  </property>
</Properties>
</file>
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mc:AlternateContent xmlns:mc="http://schemas.openxmlformats.org/markup-compatibility/2006">
    <mc:Choice Requires="x15">
      <x15ac:absPath xmlns:x15ac="http://schemas.microsoft.com/office/spreadsheetml/2010/11/ac" url="https://cinepolisonline-my.sharepoint.com/personal/kmarti_cinepolis_com/Documents/"/>
    </mc:Choice>
  </mc:AlternateContent>
  <xr:revisionPtr revIDLastSave="0" documentId="8_{A0CC9650-D2E4-47B3-B116-53FE6EE70B3E}" xr6:coauthVersionLast="47" xr6:coauthVersionMax="47" xr10:uidLastSave="{00000000-0000-0000-0000-000000000000}"/>
  <bookViews>
    <workbookView xWindow="0" yWindow="740" windowWidth="29400" windowHeight="16680" firstSheet="1" activeTab="3" xr2:uid="{04A7D24A-9E57-4A49-A588-6586FBD65902}"/>
  </bookViews>
  <sheets>
    <sheet name="Data anual Cinépolis" sheetId="1" r:id="rId1"/>
    <sheet name="Data anual Paloma y Nacho" sheetId="4" r:id="rId2"/>
    <sheet name="Data You Tube Paloma y Nacho " sheetId="3" r:id="rId3"/>
    <sheet name="Data para Optimización Campaña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" i="4" l="1"/>
  <c r="L62" i="4"/>
  <c r="I62" i="4"/>
  <c r="F62" i="4"/>
  <c r="O61" i="4"/>
  <c r="L61" i="4"/>
  <c r="I61" i="4"/>
  <c r="F61" i="4"/>
  <c r="O60" i="4"/>
  <c r="L60" i="4"/>
  <c r="I60" i="4"/>
  <c r="F60" i="4"/>
  <c r="O59" i="4"/>
  <c r="L59" i="4"/>
  <c r="I59" i="4"/>
  <c r="F59" i="4"/>
  <c r="O58" i="4"/>
  <c r="L58" i="4"/>
  <c r="I58" i="4"/>
  <c r="F58" i="4"/>
  <c r="O57" i="4"/>
  <c r="L57" i="4"/>
  <c r="I57" i="4"/>
  <c r="F57" i="4"/>
  <c r="O56" i="4"/>
  <c r="L56" i="4"/>
  <c r="I56" i="4"/>
  <c r="F56" i="4"/>
  <c r="O55" i="4"/>
  <c r="L55" i="4"/>
  <c r="I55" i="4"/>
  <c r="F55" i="4"/>
  <c r="O54" i="4"/>
  <c r="L54" i="4"/>
  <c r="I54" i="4"/>
  <c r="F54" i="4"/>
  <c r="O53" i="4"/>
  <c r="L53" i="4"/>
  <c r="I53" i="4"/>
  <c r="F53" i="4"/>
  <c r="O52" i="4"/>
  <c r="L52" i="4"/>
  <c r="I52" i="4"/>
  <c r="F52" i="4"/>
  <c r="O51" i="4"/>
  <c r="L51" i="4"/>
  <c r="I51" i="4"/>
  <c r="F51" i="4"/>
  <c r="O50" i="4"/>
  <c r="L50" i="4"/>
  <c r="I50" i="4"/>
  <c r="F50" i="4"/>
  <c r="O49" i="4"/>
  <c r="L49" i="4"/>
  <c r="I49" i="4"/>
  <c r="F49" i="4"/>
  <c r="O48" i="4"/>
  <c r="L48" i="4"/>
  <c r="I48" i="4"/>
  <c r="F48" i="4"/>
  <c r="O47" i="4"/>
  <c r="L47" i="4"/>
  <c r="I47" i="4"/>
  <c r="F47" i="4"/>
  <c r="O46" i="4"/>
  <c r="L46" i="4"/>
  <c r="I46" i="4"/>
  <c r="F46" i="4"/>
  <c r="O45" i="4"/>
  <c r="L45" i="4"/>
  <c r="I45" i="4"/>
  <c r="F45" i="4"/>
  <c r="O44" i="4"/>
  <c r="L44" i="4"/>
  <c r="I44" i="4"/>
  <c r="F44" i="4"/>
  <c r="O43" i="4"/>
  <c r="L43" i="4"/>
  <c r="I43" i="4"/>
  <c r="F43" i="4"/>
  <c r="O42" i="4"/>
  <c r="L42" i="4"/>
  <c r="I42" i="4"/>
  <c r="F42" i="4"/>
  <c r="O41" i="4"/>
  <c r="L41" i="4"/>
  <c r="I41" i="4"/>
  <c r="F41" i="4"/>
  <c r="O40" i="4"/>
  <c r="L40" i="4"/>
  <c r="I40" i="4"/>
  <c r="F40" i="4"/>
  <c r="O39" i="4"/>
  <c r="L39" i="4"/>
  <c r="I39" i="4"/>
  <c r="F39" i="4"/>
  <c r="O38" i="4"/>
  <c r="L38" i="4"/>
  <c r="I38" i="4"/>
  <c r="F38" i="4"/>
  <c r="O37" i="4"/>
  <c r="L37" i="4"/>
  <c r="I37" i="4"/>
  <c r="F37" i="4"/>
  <c r="O36" i="4"/>
  <c r="L36" i="4"/>
  <c r="I36" i="4"/>
  <c r="F36" i="4"/>
  <c r="O35" i="4"/>
  <c r="L35" i="4"/>
  <c r="I35" i="4"/>
  <c r="F35" i="4"/>
  <c r="O34" i="4"/>
  <c r="L34" i="4"/>
  <c r="I34" i="4"/>
  <c r="F34" i="4"/>
  <c r="O33" i="4"/>
  <c r="L33" i="4"/>
  <c r="I33" i="4"/>
  <c r="F33" i="4"/>
  <c r="O32" i="4"/>
  <c r="L32" i="4"/>
  <c r="I32" i="4"/>
  <c r="F32" i="4"/>
  <c r="O31" i="4"/>
  <c r="L31" i="4"/>
  <c r="I31" i="4"/>
  <c r="F31" i="4"/>
  <c r="O30" i="4"/>
  <c r="L30" i="4"/>
  <c r="I30" i="4"/>
  <c r="F30" i="4"/>
  <c r="O29" i="4"/>
  <c r="L29" i="4"/>
  <c r="I29" i="4"/>
  <c r="F29" i="4"/>
  <c r="O28" i="4"/>
  <c r="L28" i="4"/>
  <c r="I28" i="4"/>
  <c r="F28" i="4"/>
  <c r="O27" i="4"/>
  <c r="L27" i="4"/>
  <c r="I27" i="4"/>
  <c r="F27" i="4"/>
  <c r="O26" i="4"/>
  <c r="L26" i="4"/>
  <c r="I26" i="4"/>
  <c r="F26" i="4"/>
  <c r="O25" i="4"/>
  <c r="L25" i="4"/>
  <c r="I25" i="4"/>
  <c r="F25" i="4"/>
  <c r="O24" i="4"/>
  <c r="L24" i="4"/>
  <c r="I24" i="4"/>
  <c r="F24" i="4"/>
  <c r="O23" i="4"/>
  <c r="L23" i="4"/>
  <c r="I23" i="4"/>
  <c r="F23" i="4"/>
  <c r="O22" i="4"/>
  <c r="L22" i="4"/>
  <c r="I22" i="4"/>
  <c r="F22" i="4"/>
  <c r="O21" i="4"/>
  <c r="L21" i="4"/>
  <c r="I21" i="4"/>
  <c r="F21" i="4"/>
  <c r="O20" i="4"/>
  <c r="L20" i="4"/>
  <c r="I20" i="4"/>
  <c r="F20" i="4"/>
  <c r="O19" i="4"/>
  <c r="L19" i="4"/>
  <c r="I19" i="4"/>
  <c r="F19" i="4"/>
  <c r="O18" i="4"/>
  <c r="L18" i="4"/>
  <c r="I18" i="4"/>
  <c r="F18" i="4"/>
  <c r="O17" i="4"/>
  <c r="L17" i="4"/>
  <c r="I17" i="4"/>
  <c r="F17" i="4"/>
  <c r="O16" i="4"/>
  <c r="L16" i="4"/>
  <c r="I16" i="4"/>
  <c r="F16" i="4"/>
  <c r="O15" i="4"/>
  <c r="L15" i="4"/>
  <c r="I15" i="4"/>
  <c r="F15" i="4"/>
  <c r="O14" i="4"/>
  <c r="L14" i="4"/>
  <c r="I14" i="4"/>
  <c r="F14" i="4"/>
  <c r="O13" i="4"/>
  <c r="L13" i="4"/>
  <c r="I13" i="4"/>
  <c r="F13" i="4"/>
  <c r="O12" i="4"/>
  <c r="L12" i="4"/>
  <c r="I12" i="4"/>
  <c r="F12" i="4"/>
  <c r="O11" i="4"/>
  <c r="L11" i="4"/>
  <c r="I11" i="4"/>
  <c r="F11" i="4"/>
  <c r="O10" i="4"/>
  <c r="L10" i="4"/>
  <c r="I10" i="4"/>
  <c r="F10" i="4"/>
  <c r="O9" i="4"/>
  <c r="L9" i="4"/>
  <c r="I9" i="4"/>
  <c r="F9" i="4"/>
  <c r="O8" i="4"/>
  <c r="L8" i="4"/>
  <c r="I8" i="4"/>
  <c r="F8" i="4"/>
  <c r="O7" i="4"/>
  <c r="L7" i="4"/>
  <c r="I7" i="4"/>
  <c r="F7" i="4"/>
  <c r="O6" i="4"/>
  <c r="L6" i="4"/>
  <c r="I6" i="4"/>
  <c r="F6" i="4"/>
  <c r="O5" i="4"/>
  <c r="L5" i="4"/>
  <c r="I5" i="4"/>
  <c r="F5" i="4"/>
  <c r="O4" i="4"/>
  <c r="L4" i="4"/>
  <c r="I4" i="4"/>
  <c r="F4" i="4"/>
  <c r="O3" i="4"/>
  <c r="L3" i="4"/>
  <c r="I3" i="4"/>
  <c r="F3" i="4"/>
  <c r="O62" i="1"/>
  <c r="L62" i="1"/>
  <c r="I62" i="1"/>
  <c r="F62" i="1"/>
  <c r="O61" i="1"/>
  <c r="L61" i="1"/>
  <c r="I61" i="1"/>
  <c r="F61" i="1"/>
  <c r="O60" i="1"/>
  <c r="L60" i="1"/>
  <c r="I60" i="1"/>
  <c r="F60" i="1"/>
  <c r="O59" i="1"/>
  <c r="L59" i="1"/>
  <c r="I59" i="1"/>
  <c r="F59" i="1"/>
  <c r="O58" i="1"/>
  <c r="L58" i="1"/>
  <c r="I58" i="1"/>
  <c r="F58" i="1"/>
  <c r="O57" i="1"/>
  <c r="L57" i="1"/>
  <c r="I57" i="1"/>
  <c r="F57" i="1"/>
  <c r="O56" i="1"/>
  <c r="L56" i="1"/>
  <c r="I56" i="1"/>
  <c r="F56" i="1"/>
  <c r="O55" i="1"/>
  <c r="L55" i="1"/>
  <c r="I55" i="1"/>
  <c r="F55" i="1"/>
  <c r="O54" i="1"/>
  <c r="L54" i="1"/>
  <c r="I54" i="1"/>
  <c r="F54" i="1"/>
  <c r="O53" i="1"/>
  <c r="L53" i="1"/>
  <c r="I53" i="1"/>
  <c r="F53" i="1"/>
  <c r="O52" i="1"/>
  <c r="L52" i="1"/>
  <c r="I52" i="1"/>
  <c r="F52" i="1"/>
  <c r="O51" i="1"/>
  <c r="L51" i="1"/>
  <c r="I51" i="1"/>
  <c r="F51" i="1"/>
  <c r="O50" i="1"/>
  <c r="L50" i="1"/>
  <c r="I50" i="1"/>
  <c r="F50" i="1"/>
  <c r="O49" i="1"/>
  <c r="L49" i="1"/>
  <c r="I49" i="1"/>
  <c r="F49" i="1"/>
  <c r="O48" i="1"/>
  <c r="L48" i="1"/>
  <c r="I48" i="1"/>
  <c r="F48" i="1"/>
  <c r="O47" i="1"/>
  <c r="L47" i="1"/>
  <c r="I47" i="1"/>
  <c r="F47" i="1"/>
  <c r="O46" i="1"/>
  <c r="L46" i="1"/>
  <c r="I46" i="1"/>
  <c r="F46" i="1"/>
  <c r="O45" i="1"/>
  <c r="L45" i="1"/>
  <c r="I45" i="1"/>
  <c r="F45" i="1"/>
  <c r="O44" i="1"/>
  <c r="L44" i="1"/>
  <c r="I44" i="1"/>
  <c r="F44" i="1"/>
  <c r="O43" i="1"/>
  <c r="L43" i="1"/>
  <c r="I43" i="1"/>
  <c r="F43" i="1"/>
  <c r="O42" i="1"/>
  <c r="L42" i="1"/>
  <c r="I42" i="1"/>
  <c r="F42" i="1"/>
  <c r="O41" i="1"/>
  <c r="L41" i="1"/>
  <c r="I41" i="1"/>
  <c r="F41" i="1"/>
  <c r="O40" i="1"/>
  <c r="L40" i="1"/>
  <c r="I40" i="1"/>
  <c r="F40" i="1"/>
  <c r="O39" i="1"/>
  <c r="L39" i="1"/>
  <c r="I39" i="1"/>
  <c r="F39" i="1"/>
  <c r="O38" i="1"/>
  <c r="L38" i="1"/>
  <c r="I38" i="1"/>
  <c r="F38" i="1"/>
  <c r="O37" i="1"/>
  <c r="L37" i="1"/>
  <c r="I37" i="1"/>
  <c r="F37" i="1"/>
  <c r="O36" i="1"/>
  <c r="L36" i="1"/>
  <c r="I36" i="1"/>
  <c r="F36" i="1"/>
  <c r="O35" i="1"/>
  <c r="L35" i="1"/>
  <c r="I35" i="1"/>
  <c r="F35" i="1"/>
  <c r="O34" i="1"/>
  <c r="L34" i="1"/>
  <c r="I34" i="1"/>
  <c r="F34" i="1"/>
  <c r="O33" i="1"/>
  <c r="L33" i="1"/>
  <c r="I33" i="1"/>
  <c r="F33" i="1"/>
  <c r="O32" i="1"/>
  <c r="L32" i="1"/>
  <c r="I32" i="1"/>
  <c r="F32" i="1"/>
  <c r="O31" i="1"/>
  <c r="L31" i="1"/>
  <c r="I31" i="1"/>
  <c r="F31" i="1"/>
  <c r="O30" i="1"/>
  <c r="L30" i="1"/>
  <c r="I30" i="1"/>
  <c r="F30" i="1"/>
  <c r="O29" i="1"/>
  <c r="L29" i="1"/>
  <c r="I29" i="1"/>
  <c r="F29" i="1"/>
  <c r="O28" i="1"/>
  <c r="L28" i="1"/>
  <c r="I28" i="1"/>
  <c r="F28" i="1"/>
  <c r="O27" i="1"/>
  <c r="L27" i="1"/>
  <c r="I27" i="1"/>
  <c r="F27" i="1"/>
  <c r="O26" i="1"/>
  <c r="L26" i="1"/>
  <c r="I26" i="1"/>
  <c r="F26" i="1"/>
  <c r="O25" i="1"/>
  <c r="L25" i="1"/>
  <c r="I25" i="1"/>
  <c r="F25" i="1"/>
  <c r="O24" i="1"/>
  <c r="L24" i="1"/>
  <c r="I24" i="1"/>
  <c r="F24" i="1"/>
  <c r="O23" i="1"/>
  <c r="L23" i="1"/>
  <c r="I23" i="1"/>
  <c r="F23" i="1"/>
  <c r="O22" i="1"/>
  <c r="L22" i="1"/>
  <c r="I22" i="1"/>
  <c r="F22" i="1"/>
  <c r="O21" i="1"/>
  <c r="L21" i="1"/>
  <c r="I21" i="1"/>
  <c r="F21" i="1"/>
  <c r="O20" i="1"/>
  <c r="L20" i="1"/>
  <c r="I20" i="1"/>
  <c r="F20" i="1"/>
  <c r="O19" i="1"/>
  <c r="L19" i="1"/>
  <c r="I19" i="1"/>
  <c r="F19" i="1"/>
  <c r="O18" i="1"/>
  <c r="L18" i="1"/>
  <c r="I18" i="1"/>
  <c r="F18" i="1"/>
  <c r="O17" i="1"/>
  <c r="L17" i="1"/>
  <c r="I17" i="1"/>
  <c r="F17" i="1"/>
  <c r="O16" i="1"/>
  <c r="L16" i="1"/>
  <c r="I16" i="1"/>
  <c r="F16" i="1"/>
  <c r="O15" i="1"/>
  <c r="L15" i="1"/>
  <c r="I15" i="1"/>
  <c r="F15" i="1"/>
  <c r="O14" i="1"/>
  <c r="L14" i="1"/>
  <c r="I14" i="1"/>
  <c r="F14" i="1"/>
  <c r="O13" i="1"/>
  <c r="L13" i="1"/>
  <c r="I13" i="1"/>
  <c r="F13" i="1"/>
  <c r="O12" i="1"/>
  <c r="L12" i="1"/>
  <c r="I12" i="1"/>
  <c r="F12" i="1"/>
  <c r="O11" i="1"/>
  <c r="L11" i="1"/>
  <c r="I11" i="1"/>
  <c r="F11" i="1"/>
  <c r="O10" i="1"/>
  <c r="L10" i="1"/>
  <c r="I10" i="1"/>
  <c r="F10" i="1"/>
  <c r="O9" i="1"/>
  <c r="L9" i="1"/>
  <c r="I9" i="1"/>
  <c r="F9" i="1"/>
  <c r="O8" i="1"/>
  <c r="L8" i="1"/>
  <c r="I8" i="1"/>
  <c r="F8" i="1"/>
  <c r="O7" i="1"/>
  <c r="L7" i="1"/>
  <c r="I7" i="1"/>
  <c r="F7" i="1"/>
  <c r="O6" i="1"/>
  <c r="L6" i="1"/>
  <c r="I6" i="1"/>
  <c r="F6" i="1"/>
  <c r="O5" i="1"/>
  <c r="L5" i="1"/>
  <c r="I5" i="1"/>
  <c r="F5" i="1"/>
  <c r="O4" i="1"/>
  <c r="L4" i="1"/>
  <c r="I4" i="1"/>
  <c r="F4" i="1"/>
  <c r="O3" i="1"/>
  <c r="L3" i="1"/>
  <c r="I3" i="1"/>
  <c r="F3" i="1"/>
</calcChain>
</file>

<file path=xl/sharedStrings.xml><?xml version="1.0" encoding="utf-8"?>
<sst xmlns="http://schemas.openxmlformats.org/spreadsheetml/2006/main" count="1743" uniqueCount="359">
  <si>
    <t>Plataforma</t>
  </si>
  <si>
    <t>Mes</t>
  </si>
  <si>
    <t>Engagement</t>
  </si>
  <si>
    <t>Post Engagement</t>
  </si>
  <si>
    <t>Views 75%</t>
  </si>
  <si>
    <t>Total Engagement</t>
  </si>
  <si>
    <t>Comentarios</t>
  </si>
  <si>
    <t>Comentarios Paid</t>
  </si>
  <si>
    <t>Total Comentarios</t>
  </si>
  <si>
    <t>Video Views</t>
  </si>
  <si>
    <t>Video Views Paid</t>
  </si>
  <si>
    <t>Total Video Views</t>
  </si>
  <si>
    <t>Impresiones</t>
  </si>
  <si>
    <t>Impresiones Paid</t>
  </si>
  <si>
    <t>Total Impresiones</t>
  </si>
  <si>
    <t>View time</t>
  </si>
  <si>
    <t>Facebook</t>
  </si>
  <si>
    <t>Enero</t>
  </si>
  <si>
    <t>Instagram</t>
  </si>
  <si>
    <t>TikTok</t>
  </si>
  <si>
    <t>X</t>
  </si>
  <si>
    <t>YouTube</t>
  </si>
  <si>
    <t>Feberero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</si>
  <si>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</si>
  <si>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</si>
  <si>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</si>
  <si>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</si>
  <si>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</si>
  <si>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</si>
  <si>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</si>
  <si>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</si>
  <si>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</si>
  <si>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</si>
  <si>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</si>
  <si>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Tipo de Contenido</t>
  </si>
  <si>
    <t>Podcast</t>
  </si>
  <si>
    <t>SEMANA</t>
  </si>
  <si>
    <t>Fecha de publicación</t>
  </si>
  <si>
    <t>Título</t>
  </si>
  <si>
    <t>Tema</t>
  </si>
  <si>
    <t>CTA</t>
  </si>
  <si>
    <t>Pilar</t>
  </si>
  <si>
    <t>Formarto</t>
  </si>
  <si>
    <t>KPI PLANEADA</t>
  </si>
  <si>
    <t>Clics Link</t>
  </si>
  <si>
    <t>Inversión</t>
  </si>
  <si>
    <t>Titulo</t>
  </si>
  <si>
    <t>Pecadores</t>
  </si>
  <si>
    <t>#Pecadores en 3 palabras por #RyanCoogler su director.</t>
  </si>
  <si>
    <t>Instagram Feed</t>
  </si>
  <si>
    <t>Cobertura de evento</t>
  </si>
  <si>
    <t>Reel</t>
  </si>
  <si>
    <t>#Pecadores en 3 palabras por #RyanCoogler su director. #sinnersmovie #estrenos #estrenos2025 #películas #peliculasrecomendadas</t>
  </si>
  <si>
    <t>Star Wars: La venganza de los Sith</t>
  </si>
  <si>
    <t>¡¿Qué?! ¿Cómo que #JarJarBinks podría ser un #Sith? 😱🤔🎬 Checa la teoría y más detalles en #PalomaYNacho 👉</t>
  </si>
  <si>
    <t xml:space="preserve">Facebook </t>
  </si>
  <si>
    <t>Notas</t>
  </si>
  <si>
    <t>Link</t>
  </si>
  <si>
    <t>Clicks, Impresiones</t>
  </si>
  <si>
    <t>Breaking News</t>
  </si>
  <si>
    <t>Notición</t>
  </si>
  <si>
    <t>¡PAREN TODO! La productora #KetchupEntertainment compró los derechos de #CoyoteVSACME, ¡y ésta sí verá la luz en la pantalla grande! 😲🤩👌 #PalomaYNacho</t>
  </si>
  <si>
    <t>Foto</t>
  </si>
  <si>
    <t xml:space="preserve">Engagement </t>
  </si>
  <si>
    <t>Looney Tunes</t>
  </si>
  <si>
    <t>Los #LooneyTunes me hicieron feliz en mi infancia… y lo siguen haciendo hoy. 🦆💛 ¿Cuál es tu favorito y por qué el Pato Lucas? 😎 #cine #Cinépolis #PalomayNacho #pelis #películas #LooneyTunes #trendy #tendencias #fyp #paratiiiiiiiiiiiiiiiii</t>
  </si>
  <si>
    <t>Contenido Diario</t>
  </si>
  <si>
    <t>Cobertura de eventos</t>
  </si>
  <si>
    <t>¿Alguien tiene uno mejor para describir a #MichaelBJordan? 😍 #michaelbjordanedit #michaelbjordan #sinnersmovie #sinners #pecadorespelicula</t>
  </si>
  <si>
    <t>No vayan a ir a su última foto [ @michaelbjordan ¡si vayan! ] y decirle que me enamoré desde el primer momento que lo vi. 😂😂😂😍😍😍</t>
  </si>
  <si>
    <t>¡Sé encendió la alfombra de #Pecadores con todo su increíble cast! 😎🔥 Ya sabes… todo el chismecito aquí 👉 https://palomaynacho.com/rwyj</t>
  </si>
  <si>
    <t>Carrusel</t>
  </si>
  <si>
    <t>Qué onda con el talento tan hot de #PecadoresPelicula, ¡se encendió la Alfombra hoy con su estreno! 😎🔥</t>
  </si>
  <si>
    <t>Con ustedes, @michaelbjordan 😎👏 ¡Aplaudan! Inicia la cuenta regresiva para el estreno, este 17 de abril.#PecadoresPelicula #SinnersMovie</t>
  </si>
  <si>
    <t>Merece un Share si eres fan de #MichaelBJordan. 😎👌 #PecadoresPelícula #sinners #sinnersmovie #michaelbjordan #michaelbjordanedit</t>
  </si>
  <si>
    <t>¿Quién entendió la referencia de la frase de @haileesteinfeld? 😎👏 Prepárate para le estreno, este 17 de abril. #PecadoresPelicula #SinnersMovie</t>
  </si>
  <si>
    <t>Si entendiste de dónde viene la frase, te quiero mucho. 😎🫶 #haileesteinfeld #sinners #sinnersmovie #pitchperfect #pitchperfectmovie</t>
  </si>
  <si>
    <t>¡Post de apreciación a lo hot que son @haileesteinfeld y @michaelbjordan! 😎🫶#PecadoresPelicula</t>
  </si>
  <si>
    <t>¡Lo guapos que son #MichaelBJordan y #haileesteinfeld! 😍🫶😎 #sinnersmovie #PecadoresPelicula #pecadorespelícula #sinners</t>
  </si>
  <si>
    <t>Cinemacon</t>
  </si>
  <si>
    <t>Spiderman:Un Nuevo día</t>
  </si>
  <si>
    <t>🕷️¡El regreso de Spider-Man es oficial, #UnNuevoDía! #spiderman #spidermannowayhome #spidermannewday #marvel #marvelstudios</t>
  </si>
  <si>
    <t>Spiderman: BeyondTheSpiderverse</t>
  </si>
  <si>
    <t>¿Quién más reaccionó así? 😎🕷️#SpiderMan #BeyondTheSpiderverse #spiderverse #spiderman #spidermanacrossthespiderverse #spidermanedit</t>
  </si>
  <si>
    <t>The Beatles</t>
  </si>
  <si>
    <t>Biopics de #TheBeatles, el regreso de #SpiderMan y muchos más anuncios de #Sony que querrás ver. 😲🤩🎬 ¡Chécalos en #PalomaYNacho! 👉</t>
  </si>
  <si>
    <t>Hasta el elenco de #Pecadores se sabe la de "¡Renataaa!". ¡Ya son orgullosamente mexas! 🤣🫶🧛‍♀️¡No te la puedes perder! Estreno este 17 de abril. #SinnersMovie #PecadoresPelícula</t>
  </si>
  <si>
    <t>El elenco de #Pecadores ¡ya es mexa! Porque hasta se sabe la frase de: "¡Renataaa!". 🧛‍♀️😲👌 #cine #Cinépolis #pelis #películas #sinners #frases #elenco #mexa #trendy #tendencias #fyp #paratiiiiiiiiiiiiii</t>
  </si>
  <si>
    <t>¡No estoy soportando Marta! 🤩¡Sí, soy muy fan de #TheHungerGames y esta noticia me turbo emocionó! 🤩 🐍🐦‍⬛</t>
  </si>
  <si>
    <t>👉Después de ver el increíble video, yo quería saber más, por eso te armé esta nota con los detalles https://palomaynacho.com/rz46 de lo que se sabe de The Hunger Games #SunriseOnTheReaping</t>
  </si>
  <si>
    <t xml:space="preserve">Tráfico </t>
  </si>
  <si>
    <t>La alfombra roja de #Pecadores estuvo llena de momentos intensos y sorpresas. 😈✨ Revive lo mejor de la noche aquí. 🔥 #PalomaYNacho #Estrenos #Cinépólis #cuponera #trendy #tendencias #fyp #paratiiiiiiiiiiiiiiiiiiiiii #AlfombraRoja #redcarpet</t>
  </si>
  <si>
    <t>Mis amigos @charliegc15 y @karvillar vivieron el glamour y el pecado en la alfombra roja de #Pecadores, ¡y ahora me trajeron los mejores momentos para compartirlos contigo! ❤️‍🔥😏 #PalomaYNacho ¡Gracias @warnerbrosmx! 🎬</t>
  </si>
  <si>
    <t>Así se vivió una noche de glamour y tentación en la Alfombra Roja de #Pecadores. 😈✨ #PalomaYNacho</t>
  </si>
  <si>
    <t>Karate Kid Legends</t>
  </si>
  <si>
    <t>Algunas historias dejan huella, pero solo unas pocas se convierten en leyenda. 🥋🔥⁣No te pierdas el tráiler de #KarateKidLegends.</t>
  </si>
  <si>
    <t>El evento estuvo 🔥 y las declaraciones aún más. Los protagonistas de #Pecadores hablaron con @Karvillar y @charliegc15 en la alfombra roja. 🎤✨ #Cinépolis #Estrenos</t>
  </si>
  <si>
    <t>🔥 #CharlieCancino y @karvillar nos traen en exclusiva todo lo que los protagonistas de #Pecadores dijeron durante la #RedCarpet en México y estuvo Ufff ✨🎤🇲🇽 #PalomaYNacho #Estrenos #Cinépólis #trendy #tendencias #fyp #paratiiiiiiiiiiiiiiiiiiiiii #AlfombraRoja</t>
  </si>
  <si>
    <t>🥋 "Let’s make a Karate Kid." 🥋 Una nueva generación está por escribir su propia leyenda. No te pierdas #KarateKidLegends. 🔥👊 #Cinépólis #estrenos #trendy #tendencias #fyp #paratiiiiiiiiiiiiiiiiiiiiii</t>
  </si>
  <si>
    <t>John Wick</t>
  </si>
  <si>
    <t>🔥 Más de Hunger Games, más del universo de John Wick… y esto es solo el comienzo. 👀🤫🎬 #PalomaYNacho #Estrenos #Cinépólis</t>
  </si>
  <si>
    <t>Si tu martes se siente difícil, recuerda que pronto veremos a Keanu Reeves de regreso como #JohnWick. 🔥👊</t>
  </si>
  <si>
    <t>¿Tú qué objeto raro le hubieras llevado a @michaelbjordan? 😎</t>
  </si>
  <si>
    <t>¿Tú qué objeto raro le hubieras llevado a @michaelbjordan? 😎@WarnerBrosMX @Charlie GC #michaelbjordan #michaelbjordanedit</t>
  </si>
  <si>
    <t>Una mala y triste noticia para terminar el día, #ValKilmer.</t>
  </si>
  <si>
    <t>Estrenos</t>
  </si>
  <si>
    <t>Cartelera</t>
  </si>
  <si>
    <t>¡Ya es abril! Y tú y yo sabemos lo que eso significa: ¡estrenos increíbles! 😲🤩🎬 Chécalos todos en #PalomaYNacho 👉</t>
  </si>
  <si>
    <t>Everngreen</t>
  </si>
  <si>
    <t>El diario de una princesa</t>
  </si>
  <si>
    <t>Después de ver este video, no hay duda: Anne Hathaway nació para ser Mia Thermopolis. 👑✨🥺 #Iconic #ThePrincessDiaries</t>
  </si>
  <si>
    <t>Evergreen</t>
  </si>
  <si>
    <t>Val Kilmer</t>
  </si>
  <si>
    <t>¡Hasta siempre, #ValKilmer! ¿Cuál de estas escenas del actor es tu favorita? ¡Déjalo en comentarios! 🥹💖🎬</t>
  </si>
  <si>
    <t>Pedro Pascal</t>
  </si>
  <si>
    <t>Este post se comenta con felicitaciones para el "Daddy" de internet. 😎🎉 Déjenlas aquí y yo se las haré llegar en persona. 😉✨ #PedroPascal</t>
  </si>
  <si>
    <t>Junket</t>
  </si>
  <si>
    <t>El Amateur</t>
  </si>
  <si>
    <t>Yo sé que #RamiMalek no necesita de una gran capa para ser un superhéroe. 😎👌🎬Descubre todo lo que le conto a mi amiga @andreidadn en #PalomaYNacho. #Estrenos #ElAmateur #Cinépólis #cuponera #trendy #tendencias #fyp #paratiiiiiiiiiiiiiiiiiiiiii</t>
  </si>
  <si>
    <t>Contenido diariio</t>
  </si>
  <si>
    <t>¡Gracias por tan buenos momentos, #ValKilmer! En esta lista, ¿cuál es tu favorito? ¡Te leo en comentarios! 🥹💖🎬 #cine #cinépolis #pelis #películas #valkilmer #escenas #actor #batman #topgun #trendy #tendencias #fyp #paratiiiiiiiiiiiiiiiiiiiii</t>
  </si>
  <si>
    <t>¿Los verdaderos superheroes necesitan capas? 😎Descubre todo lo que #RamiMalek le conto a mis amigos de #PalomaYNacho sobre su papel en #ElAmateur: Operación Venganza.👌🎬</t>
  </si>
  <si>
    <t>Hay algunos superhéroes que no necesitan capa sino un gran corazón como es el caso de #RamiMalek en #ElAmateur: Operación Venganza. 😎👌🎬 Descubre todo lo que le contó a mi amiga @andreidadn en #PalomaYNacho.</t>
  </si>
  <si>
    <t>Superman</t>
  </si>
  <si>
    <t>Me urge ir a ver Superman solo para confirmar si esa rutina de hombros dio resultado… 🫢💪🔥 #Prioridades #cine #cinépolis #pelischiditas #películas #superman #trendy #tendencias #fyp #paratiiiiiiiiiiiiiiii</t>
  </si>
  <si>
    <t>Kenia Os</t>
  </si>
  <si>
    <t>En el podcast de hoy hablamos de cómo #KeniaOs nos muestra todos los días que con esfuerzo y perseverancia, se puede lograr lo que te propongas. ✨💜 #OrgulloKenini #PalomaYNacho #GabyMeza #Cinépolis #pelis #kenini #trendy #tendencias #fyp #paratiiiiiiiiiiiiiiii #OG</t>
  </si>
  <si>
    <t>Wicked For God</t>
  </si>
  <si>
    <t>Lo que puedo decirte es que, me emociona cada una de estas peli, ¿y a ti? 😎🫶</t>
  </si>
  <si>
    <t xml:space="preserve">Como entrenar a tu dragon </t>
  </si>
  <si>
    <t>Sabes lo que significa y cómo se siente esta noticia. 😍🫶 ¡Amo! 🐉</t>
  </si>
  <si>
    <t>Fans de #CómoEntrenarATuDragón entenderán la emoción. #comoentrenaratudragon #comoentrenaratudragonedit #whotoentrainyourdragon</t>
  </si>
  <si>
    <t>Nota</t>
  </si>
  <si>
    <t>Thunderbolts</t>
  </si>
  <si>
    <t>¿Ya sabes quién es quién en #Thunderbolts*? 🤔😲🎬 Esta guía de #PalomaYNacho te ayudará con eso 👉</t>
  </si>
  <si>
    <t>Minecraft</t>
  </si>
  <si>
    <t>Los Reyes de la improvisación, Jack Black y Jason Momoa, ¡se armaron un #beatboxing con mi amiga @karvillar! Y la cosa se puso ¡increíble! 😲🟩🤩 #cine #Cinépolis #pelis #películas #jackblack #elenco #minecraft #minecraftmovie #entrevista #trendy #fyp #paratiiiiiiiiiiiiiiiiiiiiiii #palomaynacho</t>
  </si>
  <si>
    <t>Mi amiga #KarenVillanueva vivió un momento muy random e increíble ¡con el mismísimo elenco de #Minecraft! Checa aquí cómo se puso todo. 😲🟩🤩 #PalomaYNacho</t>
  </si>
  <si>
    <t>¿Te imaginas improvisar un #beatboxing con los mismísimos #JackBlack y #JasonMomoa? 😲🟩 ¡Pues @karvillar lo vivió en esta entrevista de #Minecraft! Dale play. 🤩✨ #PalomaYNacho</t>
  </si>
  <si>
    <t>Panel Warner</t>
  </si>
  <si>
    <t>La verdad la que más me emociona es la de Los Picapiedra ¿y a ti? 🎬✨ Compártemelo en los comentarios. #PalomaYNacho</t>
  </si>
  <si>
    <t>Trailer</t>
  </si>
  <si>
    <t>¿Y donde esta el policia?</t>
  </si>
  <si>
    <t>¿Ya te sabías estos datos curiosos de esta cuarta entrega? 🤣🚔 No te pierdas a #LiamNeeson y a #PamelaAnderson en esta divertida comedia. #PalomaYNacho #cine #Cinépolis #estreno #contenidodiario #fyp #paratiiiiiiii</t>
  </si>
  <si>
    <t>¿Sabías que #YDóndeEstáElPolicía es la cuarta entrega de esta saga? 🤣🚔 Aquí te van otros datos curiosos de esta nueva entrega. #PalomaYNacho</t>
  </si>
  <si>
    <t>Contenido diario</t>
  </si>
  <si>
    <t>¡Qué emoción lo nuevo de #Superman! 😎👏</t>
  </si>
  <si>
    <t>¡Todo que ver el adelanto de #Superman! 😎🫶 #superman #supermanedit #supermanisdead</t>
  </si>
  <si>
    <t>¡Espera, espera! No te salgas de la sala después de los créditos de #Minecraft. ✋😲🟩 Checa en #PalomaYNacho cuántas escenas post créditos tiene. 👉</t>
  </si>
  <si>
    <t>Kartelera</t>
  </si>
  <si>
    <t>Llegó mi momento favorito de la semana. @karvillar trajo la cartelera semanal: mundos hechos de cubos, pinturas malditas, espías, viajes para sanar el corazón, 🥺❤️ y eso es solo una parte de todo lo que hay en #Cinépolis. #PalomaYNacho #estrenos #cine #pelis #películas #minecraft #juego #trendy #tendencias #fyp #paratiiiiiiiiiiiiiiiiiii</t>
  </si>
  <si>
    <t>#KarVillar tiene la receta perfecta para tu semana, desde mundos pixelados hasta corazones sanando. ❤️‍🩹 ¿Listo para la función? 🎬🤩 #Cinepolis #Estrenos</t>
  </si>
  <si>
    <t>5 estrenos que te harán vivir nuevas aventuras… y no, no puedes perderte a Jason Momoa y Jack Black en Minecraft. 😏🎮🍿 #Cinepolis #PalomaYNacho #estrenos #KarVillar</t>
  </si>
  <si>
    <t>Glen Powell</t>
  </si>
  <si>
    <t>Ya sabemos a quién invitar a la próxima boda. 👰❤️ #PlomaYNacho</t>
  </si>
  <si>
    <t>Spiderman</t>
  </si>
  <si>
    <t>Aquí vemos el momento exacto en que #TomHolland selló su destino como el Spider-Man de toda una generación.🕷️✨ #PalomaYNacho</t>
  </si>
  <si>
    <t>Tengo la ligera sospecha de que #PedroPascal es fan del café. ☕❤️🤔 #PalomaYNacho #Cinépolis #cine #películas #pelis #fyp #paratiiiiiiiiiiiiiiiiiiiiiiiiiiiiiii</t>
  </si>
  <si>
    <t>Contenido Diarip</t>
  </si>
  <si>
    <t>Peliculas Diseny Live Action</t>
  </si>
  <si>
    <t>¡Cumple nuestro deseo, #Disney! ¿Qué otra peli añadirías a esta #whishlist de futuros live actions? ¡Te leo! 🙏🤩✨ #PalomaYNacho</t>
  </si>
  <si>
    <t>¡Aquí dejo mi #whishlist de pelis de #Disney que quiero ver convertidas en live action! ¿Qué otra añadirías? 🙏🤩✨ #cine #cinépolis #pelis #películas #disney #animación #liveaction #estrenos #wishlist #trendy #tendencias #fyp #paratiiiiiiiiiiiiiiiiiiiiiiiiiii</t>
  </si>
  <si>
    <t>Quiz</t>
  </si>
  <si>
    <t>¿Será #HarleyQuinn? ¿O quizás el #Joker? ¡Lo sabrás en este quiz de #PalomaYNacho! 🤔💖😲 Deja la respuesta en comentarios 👉</t>
  </si>
  <si>
    <t>Quizz</t>
  </si>
  <si>
    <t>Videoclips que son cine</t>
  </si>
  <si>
    <t>¿Qué otros videoclips conoces que se hayan inspirado en grandes joyas del cine? ¡Déjalos en comentarios! 🤔🎶🎬 #PalomaYNacho</t>
  </si>
  <si>
    <t>Momentos de Looney Tunes</t>
  </si>
  <si>
    <t>Para momentos icónicos, ¡los que vivimos con los #LooneyTunes! ¿Qué otros añadirías a este listado? 🤣👌✨ #cine #Cinépolis #pelis #películas #looneytunes #bugsbunny #pantalónparatiendas #patolucas #trendy #tendencias #fyp #paratiiiiiiiiiiiiiiiiiiiiiiiiiiiii #palomaynacho</t>
  </si>
  <si>
    <t>Así como #JackBlack la rompió en el entretenimiento, sus padres lo hicieron ¡pero en la #NASA! 😲🤩✨ Conoce la historia en #PalomaYNacho. 👉 https://palomaynacho.com/fk15</t>
  </si>
  <si>
    <t>Contenido DIario</t>
  </si>
  <si>
    <t>Peliculas de Thirllers</t>
  </si>
  <si>
    <t>Estos thrilles no dejaban tiempo ¡ni para respirar! 😱🫠 Y eso mismo vivirás muy pronto en #Drop: Amenaza Anónima. ¿Añadirías otra peli a la lista? 🎬🤩 #PalomaYNacho</t>
  </si>
  <si>
    <t>Noticias Más relevantes</t>
  </si>
  <si>
    <t>¿Cuál fue la sorpresa que más te gustó?😎 Yo la verdad estoy entre #WickedForGood o #FiveNightsAtFreddys2.</t>
  </si>
  <si>
    <t>Misión Imposible</t>
  </si>
  <si>
    <t>¡Habemus tráiler de #MisiónImposible: Sentencia Final! 🎬😎👌 Y mis amigos de #PalomaYNacho te traen todo lo que debes saber 👉</t>
  </si>
  <si>
    <t>¡Gracias, #MisiónImposible, por darnos estas increíbles escenas de riesgo! ¿Cuál fue tu favorita de la saga? 😎🎬👌 #palomaynacho</t>
  </si>
  <si>
    <t xml:space="preserve">Contenido Diario </t>
  </si>
  <si>
    <t>El crew y yo, bien listos para golpear algunos creepers. 🎮 #minecraftpelicula</t>
  </si>
  <si>
    <t>Y qué película vienen a ver… 😎⚔️🎮 #MinecraftPelicula</t>
  </si>
  <si>
    <t>Películas de Videojuegos</t>
  </si>
  <si>
    <t>¡Obvio que #MinecraftPelicula estaría en esta lista! 😎🎮🎬 Descubre qué otras pelis la acompañan en #PalomaYNacho 👉</t>
  </si>
  <si>
    <t>Duna 3</t>
  </si>
  <si>
    <t>¡Fan de esta decisión! 😎👌</t>
  </si>
  <si>
    <t>Kartelera Mensuales</t>
  </si>
  <si>
    <t>Ya llegó, la está aquí... ¡la #KARtelera del mes! 😲🤩 Y viene con sorpresa: ¡salen #MichaelBJordan y #HaileeSteinfield en el video! No te lo pierdas. 🎬✨👌 #PalomaYNacho</t>
  </si>
  <si>
    <t>¿No sabes qué estrenos llegan este mes? 😲🎬 Deja que mi amiga @karvillar te los cuente ¡en la #KARtelera mensual! Que viene con sorpresa: #HaileeSteinfield ¡sale en el video! 🤩✨👌 #PalomaYNacho</t>
  </si>
  <si>
    <t>Abril llegó cargadito de estrenos y tú podrás verlos todos ¡en esta #KARtelera mensual! 😲🤩 Con mi amiga @karvillar... ¡y los mismísimos #MichaelBJordan y #HaileeSteinfield! 🎬✨👌 #cine #Cinépolis #pelis #películas #estrenos #kartelera #cartelera #pecadores #sinners #MinecraftPelicula #looneytunes #trendy #tendencias #fyp #paratiiiiiiiiiiiiiiiiiiiiiiiii #PalomaYNacho</t>
  </si>
  <si>
    <t>Megan 2.0</t>
  </si>
  <si>
    <t>#Megan2 ¡ya es una realidad! Y aquí te van algunos datos curiosos sobre la peli que sí o sí debes conocer. 😲🤩🎬 #cine #Cinépolis #pelis #película #megan #meganmovie #videojuegos #games #robotics #robots #tecnohorror #trendy #tendencias #fyp #paratiiiiiiiiiiiiiiiii</t>
  </si>
  <si>
    <t>Próximas películas de videojuegos</t>
  </si>
  <si>
    <t>Los live action basados en videojuegos han sido un éxito o un desastre, pero… ¿Cuál sería tu elección para que el próximo live action sea un hit? 💥 ¡Vamos, sorpréndeme! 😎🎮</t>
  </si>
  <si>
    <t>⚔️🔥 Este es un llamado a la comunidad gamer: si pudieran elegir, ¿qué videojuego tendría su propio live action? Los leo. 💥👇</t>
  </si>
  <si>
    <t>#¡¿Qué?! ¿#RobertPattinson se unió a #Duna3? 😲🎬✨ Checa en #PalomaYNacho lo que se sabe al respecto 👉</t>
  </si>
  <si>
    <t>Tom Cruice</t>
  </si>
  <si>
    <t>Suena a que Brad Pitt sabe lo que hace cuando se trata de conducir. 🏎️🏁 #F1 #PalomaYNacho</t>
  </si>
  <si>
    <t>Quien no hubiera querido hacer carreritas con #BradPitt. 🫢🏁 #PalomaYNacho #F1 #cine#Cinépolis #pelis#películas#trendy#tendencias#fyp #paratiiiiiiiiiiiiiiiiiiiiiiiiiiii</t>
  </si>
  <si>
    <t>Los Juegos del hambre</t>
  </si>
  <si>
    <t>¡Yo voto que sí! 🙋🏻 ¿Quién más está de acuerdo?</t>
  </si>
  <si>
    <t>Contenido  diario</t>
  </si>
  <si>
    <t xml:space="preserve">Peliculas de Natallie Porman </t>
  </si>
  <si>
    <t>¡Uff! Las actuaciones de #NataliePortman y #MilesTeller en estas pelis me dejaron temblando. ¿Y a ti? ¿Cuál fue tu favorita? 😵‍💫🤩🎬 #PalomaYNacho</t>
  </si>
  <si>
    <t>¿Tú qué crees? ¿Logrará #TomCruise romper su propio récord bajo el agua en #MisiónImposible: Sentencia Final? ¡Te leo! 🤔😲🎬 #PalomaYNacho</t>
  </si>
  <si>
    <t>Todos merecemos un hermano como #GlenPowell, ¿apoco no? 💖👌 Checa su reacción ¡al ver a su hermana en su vestido de novia! 🥹✨ #cine#Cinépolis#pelis #películas #hermano #tierno #trendy #tendencias #fyp #paratiiiiiiiiiiiiiiiiiii #PalomaYNacho</t>
  </si>
  <si>
    <t>Wes Anderson</t>
  </si>
  <si>
    <t>🌍 ¿Una nueva película de Wes Anderson? Claro que la necesitábamos. “El Esquema Fenicio” promete ser una obra que elevará, una vez más, el inconfundible sello visual y narrativo de #WesAnderson. 🖼️📽️ #cine #Cinépolis #pelis #películas #trendy #tendencias #fyp #paratiiiiiiiiiiiiiiiiiiiiiiiiiiii #comedia #ElEsquemaFenicio</t>
  </si>
  <si>
    <t>✨ Cada película de Wes Anderson es como entrar a una maqueta cuidadosamente armada. Y #ElEsquemaFenicio ya está lista para ocupar su lugar en el museo de lo exquisito.</t>
  </si>
  <si>
    <t>🎬 Lo que le hacía falta a mi cartelera era una dosis de colores simétricos, diálogos ingeniosos y una buena película de Wes Anderson. Gracias, universo cinematográfico.✨ #ElEsquemaFenicio</t>
  </si>
  <si>
    <t>Saw</t>
  </si>
  <si>
    <t>¡¿Qué?! ¿Cómo que #MiPobreAngelito está conectada con... ¡#Saw!? 😲🎬🤔Checa todo en #PalomaYNacho 👉</t>
  </si>
  <si>
    <t>¡Mándale esta #KARtelera al tóxico! Para que te lleve a disfrutar todos estos estrenos, de los cuales mi amiga @karvillar te cuenta a detalle aquí. 😲🎬✨ #PalomaYNacho</t>
  </si>
  <si>
    <t>¿Ya viste los increíbles estrenos que llegaron para este finde? ¿Cuál de todos se te antoja más? ¡Chécalos en esta #KARtelera! 😲🎬✨ #PalomaYNacho</t>
  </si>
  <si>
    <t>¡Ya llegó, ya está aquí! La #KARtelera, con increíbles estrenos que no querrás perderte. ¡Deja que @karvillar te lo cuente todo aquí! 😲🎬✨ #cine #Cinépolis #pelis #películas #cartelera #estrenos #lanzamientos #elamateur #drop #reydereyes #fyp #PalomaYNacho</t>
  </si>
  <si>
    <t>¡Se logró! 👏¡Se logró! 👏¡Se logró! 👏</t>
  </si>
  <si>
    <t>Estamos listos para volver a enamorarnos de Chimuelo, pero esta vez en Live Action. 🐉🖤 #ComoEntrenarAtuDragón</t>
  </si>
  <si>
    <t>Drop</t>
  </si>
  <si>
    <t>¿Te sacaste de onda con el final de #Drop: Amenaza Anónima? 😵‍💫😲📲 Mis amigos de #PalomaYNacho te lo explican todo aquí 👉</t>
  </si>
  <si>
    <t>¡OMG! La familia de #PedroPascal es de las grandes, ¡y tiene 34 primos hermanos! ¿Se sabe el nombre de todos? Chécalo aquí. 😲😵‍💫🤔 #cine #cinépolis #familia #lateshow #fyp #PalomaYNacho</t>
  </si>
  <si>
    <t>Oscares</t>
  </si>
  <si>
    <t>¡Échenme sus apuestas! ¿Quién de ellos tendrá su primer #Oscar? 🤔🏆 Un 🩷 por #FlorencePugh, un 💚 por #PaulMescal y un 💙 por #BarryKeoghan. #PalomaYNacho</t>
  </si>
  <si>
    <t>Detrás de escenas Lalaland</t>
  </si>
  <si>
    <t>#DamienChazelle es un máster del cine, y esta escena de #LaLaLand ¡es una pequeña prueba de ello! ¿Está entre tus favoritas? ✨🤩💃 #PalomaYNacho</t>
  </si>
  <si>
    <t>La niña de mis ojos</t>
  </si>
  <si>
    <t>¡¿Qué?! ¿Cómo que #LaNiñaDeMisOjos se basó en una historia real? 😱🤩 ¡Aquí te va el dato! Y déjame en comentarios tu canción favorita de Twice 🎬🫰 #cine #kpop #kdrama #kmovie #korean #fyp #romance #palomaynacho#cinépolis #pelis #películas</t>
  </si>
  <si>
    <t>¿Quién de los #LooneyTunes te tocó en este alocado horóscopo de mis amigos de #PalomaYNacho? ¡Déjalo en comentarios! 😜✨👌</t>
  </si>
  <si>
    <t>Jason Moana</t>
  </si>
  <si>
    <t>Se sabe y mucho se habla ¡de que JasonMomoa tiene un lugar bien especial en mi 💖!✨🤩 #cine #cinépolis #pelis #películas #jasonmomoa💫 #minecraft #aquaman #fyp #palomaynacho</t>
  </si>
  <si>
    <t>Gemelos</t>
  </si>
  <si>
    <t>¿Apoco tú sabías que #ScarlettJohansson tiene un hermano gemelo? 😲🤔👌 Checa en #PalomaYNacho qué otros famosos también uno. 👉 https://palomaynacho.com/ho2v</t>
  </si>
  <si>
    <t>Shipeons en el cine</t>
  </si>
  <si>
    <t>Y algunos de estos shippeos de famosos se fueron más allá de la pantalla... 😲😉 ¿Cuál de todos fue tu favorito? ¡Te leo! 💖✨ #PalomaYNacho</t>
  </si>
  <si>
    <t>Top momentos en minecraft</t>
  </si>
  <si>
    <t>¡Ay, no te voy a mentir! Yo también me puse igual cuando vi #MinecraftPelicula. 🤩🟩 ¡Aguas! Si aún no la ves, este video tiene spoilers. 🚨😲🎬 #cine #Cinépolis #pelis #películas #minecraft #minecraftfans #videogame #adaptación #juego #trendy #tendencias #fyp #palomaynacho</t>
  </si>
  <si>
    <t>¡Yo también estuve así cuando vi #MinecraftPelicula! Es que en serio AMO el juego. 🤩🟩 ¡Cuidado con este clip si aún no ves la peli! Contiene spoilers. 😲🎬🚨 #PalomaYNacho</t>
  </si>
  <si>
    <t>Datos de Star Wars: La venganza de los siths</t>
  </si>
  <si>
    <t xml:space="preserve"> Star Wars: La venganza de los siths</t>
  </si>
  <si>
    <t>El último de estos datos curiosos sobre #StarWars #LaVenganzaDeLosSith me dejó así: 😲 ¿Te los sabías todos?✨👌 #cine #cinépolis #pelis #películas #starwars #sith #reestreno #anakin #skywalker #lucasfilm #palomaynacho</t>
  </si>
  <si>
    <t>Después de ver estos datos curiosos sobre #StarWars #LaVenganzaDeLosSith, ¡tengo más ganas de que ya llegue su reestreno! 🤩✨👌 #PalomaYNacho</t>
  </si>
  <si>
    <t>¿List@ para el regreso de #StarWars #LaVenganzaDeLosSith al cine? 🤩✨👌 Festéjalo con estos datos curiosos de Paloma y Nacho. 👉 https://bit.ly/4j3pEjz</t>
  </si>
  <si>
    <t>Harry Potter</t>
  </si>
  <si>
    <t>¿Eres más #Gryffindor? ¿O todo un #Slytherin? ¡Tus gustos cinéfilos lo dirán! 🤔✨🎬 Deja la respuesta en comentarios 👉 https://palomaynacho.com/1l8i #PalomaYNacho</t>
  </si>
  <si>
    <t>Por si te lo perdiste en la película de #Minecraft… 👀Estos son algunos easter eggs escondidos, con homenajes emotivos y detalles secretos sobre los Enderman que solo los verdaderos fans notarán. 🖤✨ #MinecraftLaPelícula #Enderman #EasterEggs</t>
  </si>
  <si>
    <t>Star Wars</t>
  </si>
  <si>
    <t>El futuro de #StarWars... ¡podría ser de terror! Pero no por las razones que piensas. 😱🎬🤔 Checa todo en #PalomaYNacho 👉 https://palomaynacho.com/0eas</t>
  </si>
  <si>
    <t>Dinámica</t>
  </si>
  <si>
    <t>Until Dawn</t>
  </si>
  <si>
    <t>💀 ¡Sé uno de los primeros en el mundo en ver #UntilDawn: Noche de Terror!💀Te puedes ganar uno de los pases dobles que tenemos para esta función exclusiva mañana en Fórum Buenavista.Sólo debes seguir estos pasos:-Sigue todas las redes sociales de Cinépolis-Comenta ⛷☀-Entre más comentes, más oportunidades tendrás de GANARTyC:-Válido solo para gente de CDMX-Tienes hasta hoy a las 11:59 p.m. para participar.-Sólo para mayores de 18 años.-Los ganadores serán contactados mañana a las 10 a.m.</t>
  </si>
  <si>
    <t>¿Hay una conexión entre #Pecadores... y #ElGatoConBotas? 😲🤔🎬 ¡Sí! Y la descubrirás en #PalomaYNacho 👉 https://palomaynacho.com/jks3</t>
  </si>
  <si>
    <t>Revista P&amp;N</t>
  </si>
  <si>
    <t>Loco por eella</t>
  </si>
  <si>
    <t>Y los protagonistas de la nueva edición de la revista de #PalomaYNacho son... ¡@diegokleinfranco y @minniewest, del elenco de @locoporellamx! Da swipe y checa estás fotos exclusivas. 🤩🎬✨ @videocine</t>
  </si>
  <si>
    <t>¡Uff! Estas escenas de #StarWars#LaVenganzaDeLosSith ¡son unas joyitas! ¿Cuál es tu favorita? 🤩👌✨ #cine #Cinépolis #pelis #jedi #sith #episodio3 #venganzadelossith #galaxias #galaxy #anakin #darthvader #fyp #palomaynacho</t>
  </si>
  <si>
    <t>Peliculas de terror</t>
  </si>
  <si>
    <t>🕯️👁️‍🗨️ Un cuento que se volvió pesadilla.Bambi, zombis y puro terror te esperan muy pronto. #terror #Cinépolis</t>
  </si>
  <si>
    <t>¿Creías que ya habías visto todo? 🩸El horror evoluciona. El miedo se vuelve más cruel.Five Nights at Freddy’s 2, Until Dawn y mucha más sangre llegan muy pronto a mis pantallas. 🎬💀</t>
  </si>
  <si>
    <t>¿Ya viste que puedes visitarme ¡en el mundo de #Minecraft!? Checa aquí todos los detalles... #cine #Cinépolis #pelis#películas#minecraftpelicula#minecraftmovie#game#videojuego #palomaynacho#fyp</t>
  </si>
  <si>
    <t>Johny Deep</t>
  </si>
  <si>
    <t>El actor más camaleónico de todos es #JohnnyDepp, ¡y se sabe! ¿Cuál de todos sus personajes es tu favorito? ¡Te leo en comentarios! #PalomaYNacho</t>
  </si>
  <si>
    <t>¡No puedo elegir sólo un personaje de #JohnnyDepp! ¿Y tú? Te leo en comentarios. 🤔😎👌 #PalomaYNacho</t>
  </si>
  <si>
    <t>¿Sí están conectadas #KarateKid y #CobraKai con #KarateKidLeyendas? 😲😎👌 En #PalomaYNacho lo sabrás 👉 https://palomaynacho.com/0htm</t>
  </si>
  <si>
    <t>¡Yo también me pude haber confundido! ¡Estaban difíciles! Checa todas las leyendas que el cast de #Pecadores adivinó junto a mi amiga @karvillar 🤫🩸 #PalomaYNacho #cine #Cinépolis #pelis #películas #trendy #tendencias #fyp #paratiiiiiiiiiiiiii</t>
  </si>
  <si>
    <t>¡No te preocupes #MichaelBJordan yo te defiendo! Checa todas las leyendas que el cast de #Pecadores adivinó junto a mi amiga @karvillar 🤫🩸 #PalomaYNacho</t>
  </si>
  <si>
    <t>¡La del gato es una gran leyenda! Yo también me pude haber confundido. Checa todas las historias que el cast de #Pecadores adivinó junto a mi amiga #KarenVillar 🤫🩸 #PalomaYNacho</t>
  </si>
  <si>
    <t>Robert Patison</t>
  </si>
  <si>
    <t>¡Te perdono, #RobPattinson! Sigues siendo mi vampiro fav. 🧛 #PalomaYNacho</t>
  </si>
  <si>
    <t>BTS</t>
  </si>
  <si>
    <t>Me acabo de recontraenamorar de #FlorencePugh. 😎🎬✨ ¿Serías capaz de hacer tus propios stunts? #PalomaYNacho</t>
  </si>
  <si>
    <t>General</t>
  </si>
  <si>
    <t>Veo muchas pipshas por ahí, ¿tú cuántas adivinaste? 🍕 #PalomaYNacho #evergreen #fyp #comedia #cine #paratiiiiiiii</t>
  </si>
  <si>
    <t>Palomazo</t>
  </si>
  <si>
    <t>A veces, el amor llega cuando menos lo esperas… incluso en los lugares más inesperados. 💘😋 Una película que te hará reír, pensar y sentir. Descubre por qué @minniewest está en #LocoPorElla en este #Palomazo. #PalomaYNacho #fyp #comedia #estrenos #Cinépolis #cine #romancemovies #Paratiiiiiiiiiii</t>
  </si>
  <si>
    <t>Una historia de amor poco convencional… y completamente inolvidable.⁣Porque, ¿quién dijo que no puedes enamorarte dentro de un hospital psiquiátrico? 🧠💘 @minniewest te da esta y más razones para ver #LocoPorElla en este #Palomazo. 🎬✨ #PalomaYNacho ⁣</t>
  </si>
  <si>
    <t>Estrenos semana santa</t>
  </si>
  <si>
    <t>Mis amigos de #PalomaYNacho te traen los estrenos que puedes disfrutar durante estos días aquí 👉 https://palomaynacho.com/cljj 🤗🙌 Cuéntame en los comentarios que peli mueres por ver.</t>
  </si>
  <si>
    <t>GOT</t>
  </si>
  <si>
    <t>Entre #Marvel y #GameOfThrones no hay una ¡si no muchas conexiones! Y mis amigos de #PalomaYNacho te las muestran aquí. ¿Cuál fue tu favorita? 🤩🎬✨</t>
  </si>
  <si>
    <t>¿Conexiones entre #GameOfThrones y #Marvel ? No hay una, ¡si no muchas! ¿Cuál de todas está en tu top? 🤩🎬✨ #cine #cinépolis #pelis #peliculas #marvel #gameofthrones #juegodetronos #conexiones #aniversario #fyp #palomaynacho</t>
  </si>
  <si>
    <t>Choseen</t>
  </si>
  <si>
    <t>Yo la verdad invíitaría a todos a cenar pero checa todo lo que nos contó el cast de #TheChosen. 😏 💫 #estrenos #cine #cinépolis #pelis #películas #premier #trendy #tendencias #fyp #paratiiiiiiiiiiiiiiiiiii</t>
  </si>
  <si>
    <t>Una cena con cualquiera de ellos puede ser muy tentador. 😏 Checa todo lo que nos contó el cast de #TheChosen. 💫 @charliegc15 @sofia.valt @amarasyoficial @masquecinelatam</t>
  </si>
  <si>
    <t>¡Qué difícil decisión! Yo tampoco sabría a quién invitar a cenar. 😏 Checa todo lo que nos contó el cast de #TheChosen. 💫</t>
  </si>
  <si>
    <t>¡Participa y gana! 😎 Contesta el quiz de #PalomaYNacho y gana un increíble premio de #Pecadores patrocinado por #IMAX 👉 👉</t>
  </si>
  <si>
    <t>¡Ya está aquí! La #KARtelera, con increíbles estrenos que no querrás perderte. ¡Deja que @karvillar te lo cuente todo! 😲🎬✨ #cine #Cinépolis #pelis #películas #cartelera #estrenos #lanzamientos #locoporella #starwarslavenganzadelossith #eldíaquelatierraexplotó #laniñademisojos #looneytunes #pecadores</t>
  </si>
  <si>
    <t>La #KARtelera de esta semana se manda a tu amix que más locuras ha hecho por amor, para que te lleve a disfrutar todos estos estrenos de los cuales, mi amiga @karvillar te cuenta a detalle aquí. 😲🎬✨ #PalomaYNacho @diegokleinfranco @minniewest</t>
  </si>
  <si>
    <t>¡Que no se te pasen las imperdibles de la #KARtelera de esta semana! ¿Cuál se te antoja más? 🎬🤩🫶 #PalomaYNacho</t>
  </si>
  <si>
    <t>Del fondo del MCU… a la misión más peligrosa. Ellos son los #Thunderbolts* ⚡ ¿Estás listo? #cine #Cinépolis #fyp #paratiiiiii #pelis#películas</t>
  </si>
  <si>
    <t>Los viste salvar al mundo… ahora los verás romper las reglas. ⚡ #Thunderbolts llega con todo.</t>
  </si>
  <si>
    <t>¡¿Qué?! Estos famosos han sido parientes todo este tiempo... ¡¿y no lo sabíamos?! 🤔😲✨ Checa quiénes son en #PalomaYNacho. 👉</t>
  </si>
  <si>
    <t>Dicen por ahí que #LindsayLohan pone en su lugar a quien sea... y nosotros solo decimos: icónica. 💁‍♀️ #PalomaYNacho #Fyp #chisme #Cinépolis #JuegoDeGemelas #comedia #noticia</t>
  </si>
  <si>
    <t>Imagínate discutir con #LindsayLohan… y perder. 😮‍💨 Los directores no están listos. #PalomaYNacho</t>
  </si>
  <si>
    <t>#LindsayLohan no se anda con juegos cuando se trata de encarar a los directores de sus pelis. 🎞️😏 #PlaomaYNacho</t>
  </si>
  <si>
    <t>Mi obsesión con el cast de #Pecadores ya no tiene cura. Donde sea que aparezcan, brillan como joyas. 🤩❤️ #PalomaYNacho</t>
  </si>
  <si>
    <t>¿Realmente eres fan de los #LooneyTunes? ¡Pruébalo con este quiz de #PalomaYNacho! 🤔😲✨ Y deja tu respuesta en comentarios 👉</t>
  </si>
  <si>
    <t>#Porky y el #PatoLucas tienen bastante historia, y en esta galería de #PalomaYNacho ¡la conocerás! ¿List@ para verlos en #ElDíaQueLaTierraExplotó? 😍👌🎬</t>
  </si>
  <si>
    <t>Contenido diaripo</t>
  </si>
  <si>
    <t>#ElDíaQueLaTierraExplotó no es la primera vez que vemos juntos a #Porky y el #PatoLucas, y lo descubrirás aquí. 😍👌🎬 #PalomaYNacho</t>
  </si>
  <si>
    <t>Crepusculo</t>
  </si>
  <si>
    <t>Pregunta seria: si un vampiro te fuera a morder, ¿a quién elegirías y por qué es Edward Cullen? 😏🩸 #PalomaYNacho #Fyp #vampiros #crepusculo #comedia #Cinépolis #peliculas #cine #Paratiiiiiiiiiiiiiii #robertpatinson #pecadores #sinners</t>
  </si>
  <si>
    <t>¿Cómo conectarías Thunderbolts* y Doomsday? Deja tu teoría en los comentarios y lee la nota completa en #PalomaYNacho 👉 https://palomaynacho.com/34ei</t>
  </si>
  <si>
    <t>¡Secuelas que superaron la original! 😎 Deja en los comentarios cuál es tu favorita. 🍿🫶🏾 #PalomaYNacho</t>
  </si>
  <si>
    <t>Locopor ella</t>
  </si>
  <si>
    <t>Si la locura es contagiosa, creemos que Minnie West y Diego Klein se contagiaron fuertísimo en el set. 🤯❤️ #LocoPorElla #PalomaYNacho #pelis #películas #fyp #paratiiiiii #comedia</t>
  </si>
  <si>
    <t>Vaya, vaya, tal parece que @minniewest y @diegokleinfranco tienen un poco de la locura de sus personajes en #LocoPorElla. #PalomaYNacho 🤪💘</t>
  </si>
  <si>
    <t>¡Espérate! No te vayas a salir de la sala después de ver #Pecadores, porque tiene varias escenas post créditos. 😲🧛‍♂️🎬 Checa cuántas en #PalomaYNacho 👉 https://palomaynacho.com/b7qu</t>
  </si>
  <si>
    <t>La leyenda de Ochi</t>
  </si>
  <si>
    <t>#LaLeyendaDeOchi es una de esas historias que se realizaron con tanto amor, que no verla sería perderte un verdadero cuento cinematográfico. ✨🦊 #PalomaYNacho</t>
  </si>
  <si>
    <t>Así fue el detrás de cámaras de una criatura mística con vida propia en #LaLeyendaDeOchi. ✨🎥🐉 #PalomaYNacho</t>
  </si>
  <si>
    <t>Kristine Stwart</t>
  </si>
  <si>
    <t>💍💕 Mi amiga personal #KristenStewart y su novia ya son oficialmente esposas tras 6 años de amor. Comenta con flores, corazones o buenos deseos. 👰💐 #PalomaYNacho</t>
  </si>
  <si>
    <t>No sé si lo notaste peeero #ChristopherNolan ¡aparece en los créditos de #Pecadores! 😲🎬😎 Checa en #PalomaYNacho por qué 👉</t>
  </si>
  <si>
    <t>Platicas y Palomitas</t>
  </si>
  <si>
    <t>Las charlas se disfrutan más ¡cuando se viven en el cine y con palomitas! 😎🍿🎬 Checa en #PalomaYNacho todos los detalles del regreso de #PláticasYPalomitas 👉 https://bit.ly/3Gfuxrl</t>
  </si>
  <si>
    <t>Caer en un bucle interminable es un clásico del terror y el misterio en el cine… pero lo interesante está en cómo cada historia encuentra su propia forma de romperlo. 🔁😱 #PalomaYNacho #UntilDawn #cine #Cinépolis #películas #movies #terror #ElDíaDeLaMarmota</t>
  </si>
  <si>
    <t>Calendario Verano</t>
  </si>
  <si>
    <t>El verano es sinónimo de sol, playita ¡y estrenos increíbles! Si no me crees, da swipe y chécalos todos. 😎🤩🎬 #PalomaYNacho</t>
  </si>
  <si>
    <t>¡Falta muy poco para el verano! Y con él llegarán ¡estrenos increíbles! 😎🤩🎬 Chécalos todos en #PalomaYNacho. 👉 https://bit.ly/42IT6EG</t>
  </si>
  <si>
    <t>Depredador</t>
  </si>
  <si>
    <t>¡Cada vez falta menos para el estreno de #Predator: Badlands! 😲🤩🎬 Y mis amigos de #PalomaYNacho te cuentan aquí todo lo que debes saber 👉 https://palomaynacho.com/m6in</t>
  </si>
  <si>
    <t>Todos queremos a una amiga como #EmmaWatson que nos sople las respuestas, aunque eso la meta en problemas. 🥴❤️ #PalomaYNacho</t>
  </si>
  <si>
    <t>A mí me dicen eso y lloro. 😭❤️🐉 ¿Quién más aquí ya no aguanta para ver #ComoEntrenarATuDragon? #PalomaYNacho</t>
  </si>
  <si>
    <t>Ya basta, no me den más razones para amar a #PedroPascal. 😭❤️ #PalomaYNacho</t>
  </si>
  <si>
    <t>Cuento de pescadores</t>
  </si>
  <si>
    <t>¡Las leyendas mexicanas también han dado grandes historias al cine! 😎🇲🇽 Y si no me crees, da swipe y descubre cuáles han sido las más impactantes. 🔥✨ #PalomaYNacho</t>
  </si>
  <si>
    <t>Si a México le sobra algo ¡son leyendas! 😎🇲🇽 Y muchas de ellas ya fueron llevadas a la pantalla grande. ¿Cuál de todas es tu favorita? 🔥✨ #PalomaYNacho</t>
  </si>
  <si>
    <t>Hay actores que son eternos favoritos del público ¡y hasta de los mismos directores! Checa aquí las mejores duplas. 😎👌🎬 #cine #Cinépolis #pelis #películas #actores #directores #timburton #johnnydepp #martinscorsese #robertdeniro #favoritos #fyp #palomaynacho</t>
  </si>
  <si>
    <t>🎧 En este episodio hablamos de lo que a veces cuesta decir: está bien no estar bien. Junto a @karvillar y @yosoyalerey, abrimos una conversación real y necesaria. #radio #Cinépolis #estrenos #minniewest #fyp #pláticas #storytime #podcasts #paratiiiiiiiiiiiiiiiiiiiiiiiiiiiiiii #PalomaYNacho</t>
  </si>
  <si>
    <t>✨ Está bien no estar bien, y de eso (y más) hablamos en este episodio junto a @karvillar y @yosoyalerey. Una plática honesta, necesaria y llena de empatía. 🎙️💬 #PalomaYNacho</t>
  </si>
  <si>
    <t>Mis fans de Guadalajara de seguro se saben esta historia escalofriante. 😏🩸 ¿Qué leyendas cuentan en tu ciudad? Te leo.👻 #PalomaYNacho ⁣@karvillar</t>
  </si>
  <si>
    <t>¿Qué crees que pasaría si un día cortan el árbol? 😱 Tal vez los vampiros no existen solo en el cine. 🩸🧛 @karvillar #PalomaYNacho #cine #Cinépolis #Pecadores #terror</t>
  </si>
  <si>
    <t>¡Hoy por fin podrás disfrutar #LaLeyendaDeOchi! 🥳🎬✨ Y esta entrevista exclusiva con el elenco de mis amigos de #PalomaYNacho 👉 https://palomaynacho.com/kulb Zima Entertainment</t>
  </si>
  <si>
    <t>¿Qué estreno se te antoja más para este fin de semana? 🤔🎬 Checa los mejores en esta galería de mis amigos de #PalomaYNacho. ✨👌</t>
  </si>
  <si>
    <t>¿Cuáles son los 5 mejores estrenos de esta semana? 🤔🎬 Dejaré que mi amiga @karvillar te lo cuente todo ¡en esta nueva #KARtelera! ✨👌 #PalomaYNacho</t>
  </si>
  <si>
    <t>Es jueves, hay estrenos, y mi amiga @karvillar te cuenta los 5 mejores aquí, ¡en esta nueva edición de la #KARtelera! 🤩🎬✨ #cine #Cinépolis #pelis #películas#PalomaYNacho#cartelera#estrenos#lanzamientos#fyp</t>
  </si>
  <si>
    <t>💀Este póster firmado de #Pecadores ¡podría ser tuyo! 💀⁣⁣¡Gana este póster firmado por Michael B. Jordan, Hailee Steinfeld, Ryan Coogler, Wunmi Mosaku y Miles Caton!⁣⁣Para llevártelo:⁣•⁠ ⁠Sigue todas las redes de Cinépolis⁣•⁠ ⁠⁠Comenta: “YO QUIERO BAILAR CON EL DIABLO”⁣•⁠ ⁠⁠Y recuerda que entre más comentes, ¡más oportunidades tendrás de ganar!⁣⁣Términos y condiciones:⁣-Válido solo para gente de CDMX⁣-Tienes hasta el domingo 27 de abril a las 11:00 p.m. para participar⁣-Sólo para mayores de 18 años⁣•⁠ Los ganadores serán contactados el miércoles 30 de abril</t>
  </si>
  <si>
    <t>Talento</t>
  </si>
  <si>
    <t>No hay nada más ICONIC que el que tú y tu bestie salten a la fama. 🤩 Like para manifestar una amistad así de duradera. 💕 #PalomaYNacho</t>
  </si>
  <si>
    <t>El verdadero: Yo lo conocí desde chiquito. 🤭 ¿Cuál de estas parejas de amigos es tu Top? #PalomaYNacho</t>
  </si>
  <si>
    <t>¿Los vampiros de #Pecadores son clichés o algo muy nuevo? 🤔🧛‍♂️ Aquí las opiniones de mis amigas @nosferatum6, @yosoyalerey y @karvillar sobre la peli. 😲🎬 #cine #cinépolis #pelis #películas #vampiros #sinners #michaelbjordan #haileesteinfeld #fyp #palomaynacho</t>
  </si>
  <si>
    <t>La leyenda del vampiro en #Pecadores... ¿está bien representada? 🤔🧛‍♂️ Checa lo que opinaron mis amigas @nosferatum_6, @karvillar y @yosoyalerey aquí. 😲🎬 #PalomaYNacho</t>
  </si>
  <si>
    <t>#UntilDawn tiene varios detalles tenebrosos que hacen que la experiencia ¡sea de 10! 😱🤩👌 Chécalos todos en #PalomaYNacho 👉 https://palomaynacho.com/vv1r</t>
  </si>
  <si>
    <t>Es que quien no te hubiera sonreido de la misma manera #TomCruise. ¿En qué toma crees que haya dicho que no era buena idea? 🎬👀 #PalomaYNacho</t>
  </si>
  <si>
    <t>Kurian</t>
  </si>
  <si>
    <t>Estoy de acuerdo contigo #KieranCulkin, ¡el tamaño si importa! Pero yo confío en ustedes y podrían tener oportunidad. ¿Tu quién crees que ganaría?🎬👀 #PalomaYNacho</t>
  </si>
  <si>
    <t>¡Te agradecemos tanto #DanielRadcliffe! Sin ti #LuciusMalfoy no hubiera sido lo mismo. Entérate de todo con mis amigos de #PalomaYNacho. ⚯ ͛</t>
  </si>
  <si>
    <t>El contador 2</t>
  </si>
  <si>
    <t>De antihéroe a leyenda: Jon Bernthal vuelve a hacer de las suyas en #ElContador2. 🧨</t>
  </si>
  <si>
    <t>El contador 3</t>
  </si>
  <si>
    <t>El multiverso de Jon Bernthal solo acepta personajes icónicos… y viene uno más en camino. 🔥 Prepárate para verlo desatado en #ElContador2. #PalomaYNacho te cuentan más sobre su carrera aquí 👉 https://bit.ly/4iAyapu</t>
  </si>
  <si>
    <t>¿Cuál versión de sobreviviente de #UntilDawn te tocó en este quiz de #PalomaYNacho? 🤔😱🎬 ¡Presúmelo en comentarios! 👉</t>
  </si>
  <si>
    <t>Princesas de disney</t>
  </si>
  <si>
    <t>La evolución de las #PrincesasDisney es increíble, y cada una tiene lo suyo. ¿Cuál es tu favorita? 🤩👑✨ Piénsalo mientras ves este recap de #PalomaYNacho. 👉 https://bit.ly/4jPJQ8M</t>
  </si>
  <si>
    <t>¡Aquí amamos a todas las #PrincesasDisney por igual! ✨😍 ¿Y tú? ¿Tienes una favorita? Déjalo en comentarios. 🤩👑 #PalomaYNacho</t>
  </si>
  <si>
    <t>¡Míralo! ¿Apoco tú sabías que #BenAffleck sí le sabe al español? ¡Y este video es la prueba! 😎🤩🎬 #cine #cinépolis #pelis #películas #benaffleck #elcontador2 #theaccountant #theaccountant2 #fyp #palomaynacho</t>
  </si>
  <si>
    <t>#UntilDawn es la más reciente en este listado de pelis en bucles temporales. 🤔🎬⏳ ¿Conoces otra? ¡Déjala en comentarios! #PalomaYNacho</t>
  </si>
  <si>
    <t>¿Quién es quién en #Thunderbolts* y tú a quién te pareces más? 🤔😎🎬 ¡Descúbrelo con #PalomaYNacho! 👉 https://palomaynacho.com/4925</t>
  </si>
  <si>
    <t>Películas de autodecubrimiento</t>
  </si>
  <si>
    <t>No son solo historias, son espejos. 💭 Cuéntame, ¿qué peli te hizo conocerte más? #PalomaYNacho #Fyp #cine #Cinépolis #motivation #waltermitty #reflexion #drama #her</t>
  </si>
  <si>
    <t>Hay pelis que te hacen llorar, otras reír y estas te hacen ver la vida diferente. 🥹✨ ¿Cuál te marcó más? 💛 #PalomaYNacho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</si>
</sst>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d&quot; de &quot;mmmm&quot; de &quot;yyyy"/>
  </numFmts>
  <fonts count="13">
    <font>
      <sz val="12"/>
      <color theme="1"/>
      <name val="Aptos Narrow"/>
      <family val="2"/>
      <scheme val="minor"/>
    </font>
    <font>
      <b/>
      <sz val="22"/>
      <color rgb="FF00206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Calibri"/>
      <family val="2"/>
    </font>
    <font>
      <sz val="10"/>
      <color rgb="FF000000"/>
      <name val="Aptos Narrow"/>
      <family val="2"/>
      <scheme val="minor"/>
    </font>
    <font>
      <b/>
      <sz val="11"/>
      <color rgb="FFFFFFFF"/>
      <name val="&quot;Aptos Narrow&quot;"/>
    </font>
    <font>
      <b/>
      <sz val="11"/>
      <color rgb="FFFFFFFF"/>
      <name val="Arial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9"/>
      <color theme="1"/>
      <name val="Montserrat"/>
    </font>
    <font>
      <u/>
      <sz val="9"/>
      <color rgb="FF0000FF"/>
      <name val="Montserrat"/>
    </font>
    <font>
      <sz val="10"/>
      <color theme="1"/>
      <name val="Arial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3" fontId="3" fillId="0" borderId="1" xfId="0" applyNumberFormat="1" applyFont="1" applyBorder="1"/>
    <xf numFmtId="0" fontId="4" fillId="0" borderId="0" xfId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0" borderId="0" xfId="1" applyFont="1"/>
    <xf numFmtId="164" fontId="8" fillId="0" borderId="0" xfId="1" applyNumberFormat="1" applyFont="1" applyAlignment="1">
      <alignment horizontal="right"/>
    </xf>
    <xf numFmtId="0" fontId="9" fillId="0" borderId="0" xfId="1" applyFont="1"/>
    <xf numFmtId="0" fontId="10" fillId="0" borderId="0" xfId="1" applyFont="1"/>
    <xf numFmtId="0" fontId="9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3" fontId="3" fillId="0" borderId="0" xfId="1" applyNumberFormat="1" applyFont="1" applyAlignment="1">
      <alignment horizontal="right"/>
    </xf>
    <xf numFmtId="0" fontId="3" fillId="0" borderId="0" xfId="1" applyFont="1"/>
    <xf numFmtId="3" fontId="3" fillId="0" borderId="0" xfId="1" applyNumberFormat="1" applyFont="1"/>
    <xf numFmtId="0" fontId="3" fillId="0" borderId="0" xfId="1" applyFont="1" applyAlignment="1">
      <alignment horizontal="right"/>
    </xf>
    <xf numFmtId="0" fontId="12" fillId="0" borderId="0" xfId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B4C4FB3A-0D40-2B4F-B937-C62D5EBF6D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212235555192_979196524384107" TargetMode="External"/><Relationship Id="rId21" Type="http://schemas.openxmlformats.org/officeDocument/2006/relationships/hyperlink" Target="https://www.instagram.com/p/DH6hDMaxFrV/" TargetMode="External"/><Relationship Id="rId42" Type="http://schemas.openxmlformats.org/officeDocument/2006/relationships/hyperlink" Target="https://www.instagram.com/reel/DH9uEwqqCzT/" TargetMode="External"/><Relationship Id="rId63" Type="http://schemas.openxmlformats.org/officeDocument/2006/relationships/hyperlink" Target="https://www.tiktok.com/@cinepolismx/video/7489603219912527159?utm_campaign=tt4d_open_api&amp;utm_source=6997404317372137474" TargetMode="External"/><Relationship Id="rId84" Type="http://schemas.openxmlformats.org/officeDocument/2006/relationships/hyperlink" Target="https://www.facebook.com/212235555192_975020218135071" TargetMode="External"/><Relationship Id="rId138" Type="http://schemas.openxmlformats.org/officeDocument/2006/relationships/hyperlink" Target="https://www.tiktok.com/@cinepolismx/video/7494063758449364279?utm_campaign=tt4d_open_api&amp;utm_source=6997404317372137474" TargetMode="External"/><Relationship Id="rId159" Type="http://schemas.openxmlformats.org/officeDocument/2006/relationships/hyperlink" Target="https://www.instagram.com/reel/DIsHwZAq8Pm/" TargetMode="External"/><Relationship Id="rId170" Type="http://schemas.openxmlformats.org/officeDocument/2006/relationships/hyperlink" Target="https://www.facebook.com/212235555192_986043150366111" TargetMode="External"/><Relationship Id="rId191" Type="http://schemas.openxmlformats.org/officeDocument/2006/relationships/hyperlink" Target="https://www.facebook.com/212235555192_987527833550976" TargetMode="External"/><Relationship Id="rId107" Type="http://schemas.openxmlformats.org/officeDocument/2006/relationships/hyperlink" Target="https://www.facebook.com/212235555192_977376614566098" TargetMode="External"/><Relationship Id="rId11" Type="http://schemas.openxmlformats.org/officeDocument/2006/relationships/hyperlink" Target="https://www.tiktok.com/@cinepolismx/video/7488203454150724919?utm_campaign=tt4d_open_api&amp;utm_source=6997404317372137474" TargetMode="External"/><Relationship Id="rId32" Type="http://schemas.openxmlformats.org/officeDocument/2006/relationships/hyperlink" Target="https://www.instagram.com/reel/DH7jZclAfPr/" TargetMode="External"/><Relationship Id="rId53" Type="http://schemas.openxmlformats.org/officeDocument/2006/relationships/hyperlink" Target="https://www.tiktok.com/@cinepolismx/video/7489249858432388407?utm_campaign=tt4d_open_api&amp;utm_source=6997404317372137474" TargetMode="External"/><Relationship Id="rId74" Type="http://schemas.openxmlformats.org/officeDocument/2006/relationships/hyperlink" Target="https://www.tiktok.com/@cinepolismx/video/7490739243044654391?utm_campaign=tt4d_open_api&amp;utm_source=6997404317372137474" TargetMode="External"/><Relationship Id="rId128" Type="http://schemas.openxmlformats.org/officeDocument/2006/relationships/hyperlink" Target="https://www.instagram.com/reel/DIhm63pznK7/" TargetMode="External"/><Relationship Id="rId149" Type="http://schemas.openxmlformats.org/officeDocument/2006/relationships/hyperlink" Target="https://www.facebook.com/212235555192_982196250750801" TargetMode="External"/><Relationship Id="rId5" Type="http://schemas.openxmlformats.org/officeDocument/2006/relationships/hyperlink" Target="https://www.tiktok.com/@cinepolismx/video/7488135987227380998?utm_campaign=tt4d_open_api&amp;utm_source=6997404317372137474" TargetMode="External"/><Relationship Id="rId95" Type="http://schemas.openxmlformats.org/officeDocument/2006/relationships/hyperlink" Target="https://www.instagram.com/reel/DISLMR-t3OK/" TargetMode="External"/><Relationship Id="rId160" Type="http://schemas.openxmlformats.org/officeDocument/2006/relationships/hyperlink" Target="https://www.facebook.com/212235555192_984247563879003" TargetMode="External"/><Relationship Id="rId181" Type="http://schemas.openxmlformats.org/officeDocument/2006/relationships/hyperlink" Target="https://www.facebook.com/212235555192_986775323626227" TargetMode="External"/><Relationship Id="rId22" Type="http://schemas.openxmlformats.org/officeDocument/2006/relationships/hyperlink" Target="https://www.facebook.com/212235555192_968679248769168" TargetMode="External"/><Relationship Id="rId43" Type="http://schemas.openxmlformats.org/officeDocument/2006/relationships/hyperlink" Target="https://www.tiktok.com/@cinepolismx/video/7488879640333782277?utm_campaign=tt4d_open_api&amp;utm_source=6997404317372137474" TargetMode="External"/><Relationship Id="rId64" Type="http://schemas.openxmlformats.org/officeDocument/2006/relationships/hyperlink" Target="https://www.instagram.com/p/DIC-f7EhYTX/" TargetMode="External"/><Relationship Id="rId118" Type="http://schemas.openxmlformats.org/officeDocument/2006/relationships/hyperlink" Target="https://www.facebook.com/212235555192_979743724329387" TargetMode="External"/><Relationship Id="rId139" Type="http://schemas.openxmlformats.org/officeDocument/2006/relationships/hyperlink" Target="https://www.instagram.com/reel/DIj998DghL6/" TargetMode="External"/><Relationship Id="rId85" Type="http://schemas.openxmlformats.org/officeDocument/2006/relationships/hyperlink" Target="https://www.instagram.com/reel/DIPVfoPCeMF/" TargetMode="External"/><Relationship Id="rId150" Type="http://schemas.openxmlformats.org/officeDocument/2006/relationships/hyperlink" Target="https://www.instagram.com/reel/DImwbauPXR9/" TargetMode="External"/><Relationship Id="rId171" Type="http://schemas.openxmlformats.org/officeDocument/2006/relationships/hyperlink" Target="https://www.instagram.com/reel/DIzxfKHuA68/" TargetMode="External"/><Relationship Id="rId192" Type="http://schemas.openxmlformats.org/officeDocument/2006/relationships/hyperlink" Target="https://www.instagram.com/p/DI5DJ22tRuM/" TargetMode="External"/><Relationship Id="rId12" Type="http://schemas.openxmlformats.org/officeDocument/2006/relationships/hyperlink" Target="https://www.instagram.com/reel/DH5GH40gQYC/" TargetMode="External"/><Relationship Id="rId33" Type="http://schemas.openxmlformats.org/officeDocument/2006/relationships/hyperlink" Target="https://www.tiktok.com/@cinepolismx/video/7488566262063222021?utm_campaign=tt4d_open_api&amp;utm_source=6997404317372137474" TargetMode="External"/><Relationship Id="rId108" Type="http://schemas.openxmlformats.org/officeDocument/2006/relationships/hyperlink" Target="https://www.instagram.com/p/DIWjoMZvOmj/" TargetMode="External"/><Relationship Id="rId129" Type="http://schemas.openxmlformats.org/officeDocument/2006/relationships/hyperlink" Target="https://www.facebook.com/212235555192_980677314236028" TargetMode="External"/><Relationship Id="rId54" Type="http://schemas.openxmlformats.org/officeDocument/2006/relationships/hyperlink" Target="https://www.instagram.com/reel/DIAWPdDiJRj/" TargetMode="External"/><Relationship Id="rId75" Type="http://schemas.openxmlformats.org/officeDocument/2006/relationships/hyperlink" Target="https://www.instagram.com/p/DIKphzgJ6uf/" TargetMode="External"/><Relationship Id="rId96" Type="http://schemas.openxmlformats.org/officeDocument/2006/relationships/hyperlink" Target="https://www.facebook.com/212235555192_976013921369034" TargetMode="External"/><Relationship Id="rId140" Type="http://schemas.openxmlformats.org/officeDocument/2006/relationships/hyperlink" Target="https://www.facebook.com/212235555192_981409960829430" TargetMode="External"/><Relationship Id="rId161" Type="http://schemas.openxmlformats.org/officeDocument/2006/relationships/hyperlink" Target="https://www.facebook.com/212235555192_984312437205849" TargetMode="External"/><Relationship Id="rId182" Type="http://schemas.openxmlformats.org/officeDocument/2006/relationships/hyperlink" Target="https://www.instagram.com/reel/DI2Nh6ap0KI/" TargetMode="External"/><Relationship Id="rId6" Type="http://schemas.openxmlformats.org/officeDocument/2006/relationships/hyperlink" Target="https://www.tiktok.com/@cinepolismx/video/7488159913861074181?utm_campaign=tt4d_open_api&amp;utm_source=6997404317372137474" TargetMode="External"/><Relationship Id="rId23" Type="http://schemas.openxmlformats.org/officeDocument/2006/relationships/hyperlink" Target="https://www.tiktok.com/@cinepolismx/video/7488482037473545478?utm_campaign=tt4d_open_api&amp;utm_source=6997404317372137474" TargetMode="External"/><Relationship Id="rId119" Type="http://schemas.openxmlformats.org/officeDocument/2006/relationships/hyperlink" Target="https://www.instagram.com/p/DIex7pKz89N/" TargetMode="External"/><Relationship Id="rId44" Type="http://schemas.openxmlformats.org/officeDocument/2006/relationships/hyperlink" Target="https://www.tiktok.com/@cinepolismx/video/7488885776965487878?utm_campaign=tt4d_open_api&amp;utm_source=6997404317372137474" TargetMode="External"/><Relationship Id="rId65" Type="http://schemas.openxmlformats.org/officeDocument/2006/relationships/hyperlink" Target="https://www.tiktok.com/@cinepolismx/video/7489635681141116166?utm_campaign=tt4d_open_api&amp;utm_source=6997404317372137474" TargetMode="External"/><Relationship Id="rId86" Type="http://schemas.openxmlformats.org/officeDocument/2006/relationships/hyperlink" Target="https://www.tiktok.com/@cinepolismx/video/7491417932069604613?utm_campaign=tt4d_open_api&amp;utm_source=6997404317372137474" TargetMode="External"/><Relationship Id="rId130" Type="http://schemas.openxmlformats.org/officeDocument/2006/relationships/hyperlink" Target="https://www.facebook.com/212235555192_980690310901395" TargetMode="External"/><Relationship Id="rId151" Type="http://schemas.openxmlformats.org/officeDocument/2006/relationships/hyperlink" Target="https://www.instagram.com/reel/DIm-OeFvq21/" TargetMode="External"/><Relationship Id="rId172" Type="http://schemas.openxmlformats.org/officeDocument/2006/relationships/hyperlink" Target="https://www.tiktok.com/@cinepolismx/video/7496669186958052614?utm_campaign=tt4d_open_api&amp;utm_source=6997404317372137474" TargetMode="External"/><Relationship Id="rId193" Type="http://schemas.openxmlformats.org/officeDocument/2006/relationships/hyperlink" Target="https://www.facebook.com/212235555192_987593856877707" TargetMode="External"/><Relationship Id="rId13" Type="http://schemas.openxmlformats.org/officeDocument/2006/relationships/hyperlink" Target="https://www.tiktok.com/@cinepolismx/video/7488212575855873286?utm_campaign=tt4d_open_api&amp;utm_source=6997404317372137474" TargetMode="External"/><Relationship Id="rId109" Type="http://schemas.openxmlformats.org/officeDocument/2006/relationships/hyperlink" Target="https://www.tiktok.com/@cinepolismx/video/7492213475326872887?utm_campaign=tt4d_open_api&amp;utm_source=6997404317372137474" TargetMode="External"/><Relationship Id="rId34" Type="http://schemas.openxmlformats.org/officeDocument/2006/relationships/hyperlink" Target="https://www.instagram.com/p/DH7ngFngMLH/" TargetMode="External"/><Relationship Id="rId55" Type="http://schemas.openxmlformats.org/officeDocument/2006/relationships/hyperlink" Target="https://www.instagram.com/p/DIAnAJDA8lh/" TargetMode="External"/><Relationship Id="rId76" Type="http://schemas.openxmlformats.org/officeDocument/2006/relationships/hyperlink" Target="https://www.facebook.com/212235555192_974177691552657" TargetMode="External"/><Relationship Id="rId97" Type="http://schemas.openxmlformats.org/officeDocument/2006/relationships/hyperlink" Target="https://www.tiktok.com/@cinepolismx/video/7491827427572813111?utm_campaign=tt4d_open_api&amp;utm_source=6997404317372137474" TargetMode="External"/><Relationship Id="rId120" Type="http://schemas.openxmlformats.org/officeDocument/2006/relationships/hyperlink" Target="https://www.tiktok.com/@cinepolismx/video/7493701407732780293?utm_campaign=tt4d_open_api&amp;utm_source=6997404317372137474" TargetMode="External"/><Relationship Id="rId141" Type="http://schemas.openxmlformats.org/officeDocument/2006/relationships/hyperlink" Target="https://www.facebook.com/212235555192_981434720826954" TargetMode="External"/><Relationship Id="rId7" Type="http://schemas.openxmlformats.org/officeDocument/2006/relationships/hyperlink" Target="https://www.instagram.com/reel/DH4xJ-tg6iM/%20https:/www.facebook.com/212235555192_968172048819888%20https:/www.instagram.com/p/DH48-3Hgka5/%20https:/www.instagram.com/reel/DH4_nnZAq3w/%20https:/www.tiktok.com/@cinepolismx/video/7488203454150724919?utm_campaign=tt4d_open_api&amp;utm_source=6997404317372137474%20https://www.instagram.com/reel/DH5GH40gQYC/%20https://www.tiktok.com/@cinepolismx/video/7488212575855873286?utm_campaign=tt4d_open_api&amp;utm_source=6997404317372137474%20https://www.instagram.com/reel/DH5KIC1gdLm/%20https://www.tiktok.com/@cinepolismx/video/7488221642724805943?utm_campaign=tt4d_open_api&amp;utm_source=6997404317372137474" TargetMode="External"/><Relationship Id="rId162" Type="http://schemas.openxmlformats.org/officeDocument/2006/relationships/hyperlink" Target="https://www.instagram.com/reel/DIt3YJ6vKLU/" TargetMode="External"/><Relationship Id="rId183" Type="http://schemas.openxmlformats.org/officeDocument/2006/relationships/hyperlink" Target="https://www.instagram.com/p/DI2XfagNg44/" TargetMode="External"/><Relationship Id="rId2" Type="http://schemas.openxmlformats.org/officeDocument/2006/relationships/hyperlink" Target="https://www.tiktok.com/@cinepolismx/video/7487912255829331206?utm_campaign=tt4d_open_api&amp;utm_source=6997404317372137474" TargetMode="External"/><Relationship Id="rId29" Type="http://schemas.openxmlformats.org/officeDocument/2006/relationships/hyperlink" Target="https://www.tiktok.com/@cinepolismx/video/7488520277308034310?utm_campaign=tt4d_open_api&amp;utm_source=6997404317372137474" TargetMode="External"/><Relationship Id="rId24" Type="http://schemas.openxmlformats.org/officeDocument/2006/relationships/hyperlink" Target="https://www.instagram.com/reel/DH7JNvPshGu/" TargetMode="External"/><Relationship Id="rId40" Type="http://schemas.openxmlformats.org/officeDocument/2006/relationships/hyperlink" Target="https://www.tiktok.com/@cinepolismx/video/7488877451112746246?utm_campaign=tt4d_open_api&amp;utm_source=6997404317372137474" TargetMode="External"/><Relationship Id="rId45" Type="http://schemas.openxmlformats.org/officeDocument/2006/relationships/hyperlink" Target="https://www.instagram.com/p/DH-IXFTADLX/" TargetMode="External"/><Relationship Id="rId66" Type="http://schemas.openxmlformats.org/officeDocument/2006/relationships/hyperlink" Target="https://www.facebook.com/212235555192_971849498452143" TargetMode="External"/><Relationship Id="rId87" Type="http://schemas.openxmlformats.org/officeDocument/2006/relationships/hyperlink" Target="https://www.instagram.com/p/DIPbLufxGYI/" TargetMode="External"/><Relationship Id="rId110" Type="http://schemas.openxmlformats.org/officeDocument/2006/relationships/hyperlink" Target="https://www.instagram.com/reel/DIXhZfYMViN/" TargetMode="External"/><Relationship Id="rId115" Type="http://schemas.openxmlformats.org/officeDocument/2006/relationships/hyperlink" Target="https://www.instagram.com/p/DIaGQd0gu6d/" TargetMode="External"/><Relationship Id="rId131" Type="http://schemas.openxmlformats.org/officeDocument/2006/relationships/hyperlink" Target="https://www.instagram.com/reel/DIhqS83BUXl/" TargetMode="External"/><Relationship Id="rId136" Type="http://schemas.openxmlformats.org/officeDocument/2006/relationships/hyperlink" Target="https://www.instagram.com/reel/DIjbqCJRTvK/" TargetMode="External"/><Relationship Id="rId157" Type="http://schemas.openxmlformats.org/officeDocument/2006/relationships/hyperlink" Target="https://www.instagram.com/p/DIrDFtNM0oL/" TargetMode="External"/><Relationship Id="rId178" Type="http://schemas.openxmlformats.org/officeDocument/2006/relationships/hyperlink" Target="https://www.instagram.com/reel/DI1ZtcANVZF/" TargetMode="External"/><Relationship Id="rId61" Type="http://schemas.openxmlformats.org/officeDocument/2006/relationships/hyperlink" Target="https://www.instagram.com/reel/DICtSyCB3CY/" TargetMode="External"/><Relationship Id="rId82" Type="http://schemas.openxmlformats.org/officeDocument/2006/relationships/hyperlink" Target="https://www.facebook.com/212235555192_974482258188867" TargetMode="External"/><Relationship Id="rId152" Type="http://schemas.openxmlformats.org/officeDocument/2006/relationships/hyperlink" Target="https://www.facebook.com/212235555192_982684694035290" TargetMode="External"/><Relationship Id="rId173" Type="http://schemas.openxmlformats.org/officeDocument/2006/relationships/hyperlink" Target="https://www.instagram.com/p/DIz2IYytOqu/" TargetMode="External"/><Relationship Id="rId194" Type="http://schemas.openxmlformats.org/officeDocument/2006/relationships/hyperlink" Target="https://www.facebook.com/212235555192_988045230165903" TargetMode="External"/><Relationship Id="rId199" Type="http://schemas.openxmlformats.org/officeDocument/2006/relationships/hyperlink" Target="https://www.facebook.com/212235555192_988791146757978" TargetMode="External"/><Relationship Id="rId19" Type="http://schemas.openxmlformats.org/officeDocument/2006/relationships/hyperlink" Target="https://www.instagram.com/reel/DH6ZJLTPgqJ/" TargetMode="External"/><Relationship Id="rId14" Type="http://schemas.openxmlformats.org/officeDocument/2006/relationships/hyperlink" Target="https://www.instagram.com/reel/DH5KIC1gdLm/" TargetMode="External"/><Relationship Id="rId30" Type="http://schemas.openxmlformats.org/officeDocument/2006/relationships/hyperlink" Target="https://www.instagram.com/reel/DH7QEq3u2B_/" TargetMode="External"/><Relationship Id="rId35" Type="http://schemas.openxmlformats.org/officeDocument/2006/relationships/hyperlink" Target="https://www.facebook.com/212235555192_969459715357788" TargetMode="External"/><Relationship Id="rId56" Type="http://schemas.openxmlformats.org/officeDocument/2006/relationships/hyperlink" Target="https://www.tiktok.com/@cinepolismx/video/7489314181313760517?utm_campaign=tt4d_open_api&amp;utm_source=6997404317372137474" TargetMode="External"/><Relationship Id="rId77" Type="http://schemas.openxmlformats.org/officeDocument/2006/relationships/hyperlink" Target="https://www.instagram.com/p/DIM6cFUR3Pa/" TargetMode="External"/><Relationship Id="rId100" Type="http://schemas.openxmlformats.org/officeDocument/2006/relationships/hyperlink" Target="https://www.facebook.com/212235555192_976599721310454" TargetMode="External"/><Relationship Id="rId105" Type="http://schemas.openxmlformats.org/officeDocument/2006/relationships/hyperlink" Target="https://www.instagram.com/p/DIU8myyxTq2/" TargetMode="External"/><Relationship Id="rId126" Type="http://schemas.openxmlformats.org/officeDocument/2006/relationships/hyperlink" Target="https://www.facebook.com/212235555192_980451044258655" TargetMode="External"/><Relationship Id="rId147" Type="http://schemas.openxmlformats.org/officeDocument/2006/relationships/hyperlink" Target="https://www.facebook.com/212235555192_982006157436477" TargetMode="External"/><Relationship Id="rId168" Type="http://schemas.openxmlformats.org/officeDocument/2006/relationships/hyperlink" Target="https://www.facebook.com/212235555192_985315157105577" TargetMode="External"/><Relationship Id="rId8" Type="http://schemas.openxmlformats.org/officeDocument/2006/relationships/hyperlink" Target="https://www.facebook.com/212235555192_968172048819888" TargetMode="External"/><Relationship Id="rId51" Type="http://schemas.openxmlformats.org/officeDocument/2006/relationships/hyperlink" Target="https://www.instagram.com/reel/DIAC_n7Ja_U/" TargetMode="External"/><Relationship Id="rId72" Type="http://schemas.openxmlformats.org/officeDocument/2006/relationships/hyperlink" Target="https://www.facebook.com/212235555192_973416374962122" TargetMode="External"/><Relationship Id="rId93" Type="http://schemas.openxmlformats.org/officeDocument/2006/relationships/hyperlink" Target="https://www.facebook.com/212235555192_975304624773297" TargetMode="External"/><Relationship Id="rId98" Type="http://schemas.openxmlformats.org/officeDocument/2006/relationships/hyperlink" Target="https://www.instagram.com/p/DISNQEdRz4K/" TargetMode="External"/><Relationship Id="rId121" Type="http://schemas.openxmlformats.org/officeDocument/2006/relationships/hyperlink" Target="https://www.instagram.com/p/DIfTRQMgt_f/" TargetMode="External"/><Relationship Id="rId142" Type="http://schemas.openxmlformats.org/officeDocument/2006/relationships/hyperlink" Target="https://www.tiktok.com/@cinepolismx/video/7493995012905078022?utm_campaign=tt4d_open_api&amp;utm_source=6997404317372137474" TargetMode="External"/><Relationship Id="rId163" Type="http://schemas.openxmlformats.org/officeDocument/2006/relationships/hyperlink" Target="https://www.instagram.com/p/DIuGxAFxkPo/" TargetMode="External"/><Relationship Id="rId184" Type="http://schemas.openxmlformats.org/officeDocument/2006/relationships/hyperlink" Target="https://www.instagram.com/p/DI2a7ZiNuAO/" TargetMode="External"/><Relationship Id="rId189" Type="http://schemas.openxmlformats.org/officeDocument/2006/relationships/hyperlink" Target="https://www.tiktok.com/@cinepolismx/video/7497389411877965062?utm_campaign=tt4d_open_api&amp;utm_source=6997404317372137474" TargetMode="External"/><Relationship Id="rId3" Type="http://schemas.openxmlformats.org/officeDocument/2006/relationships/hyperlink" Target="https://www.facebook.com/212235555192_967811758855917" TargetMode="External"/><Relationship Id="rId25" Type="http://schemas.openxmlformats.org/officeDocument/2006/relationships/hyperlink" Target="https://www.facebook.com/212235555192_968842525419507" TargetMode="External"/><Relationship Id="rId46" Type="http://schemas.openxmlformats.org/officeDocument/2006/relationships/hyperlink" Target="https://www.instagram.com/reel/DH-OdFjATlF/" TargetMode="External"/><Relationship Id="rId67" Type="http://schemas.openxmlformats.org/officeDocument/2006/relationships/hyperlink" Target="https://www.instagram.com/reel/DIFf0v-S3vd/" TargetMode="External"/><Relationship Id="rId116" Type="http://schemas.openxmlformats.org/officeDocument/2006/relationships/hyperlink" Target="https://www.facebook.com/212235555192_978964457740647" TargetMode="External"/><Relationship Id="rId137" Type="http://schemas.openxmlformats.org/officeDocument/2006/relationships/hyperlink" Target="https://www.tiktok.com/@cinepolismx/video/7494313555076844818?utm_campaign=tt4d_open_api&amp;utm_source=6997404317372137474" TargetMode="External"/><Relationship Id="rId158" Type="http://schemas.openxmlformats.org/officeDocument/2006/relationships/hyperlink" Target="https://www.tiktok.com/@cinepolismx/video/7494110892074863927?utm_campaign=tt4d_open_api&amp;utm_source=6997404317372137474" TargetMode="External"/><Relationship Id="rId20" Type="http://schemas.openxmlformats.org/officeDocument/2006/relationships/hyperlink" Target="https://www.tiktok.com/@cinepolismx/video/7488405552591162679?utm_campaign=tt4d_open_api&amp;utm_source=6997404317372137474" TargetMode="External"/><Relationship Id="rId41" Type="http://schemas.openxmlformats.org/officeDocument/2006/relationships/hyperlink" Target="https://www.facebook.com/212235555192_969690935334666" TargetMode="External"/><Relationship Id="rId62" Type="http://schemas.openxmlformats.org/officeDocument/2006/relationships/hyperlink" Target="https://www.facebook.com/212235555192_971290301841396" TargetMode="External"/><Relationship Id="rId83" Type="http://schemas.openxmlformats.org/officeDocument/2006/relationships/hyperlink" Target="https://www.instagram.com/p/DINQW7YRLKC/" TargetMode="External"/><Relationship Id="rId88" Type="http://schemas.openxmlformats.org/officeDocument/2006/relationships/hyperlink" Target="https://www.facebook.com/212235555192_975234784780281" TargetMode="External"/><Relationship Id="rId111" Type="http://schemas.openxmlformats.org/officeDocument/2006/relationships/hyperlink" Target="https://www.tiktok.com/@cinepolismx/video/7492229798350163206?utm_campaign=tt4d_open_api&amp;utm_source=6997404317372137474" TargetMode="External"/><Relationship Id="rId132" Type="http://schemas.openxmlformats.org/officeDocument/2006/relationships/hyperlink" Target="https://www.tiktok.com/@cinepolismx/video/7494062483196497158?utm_campaign=tt4d_open_api&amp;utm_source=6997404317372137474" TargetMode="External"/><Relationship Id="rId153" Type="http://schemas.openxmlformats.org/officeDocument/2006/relationships/hyperlink" Target="https://www.instagram.com/p/DIpVRAYgtNb/" TargetMode="External"/><Relationship Id="rId174" Type="http://schemas.openxmlformats.org/officeDocument/2006/relationships/hyperlink" Target="https://www.facebook.com/212235555192_986063890364037" TargetMode="External"/><Relationship Id="rId179" Type="http://schemas.openxmlformats.org/officeDocument/2006/relationships/hyperlink" Target="https://www.tiktok.com/@cinepolismx/video/7496904287176396037?utm_campaign=tt4d_open_api&amp;utm_source=6997404317372137474" TargetMode="External"/><Relationship Id="rId195" Type="http://schemas.openxmlformats.org/officeDocument/2006/relationships/hyperlink" Target="https://www.facebook.com/212235555192_988334570136969" TargetMode="External"/><Relationship Id="rId190" Type="http://schemas.openxmlformats.org/officeDocument/2006/relationships/hyperlink" Target="https://www.instagram.com/reel/DI4x_fRKibu/" TargetMode="External"/><Relationship Id="rId15" Type="http://schemas.openxmlformats.org/officeDocument/2006/relationships/hyperlink" Target="https://www.tiktok.com/@cinepolismx/video/7488221642724805943?utm_campaign=tt4d_open_api&amp;utm_source=6997404317372137474" TargetMode="External"/><Relationship Id="rId36" Type="http://schemas.openxmlformats.org/officeDocument/2006/relationships/hyperlink" Target="https://www.facebook.com/212235555192_969677892002637" TargetMode="External"/><Relationship Id="rId57" Type="http://schemas.openxmlformats.org/officeDocument/2006/relationships/hyperlink" Target="https://www.facebook.com/212235555192_971095355194224" TargetMode="External"/><Relationship Id="rId106" Type="http://schemas.openxmlformats.org/officeDocument/2006/relationships/hyperlink" Target="https://www.tiktok.com/@cinepolismx/video/7492213878064024887?utm_campaign=tt4d_open_api&amp;utm_source=6997404317372137474" TargetMode="External"/><Relationship Id="rId127" Type="http://schemas.openxmlformats.org/officeDocument/2006/relationships/hyperlink" Target="https://www.tiktok.com/@cinepolismx/video/7493983402106916151?utm_campaign=tt4d_open_api&amp;utm_source=6997404317372137474" TargetMode="External"/><Relationship Id="rId10" Type="http://schemas.openxmlformats.org/officeDocument/2006/relationships/hyperlink" Target="https://www.instagram.com/reel/DH4_nnZAq3w/" TargetMode="External"/><Relationship Id="rId31" Type="http://schemas.openxmlformats.org/officeDocument/2006/relationships/hyperlink" Target="https://www.tiktok.com/@cinepolismx/video/7488522195656838455?utm_campaign=tt4d_open_api&amp;utm_source=6997404317372137474" TargetMode="External"/><Relationship Id="rId52" Type="http://schemas.openxmlformats.org/officeDocument/2006/relationships/hyperlink" Target="https://www.instagram.com/p/DIASzCoBCzs/" TargetMode="External"/><Relationship Id="rId73" Type="http://schemas.openxmlformats.org/officeDocument/2006/relationships/hyperlink" Target="https://www.instagram.com/p/DIJ1NfdMTAC/" TargetMode="External"/><Relationship Id="rId78" Type="http://schemas.openxmlformats.org/officeDocument/2006/relationships/hyperlink" Target="https://www.facebook.com/212235555192_974404984863261" TargetMode="External"/><Relationship Id="rId94" Type="http://schemas.openxmlformats.org/officeDocument/2006/relationships/hyperlink" Target="https://www.facebook.com/212235555192_975809048056188" TargetMode="External"/><Relationship Id="rId99" Type="http://schemas.openxmlformats.org/officeDocument/2006/relationships/hyperlink" Target="https://www.instagram.com/p/DISbOQ_xrfG/" TargetMode="External"/><Relationship Id="rId101" Type="http://schemas.openxmlformats.org/officeDocument/2006/relationships/hyperlink" Target="https://www.tiktok.com/@cinepolismx/video/7492154154392063238?utm_campaign=tt4d_open_api&amp;utm_source=6997404317372137474" TargetMode="External"/><Relationship Id="rId122" Type="http://schemas.openxmlformats.org/officeDocument/2006/relationships/hyperlink" Target="https://www.facebook.com/212235555192_980004787636614" TargetMode="External"/><Relationship Id="rId143" Type="http://schemas.openxmlformats.org/officeDocument/2006/relationships/hyperlink" Target="https://www.instagram.com/reel/DIkLo-9g0OX/" TargetMode="External"/><Relationship Id="rId148" Type="http://schemas.openxmlformats.org/officeDocument/2006/relationships/hyperlink" Target="https://www.tiktok.com/@cinepolismx/video/7494100837489265925?utm_campaign=tt4d_open_api&amp;utm_source=6997404317372137474" TargetMode="External"/><Relationship Id="rId164" Type="http://schemas.openxmlformats.org/officeDocument/2006/relationships/hyperlink" Target="https://www.facebook.com/212235555192_985030297134063" TargetMode="External"/><Relationship Id="rId169" Type="http://schemas.openxmlformats.org/officeDocument/2006/relationships/hyperlink" Target="https://www.facebook.com/212235555192_985831360387290" TargetMode="External"/><Relationship Id="rId185" Type="http://schemas.openxmlformats.org/officeDocument/2006/relationships/hyperlink" Target="https://www.facebook.com/212235555192_986826866954406" TargetMode="External"/><Relationship Id="rId4" Type="http://schemas.openxmlformats.org/officeDocument/2006/relationships/hyperlink" Target="https://www.instagram.com/p/DH4EAamSFdR/" TargetMode="External"/><Relationship Id="rId9" Type="http://schemas.openxmlformats.org/officeDocument/2006/relationships/hyperlink" Target="https://www.instagram.com/p/DH48-3Hgka5/" TargetMode="External"/><Relationship Id="rId180" Type="http://schemas.openxmlformats.org/officeDocument/2006/relationships/hyperlink" Target="https://www.facebook.com/212235555192_986559910314435" TargetMode="External"/><Relationship Id="rId26" Type="http://schemas.openxmlformats.org/officeDocument/2006/relationships/hyperlink" Target="https://www.instagram.com/reel/DH7NQejBzWH/" TargetMode="External"/><Relationship Id="rId47" Type="http://schemas.openxmlformats.org/officeDocument/2006/relationships/hyperlink" Target="https://www.tiktok.com/@cinepolismx/video/7488952053151059205?utm_campaign=tt4d_open_api&amp;utm_source=6997404317372137474" TargetMode="External"/><Relationship Id="rId68" Type="http://schemas.openxmlformats.org/officeDocument/2006/relationships/hyperlink" Target="https://www.tiktok.com/@cinepolismx/video/7489649276214086918?utm_campaign=tt4d_open_api&amp;utm_source=6997404317372137474" TargetMode="External"/><Relationship Id="rId89" Type="http://schemas.openxmlformats.org/officeDocument/2006/relationships/hyperlink" Target="https://www.instagram.com/reel/DIPlU55M1mL/" TargetMode="External"/><Relationship Id="rId112" Type="http://schemas.openxmlformats.org/officeDocument/2006/relationships/hyperlink" Target="https://www.instagram.com/reel/DIXrsbkqStN/" TargetMode="External"/><Relationship Id="rId133" Type="http://schemas.openxmlformats.org/officeDocument/2006/relationships/hyperlink" Target="https://www.tiktok.com/@cinepolismx/video/7494063433025883447?utm_campaign=tt4d_open_api&amp;utm_source=6997404317372137474" TargetMode="External"/><Relationship Id="rId154" Type="http://schemas.openxmlformats.org/officeDocument/2006/relationships/hyperlink" Target="https://www.facebook.com/212235555192_982982354005524" TargetMode="External"/><Relationship Id="rId175" Type="http://schemas.openxmlformats.org/officeDocument/2006/relationships/hyperlink" Target="https://www.tiktok.com/@cinepolismx/video/7496679517944155397?utm_campaign=tt4d_open_api&amp;utm_source=6997404317372137474" TargetMode="External"/><Relationship Id="rId196" Type="http://schemas.openxmlformats.org/officeDocument/2006/relationships/hyperlink" Target="https://www.instagram.com/p/DI7khqVtwUQ/" TargetMode="External"/><Relationship Id="rId200" Type="http://schemas.openxmlformats.org/officeDocument/2006/relationships/hyperlink" Target="https://www.tiktok.com/@cinepolismx/video/7497422095802977542?utm_campaign=tt4d_open_api&amp;utm_source=6997404317372137474" TargetMode="External"/><Relationship Id="rId16" Type="http://schemas.openxmlformats.org/officeDocument/2006/relationships/hyperlink" Target="https://www.tiktok.com/@cinepolismx/video/7488229645129649414?utm_campaign=tt4d_open_api&amp;utm_source=6997404317372137474" TargetMode="External"/><Relationship Id="rId37" Type="http://schemas.openxmlformats.org/officeDocument/2006/relationships/hyperlink" Target="https://www.instagram.com/reel/DH9rZeegrPd/" TargetMode="External"/><Relationship Id="rId58" Type="http://schemas.openxmlformats.org/officeDocument/2006/relationships/hyperlink" Target="https://www.tiktok.com/@cinepolismx/video/7489561090666351927?utm_campaign=tt4d_open_api&amp;utm_source=6997404317372137474" TargetMode="External"/><Relationship Id="rId79" Type="http://schemas.openxmlformats.org/officeDocument/2006/relationships/hyperlink" Target="https://www.instagram.com/reel/DINBhSAMjnr/" TargetMode="External"/><Relationship Id="rId102" Type="http://schemas.openxmlformats.org/officeDocument/2006/relationships/hyperlink" Target="https://www.instagram.com/p/DIUn-8-vcyd/" TargetMode="External"/><Relationship Id="rId123" Type="http://schemas.openxmlformats.org/officeDocument/2006/relationships/hyperlink" Target="https://www.tiktok.com/@cinepolismx/video/7493702073653939462?utm_campaign=tt4d_open_api&amp;utm_source=6997404317372137474" TargetMode="External"/><Relationship Id="rId144" Type="http://schemas.openxmlformats.org/officeDocument/2006/relationships/hyperlink" Target="https://www.facebook.com/212235555192_981459097491183" TargetMode="External"/><Relationship Id="rId90" Type="http://schemas.openxmlformats.org/officeDocument/2006/relationships/hyperlink" Target="https://www.tiktok.com/@cinepolismx/video/7491457278420339974?utm_campaign=tt4d_open_api&amp;utm_source=6997404317372137474" TargetMode="External"/><Relationship Id="rId165" Type="http://schemas.openxmlformats.org/officeDocument/2006/relationships/hyperlink" Target="https://www.facebook.com/212235555192_985117740458652" TargetMode="External"/><Relationship Id="rId186" Type="http://schemas.openxmlformats.org/officeDocument/2006/relationships/hyperlink" Target="https://www.tiktok.com/@cinepolismx/video/7497269231214415159?utm_campaign=tt4d_open_api&amp;utm_source=6997404317372137474" TargetMode="External"/><Relationship Id="rId27" Type="http://schemas.openxmlformats.org/officeDocument/2006/relationships/hyperlink" Target="https://www.instagram.com/reel/DH7NuXKoP6o/" TargetMode="External"/><Relationship Id="rId48" Type="http://schemas.openxmlformats.org/officeDocument/2006/relationships/hyperlink" Target="https://www.facebook.com/212235555192_970261701944256" TargetMode="External"/><Relationship Id="rId69" Type="http://schemas.openxmlformats.org/officeDocument/2006/relationships/hyperlink" Target="https://www.facebook.com/212235555192_972629945040765" TargetMode="External"/><Relationship Id="rId113" Type="http://schemas.openxmlformats.org/officeDocument/2006/relationships/hyperlink" Target="https://www.facebook.com/212235555192_977695127867580" TargetMode="External"/><Relationship Id="rId134" Type="http://schemas.openxmlformats.org/officeDocument/2006/relationships/hyperlink" Target="https://www.instagram.com/reel/DIh4ARzPcRu/" TargetMode="External"/><Relationship Id="rId80" Type="http://schemas.openxmlformats.org/officeDocument/2006/relationships/hyperlink" Target="https://www.tiktok.com/@cinepolismx/video/7491094671440088326?utm_campaign=tt4d_open_api&amp;utm_source=6997404317372137474" TargetMode="External"/><Relationship Id="rId155" Type="http://schemas.openxmlformats.org/officeDocument/2006/relationships/hyperlink" Target="https://www.tiktok.com/@cinepolismx/video/7494110786470595845?utm_campaign=tt4d_open_api&amp;utm_source=6997404317372137474" TargetMode="External"/><Relationship Id="rId176" Type="http://schemas.openxmlformats.org/officeDocument/2006/relationships/hyperlink" Target="https://www.tiktok.com/@cinepolismx/video/7496677209772477751?utm_campaign=tt4d_open_api&amp;utm_source=6997404317372137474" TargetMode="External"/><Relationship Id="rId197" Type="http://schemas.openxmlformats.org/officeDocument/2006/relationships/hyperlink" Target="https://www.tiktok.com/@cinepolismx/video/7497420298317253894?utm_campaign=tt4d_open_api&amp;utm_source=6997404317372137474" TargetMode="External"/><Relationship Id="rId201" Type="http://schemas.openxmlformats.org/officeDocument/2006/relationships/hyperlink" Target="https://www.instagram.com/reel/DI-JZk8CtyO/" TargetMode="External"/><Relationship Id="rId17" Type="http://schemas.openxmlformats.org/officeDocument/2006/relationships/hyperlink" Target="https://www.tiktok.com/@cinepolismx/video/7488237411500199174?utm_campaign=tt4d_open_api&amp;utm_source=6997404317372137474" TargetMode="External"/><Relationship Id="rId38" Type="http://schemas.openxmlformats.org/officeDocument/2006/relationships/hyperlink" Target="https://www.instagram.com/reel/DH9rs6uia-8/" TargetMode="External"/><Relationship Id="rId59" Type="http://schemas.openxmlformats.org/officeDocument/2006/relationships/hyperlink" Target="https://www.facebook.com/212235555192_971277181842708" TargetMode="External"/><Relationship Id="rId103" Type="http://schemas.openxmlformats.org/officeDocument/2006/relationships/hyperlink" Target="https://www.facebook.com/212235555192_976779577959135" TargetMode="External"/><Relationship Id="rId124" Type="http://schemas.openxmlformats.org/officeDocument/2006/relationships/hyperlink" Target="https://www.facebook.com/212235555192_980034757633617" TargetMode="External"/><Relationship Id="rId70" Type="http://schemas.openxmlformats.org/officeDocument/2006/relationships/hyperlink" Target="https://www.instagram.com/p/DIHG0nUB2iH/" TargetMode="External"/><Relationship Id="rId91" Type="http://schemas.openxmlformats.org/officeDocument/2006/relationships/hyperlink" Target="https://www.tiktok.com/@cinepolismx/video/7491478076614790405?utm_campaign=tt4d_open_api&amp;utm_source=6997404317372137474" TargetMode="External"/><Relationship Id="rId145" Type="http://schemas.openxmlformats.org/officeDocument/2006/relationships/hyperlink" Target="https://www.tiktok.com/@cinepolismx/video/7494098598422924550?utm_campaign=tt4d_open_api&amp;utm_source=6997404317372137474" TargetMode="External"/><Relationship Id="rId166" Type="http://schemas.openxmlformats.org/officeDocument/2006/relationships/hyperlink" Target="https://www.tiktok.com/@cinepolismx/video/7496300264396295430?utm_campaign=tt4d_open_api&amp;utm_source=6997404317372137474" TargetMode="External"/><Relationship Id="rId187" Type="http://schemas.openxmlformats.org/officeDocument/2006/relationships/hyperlink" Target="https://www.instagram.com/reel/DI3-mL9JFqb/" TargetMode="External"/><Relationship Id="rId1" Type="http://schemas.openxmlformats.org/officeDocument/2006/relationships/hyperlink" Target="https://www.instagram.com/reel/DH3A53OgSkj/" TargetMode="External"/><Relationship Id="rId28" Type="http://schemas.openxmlformats.org/officeDocument/2006/relationships/hyperlink" Target="https://www.tiktok.com/@cinepolismx/video/7488517726902717702?utm_campaign=tt4d_open_api&amp;utm_source=6997404317372137474" TargetMode="External"/><Relationship Id="rId49" Type="http://schemas.openxmlformats.org/officeDocument/2006/relationships/hyperlink" Target="https://www.tiktok.com/@cinepolismx/video/7489181926344051974?utm_campaign=tt4d_open_api&amp;utm_source=6997404317372137474" TargetMode="External"/><Relationship Id="rId114" Type="http://schemas.openxmlformats.org/officeDocument/2006/relationships/hyperlink" Target="https://www.facebook.com/212235555192_978205924483167" TargetMode="External"/><Relationship Id="rId60" Type="http://schemas.openxmlformats.org/officeDocument/2006/relationships/hyperlink" Target="https://www.instagram.com/reel/DICp367qIIj/" TargetMode="External"/><Relationship Id="rId81" Type="http://schemas.openxmlformats.org/officeDocument/2006/relationships/hyperlink" Target="https://www.tiktok.com/@cinepolismx/video/7491100387559198007?utm_campaign=tt4d_open_api&amp;utm_source=6997404317372137474" TargetMode="External"/><Relationship Id="rId135" Type="http://schemas.openxmlformats.org/officeDocument/2006/relationships/hyperlink" Target="https://www.facebook.com/212235555192_981180224185737" TargetMode="External"/><Relationship Id="rId156" Type="http://schemas.openxmlformats.org/officeDocument/2006/relationships/hyperlink" Target="https://www.facebook.com/212235555192_983457323958027" TargetMode="External"/><Relationship Id="rId177" Type="http://schemas.openxmlformats.org/officeDocument/2006/relationships/hyperlink" Target="https://www.instagram.com/reel/DI0AfVryMxq/" TargetMode="External"/><Relationship Id="rId198" Type="http://schemas.openxmlformats.org/officeDocument/2006/relationships/hyperlink" Target="https://www.instagram.com/p/DI9Esh4ROf7/" TargetMode="External"/><Relationship Id="rId18" Type="http://schemas.openxmlformats.org/officeDocument/2006/relationships/hyperlink" Target="https://www.facebook.com/212235555192_968598785443881" TargetMode="External"/><Relationship Id="rId39" Type="http://schemas.openxmlformats.org/officeDocument/2006/relationships/hyperlink" Target="https://www.tiktok.com/@cinepolismx/video/7488875950591970566?utm_campaign=tt4d_open_api&amp;utm_source=6997404317372137474" TargetMode="External"/><Relationship Id="rId50" Type="http://schemas.openxmlformats.org/officeDocument/2006/relationships/hyperlink" Target="https://www.facebook.com/212235555192_970453928591700" TargetMode="External"/><Relationship Id="rId104" Type="http://schemas.openxmlformats.org/officeDocument/2006/relationships/hyperlink" Target="https://www.tiktok.com/@cinepolismx/video/7492205083120143671?utm_campaign=tt4d_open_api&amp;utm_source=6997404317372137474" TargetMode="External"/><Relationship Id="rId125" Type="http://schemas.openxmlformats.org/officeDocument/2006/relationships/hyperlink" Target="https://www.instagram.com/p/DIfaG4AP6Aq/" TargetMode="External"/><Relationship Id="rId146" Type="http://schemas.openxmlformats.org/officeDocument/2006/relationships/hyperlink" Target="https://www.instagram.com/reel/DIkZXwQPnrN/" TargetMode="External"/><Relationship Id="rId167" Type="http://schemas.openxmlformats.org/officeDocument/2006/relationships/hyperlink" Target="https://www.instagram.com/p/DIxU2dVRMij/" TargetMode="External"/><Relationship Id="rId188" Type="http://schemas.openxmlformats.org/officeDocument/2006/relationships/hyperlink" Target="https://www.facebook.com/212235555192_987320780238348" TargetMode="External"/><Relationship Id="rId71" Type="http://schemas.openxmlformats.org/officeDocument/2006/relationships/hyperlink" Target="https://www.instagram.com/p/DIHNxt-grMN/" TargetMode="External"/><Relationship Id="rId92" Type="http://schemas.openxmlformats.org/officeDocument/2006/relationships/hyperlink" Target="https://www.instagram.com/reel/DIP2fJQMo8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3F5D-1BF9-0E4A-8256-9F0EF2C30B09}">
  <dimension ref="A1:P62"/>
  <sheetViews>
    <sheetView workbookViewId="0">
      <selection activeCell="E16" sqref="E16"/>
    </sheetView>
  </sheetViews>
  <sheetFormatPr defaultColWidth="11" defaultRowHeight="15.95"/>
  <sheetData>
    <row r="1" spans="1:16" ht="29.1">
      <c r="A1" s="20">
        <v>2024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>
      <c r="A3" s="2" t="s">
        <v>16</v>
      </c>
      <c r="B3" s="2" t="s">
        <v>17</v>
      </c>
      <c r="C3" s="3">
        <v>4520723</v>
      </c>
      <c r="D3" s="4">
        <v>12989698</v>
      </c>
      <c r="E3" s="4">
        <v>2030791</v>
      </c>
      <c r="F3" s="3">
        <f>+C3+D3+E3</f>
        <v>19541212</v>
      </c>
      <c r="G3" s="3">
        <v>117713</v>
      </c>
      <c r="H3" s="3">
        <v>10466</v>
      </c>
      <c r="I3" s="3">
        <f t="shared" ref="I3:I62" si="0">+G3+H3</f>
        <v>128179</v>
      </c>
      <c r="J3" s="3">
        <v>21757557</v>
      </c>
      <c r="K3" s="3">
        <v>11796620</v>
      </c>
      <c r="L3" s="3">
        <f>+J3+K3</f>
        <v>33554177</v>
      </c>
      <c r="M3" s="3">
        <v>197903453</v>
      </c>
      <c r="N3" s="3">
        <v>90022207</v>
      </c>
      <c r="O3" s="3">
        <f>+M3+N3</f>
        <v>287925660</v>
      </c>
      <c r="P3" s="3">
        <v>613432968</v>
      </c>
    </row>
    <row r="4" spans="1:16">
      <c r="A4" s="2" t="s">
        <v>18</v>
      </c>
      <c r="B4" s="2" t="s">
        <v>17</v>
      </c>
      <c r="C4" s="3">
        <v>1179087</v>
      </c>
      <c r="D4" s="3">
        <v>1247775</v>
      </c>
      <c r="E4" s="3">
        <v>205567</v>
      </c>
      <c r="F4" s="3">
        <f t="shared" ref="F4:F62" si="1">+C4+D4+E4</f>
        <v>2632429</v>
      </c>
      <c r="G4" s="3">
        <v>20681</v>
      </c>
      <c r="H4" s="3">
        <v>2645</v>
      </c>
      <c r="I4" s="3">
        <f t="shared" si="0"/>
        <v>23326</v>
      </c>
      <c r="J4" s="3">
        <v>23097062</v>
      </c>
      <c r="K4" s="3">
        <v>1105751</v>
      </c>
      <c r="L4" s="3">
        <f t="shared" ref="L4:L62" si="2">+J4+K4</f>
        <v>24202813</v>
      </c>
      <c r="M4" s="3">
        <v>29889492</v>
      </c>
      <c r="N4" s="3">
        <v>10292963</v>
      </c>
      <c r="O4" s="3">
        <f t="shared" ref="O4:O62" si="3">+M4+N4</f>
        <v>40182455</v>
      </c>
      <c r="P4" s="3"/>
    </row>
    <row r="5" spans="1:16">
      <c r="A5" s="2" t="s">
        <v>19</v>
      </c>
      <c r="B5" s="2" t="s">
        <v>17</v>
      </c>
      <c r="C5" s="3">
        <v>522103</v>
      </c>
      <c r="D5" s="3">
        <v>880622</v>
      </c>
      <c r="E5" s="4">
        <v>3145087</v>
      </c>
      <c r="F5" s="3">
        <f t="shared" si="1"/>
        <v>4547812</v>
      </c>
      <c r="G5" s="3">
        <v>3382</v>
      </c>
      <c r="H5" s="3">
        <v>1110</v>
      </c>
      <c r="I5" s="3">
        <f t="shared" si="0"/>
        <v>4492</v>
      </c>
      <c r="J5" s="3">
        <v>35086387</v>
      </c>
      <c r="K5" s="3">
        <v>35112855</v>
      </c>
      <c r="L5" s="3">
        <f t="shared" si="2"/>
        <v>70199242</v>
      </c>
      <c r="M5" s="3">
        <v>35086387</v>
      </c>
      <c r="N5" s="3">
        <v>36378389</v>
      </c>
      <c r="O5" s="3">
        <f t="shared" si="3"/>
        <v>71464776</v>
      </c>
      <c r="P5" s="3">
        <v>199125170</v>
      </c>
    </row>
    <row r="6" spans="1:16">
      <c r="A6" s="2" t="s">
        <v>20</v>
      </c>
      <c r="B6" s="2" t="s">
        <v>17</v>
      </c>
      <c r="C6" s="3">
        <v>154025</v>
      </c>
      <c r="D6" s="3"/>
      <c r="E6" s="3"/>
      <c r="F6" s="3">
        <f t="shared" si="1"/>
        <v>154025</v>
      </c>
      <c r="G6" s="3">
        <v>2167</v>
      </c>
      <c r="H6" s="3"/>
      <c r="I6" s="3">
        <f t="shared" si="0"/>
        <v>2167</v>
      </c>
      <c r="J6" s="3">
        <v>234869</v>
      </c>
      <c r="K6" s="3"/>
      <c r="L6" s="3">
        <f t="shared" si="2"/>
        <v>234869</v>
      </c>
      <c r="M6" s="3">
        <v>3591964</v>
      </c>
      <c r="N6" s="3"/>
      <c r="O6" s="3">
        <f t="shared" si="3"/>
        <v>3591964</v>
      </c>
      <c r="P6" s="3"/>
    </row>
    <row r="7" spans="1:16">
      <c r="A7" s="2" t="s">
        <v>21</v>
      </c>
      <c r="B7" s="2" t="s">
        <v>17</v>
      </c>
      <c r="C7" s="3">
        <v>18653</v>
      </c>
      <c r="D7" s="3"/>
      <c r="E7" s="3"/>
      <c r="F7" s="3">
        <f t="shared" si="1"/>
        <v>18653</v>
      </c>
      <c r="G7" s="3">
        <v>270</v>
      </c>
      <c r="H7" s="3"/>
      <c r="I7" s="3">
        <f t="shared" si="0"/>
        <v>270</v>
      </c>
      <c r="J7" s="3">
        <v>2613152</v>
      </c>
      <c r="K7" s="3"/>
      <c r="L7" s="3">
        <f t="shared" si="2"/>
        <v>2613152</v>
      </c>
      <c r="M7" s="3"/>
      <c r="N7" s="3"/>
      <c r="O7" s="3">
        <f t="shared" si="3"/>
        <v>0</v>
      </c>
      <c r="P7" s="3">
        <v>122933340</v>
      </c>
    </row>
    <row r="8" spans="1:16">
      <c r="A8" s="2" t="s">
        <v>16</v>
      </c>
      <c r="B8" s="2" t="s">
        <v>22</v>
      </c>
      <c r="C8" s="3">
        <v>3372706</v>
      </c>
      <c r="D8" s="4">
        <v>16506727</v>
      </c>
      <c r="E8" s="4">
        <v>1971655</v>
      </c>
      <c r="F8" s="3">
        <f t="shared" si="1"/>
        <v>21851088</v>
      </c>
      <c r="G8" s="3">
        <v>114572</v>
      </c>
      <c r="H8" s="3">
        <v>7441</v>
      </c>
      <c r="I8" s="3">
        <f t="shared" si="0"/>
        <v>122013</v>
      </c>
      <c r="J8" s="3">
        <v>3518371</v>
      </c>
      <c r="K8" s="3">
        <v>15357935</v>
      </c>
      <c r="L8" s="3">
        <f t="shared" si="2"/>
        <v>18876306</v>
      </c>
      <c r="M8" s="3">
        <v>102409545</v>
      </c>
      <c r="N8" s="3">
        <v>57825945</v>
      </c>
      <c r="O8" s="3">
        <f t="shared" si="3"/>
        <v>160235490</v>
      </c>
      <c r="P8" s="3">
        <v>338491286</v>
      </c>
    </row>
    <row r="9" spans="1:16">
      <c r="A9" s="2" t="s">
        <v>18</v>
      </c>
      <c r="B9" s="2" t="s">
        <v>23</v>
      </c>
      <c r="C9" s="3">
        <v>1708287</v>
      </c>
      <c r="D9" s="3">
        <v>1726974</v>
      </c>
      <c r="E9" s="3">
        <v>251878</v>
      </c>
      <c r="F9" s="3">
        <f t="shared" si="1"/>
        <v>3687139</v>
      </c>
      <c r="G9" s="3">
        <v>33667</v>
      </c>
      <c r="H9" s="3">
        <v>4601</v>
      </c>
      <c r="I9" s="3">
        <f t="shared" si="0"/>
        <v>38268</v>
      </c>
      <c r="J9" s="3">
        <v>23729537</v>
      </c>
      <c r="K9" s="3">
        <v>1491601</v>
      </c>
      <c r="L9" s="3">
        <f t="shared" si="2"/>
        <v>25221138</v>
      </c>
      <c r="M9" s="3">
        <v>31736611</v>
      </c>
      <c r="N9" s="3">
        <v>6434491</v>
      </c>
      <c r="O9" s="3">
        <f t="shared" si="3"/>
        <v>38171102</v>
      </c>
      <c r="P9" s="3"/>
    </row>
    <row r="10" spans="1:16">
      <c r="A10" s="2" t="s">
        <v>19</v>
      </c>
      <c r="B10" s="2" t="s">
        <v>23</v>
      </c>
      <c r="C10" s="3">
        <v>1618839</v>
      </c>
      <c r="D10" s="3">
        <v>1464905</v>
      </c>
      <c r="E10" s="4">
        <v>10016666</v>
      </c>
      <c r="F10" s="3">
        <f t="shared" si="1"/>
        <v>13100410</v>
      </c>
      <c r="G10" s="3">
        <v>10080</v>
      </c>
      <c r="H10" s="3">
        <v>1306</v>
      </c>
      <c r="I10" s="3">
        <f t="shared" si="0"/>
        <v>11386</v>
      </c>
      <c r="J10" s="3">
        <v>82364820</v>
      </c>
      <c r="K10" s="3">
        <v>53120451</v>
      </c>
      <c r="L10" s="3">
        <f t="shared" si="2"/>
        <v>135485271</v>
      </c>
      <c r="M10" s="3">
        <v>82364820</v>
      </c>
      <c r="N10" s="3">
        <v>55224808</v>
      </c>
      <c r="O10" s="3">
        <f t="shared" si="3"/>
        <v>137589628</v>
      </c>
      <c r="P10" s="3">
        <v>462208641</v>
      </c>
    </row>
    <row r="11" spans="1:16">
      <c r="A11" s="2" t="s">
        <v>20</v>
      </c>
      <c r="B11" s="2" t="s">
        <v>23</v>
      </c>
      <c r="C11" s="3">
        <v>166002</v>
      </c>
      <c r="D11" s="3"/>
      <c r="E11" s="3"/>
      <c r="F11" s="3">
        <f t="shared" si="1"/>
        <v>166002</v>
      </c>
      <c r="G11" s="3">
        <v>4635</v>
      </c>
      <c r="H11" s="3"/>
      <c r="I11" s="3">
        <f t="shared" si="0"/>
        <v>4635</v>
      </c>
      <c r="J11" s="3">
        <v>392431</v>
      </c>
      <c r="K11" s="3"/>
      <c r="L11" s="3">
        <f t="shared" si="2"/>
        <v>392431</v>
      </c>
      <c r="M11" s="3">
        <v>5398607</v>
      </c>
      <c r="N11" s="3"/>
      <c r="O11" s="3">
        <f t="shared" si="3"/>
        <v>5398607</v>
      </c>
      <c r="P11" s="3"/>
    </row>
    <row r="12" spans="1:16">
      <c r="A12" s="2" t="s">
        <v>21</v>
      </c>
      <c r="B12" s="2" t="s">
        <v>23</v>
      </c>
      <c r="C12" s="3">
        <v>41837</v>
      </c>
      <c r="D12" s="3"/>
      <c r="E12" s="3"/>
      <c r="F12" s="3">
        <f t="shared" si="1"/>
        <v>41837</v>
      </c>
      <c r="G12" s="3">
        <v>940</v>
      </c>
      <c r="H12" s="3"/>
      <c r="I12" s="3">
        <f t="shared" si="0"/>
        <v>940</v>
      </c>
      <c r="J12" s="3">
        <v>4290693</v>
      </c>
      <c r="K12" s="3"/>
      <c r="L12" s="3">
        <f t="shared" si="2"/>
        <v>4290693</v>
      </c>
      <c r="M12" s="3"/>
      <c r="N12" s="3"/>
      <c r="O12" s="3">
        <f t="shared" si="3"/>
        <v>0</v>
      </c>
      <c r="P12" s="3">
        <v>255163440</v>
      </c>
    </row>
    <row r="13" spans="1:16">
      <c r="A13" s="2" t="s">
        <v>16</v>
      </c>
      <c r="B13" s="2" t="s">
        <v>24</v>
      </c>
      <c r="C13" s="3">
        <v>8357704</v>
      </c>
      <c r="D13" s="4">
        <v>22740750</v>
      </c>
      <c r="E13" s="4">
        <v>6766392</v>
      </c>
      <c r="F13" s="3">
        <f t="shared" si="1"/>
        <v>37864846</v>
      </c>
      <c r="G13" s="3">
        <v>143473</v>
      </c>
      <c r="H13" s="3">
        <v>22870</v>
      </c>
      <c r="I13" s="3">
        <f t="shared" si="0"/>
        <v>166343</v>
      </c>
      <c r="J13" s="3">
        <v>17927665</v>
      </c>
      <c r="K13" s="3">
        <v>20017990</v>
      </c>
      <c r="L13" s="3">
        <f t="shared" si="2"/>
        <v>37945655</v>
      </c>
      <c r="M13" s="3">
        <v>174116112</v>
      </c>
      <c r="N13" s="3">
        <v>95517673</v>
      </c>
      <c r="O13" s="3">
        <f t="shared" si="3"/>
        <v>269633785</v>
      </c>
      <c r="P13" s="3">
        <v>544276160</v>
      </c>
    </row>
    <row r="14" spans="1:16">
      <c r="A14" s="2" t="s">
        <v>18</v>
      </c>
      <c r="B14" s="2" t="s">
        <v>24</v>
      </c>
      <c r="C14" s="3">
        <v>1711109</v>
      </c>
      <c r="D14" s="3">
        <v>2193528</v>
      </c>
      <c r="E14" s="3">
        <v>397002</v>
      </c>
      <c r="F14" s="3">
        <f t="shared" si="1"/>
        <v>4301639</v>
      </c>
      <c r="G14" s="3">
        <v>49222</v>
      </c>
      <c r="H14" s="3">
        <v>2552</v>
      </c>
      <c r="I14" s="3">
        <f t="shared" si="0"/>
        <v>51774</v>
      </c>
      <c r="J14" s="3">
        <v>20893743</v>
      </c>
      <c r="K14" s="3">
        <v>1491149</v>
      </c>
      <c r="L14" s="3">
        <f t="shared" si="2"/>
        <v>22384892</v>
      </c>
      <c r="M14" s="3">
        <v>33288582</v>
      </c>
      <c r="N14" s="3">
        <v>18664804</v>
      </c>
      <c r="O14" s="3">
        <f t="shared" si="3"/>
        <v>51953386</v>
      </c>
      <c r="P14" s="3"/>
    </row>
    <row r="15" spans="1:16">
      <c r="A15" s="2" t="s">
        <v>19</v>
      </c>
      <c r="B15" s="2" t="s">
        <v>24</v>
      </c>
      <c r="C15" s="3">
        <v>860179</v>
      </c>
      <c r="D15" s="3">
        <v>1358502</v>
      </c>
      <c r="E15" s="4">
        <v>6957063</v>
      </c>
      <c r="F15" s="3">
        <f t="shared" si="1"/>
        <v>9175744</v>
      </c>
      <c r="G15" s="3">
        <v>11964</v>
      </c>
      <c r="H15" s="3">
        <v>1633</v>
      </c>
      <c r="I15" s="3">
        <f t="shared" si="0"/>
        <v>13597</v>
      </c>
      <c r="J15" s="3">
        <v>52436006</v>
      </c>
      <c r="K15" s="3">
        <v>62711894</v>
      </c>
      <c r="L15" s="3">
        <f t="shared" si="2"/>
        <v>115147900</v>
      </c>
      <c r="M15" s="3">
        <v>52436006</v>
      </c>
      <c r="N15" s="3">
        <v>64487247</v>
      </c>
      <c r="O15" s="3">
        <f t="shared" si="3"/>
        <v>116923253</v>
      </c>
      <c r="P15" s="3">
        <v>231338708</v>
      </c>
    </row>
    <row r="16" spans="1:16">
      <c r="A16" s="2" t="s">
        <v>20</v>
      </c>
      <c r="B16" s="2" t="s">
        <v>24</v>
      </c>
      <c r="C16" s="3">
        <v>265865</v>
      </c>
      <c r="D16" s="3"/>
      <c r="E16" s="3"/>
      <c r="F16" s="3">
        <f t="shared" si="1"/>
        <v>265865</v>
      </c>
      <c r="G16" s="3">
        <v>30793</v>
      </c>
      <c r="H16" s="3"/>
      <c r="I16" s="3">
        <f t="shared" si="0"/>
        <v>30793</v>
      </c>
      <c r="J16" s="3">
        <v>240379</v>
      </c>
      <c r="K16" s="3"/>
      <c r="L16" s="3">
        <f t="shared" si="2"/>
        <v>240379</v>
      </c>
      <c r="M16" s="3">
        <v>5867500</v>
      </c>
      <c r="N16" s="3"/>
      <c r="O16" s="3">
        <f t="shared" si="3"/>
        <v>5867500</v>
      </c>
      <c r="P16" s="3"/>
    </row>
    <row r="17" spans="1:16">
      <c r="A17" s="2" t="s">
        <v>21</v>
      </c>
      <c r="B17" s="2" t="s">
        <v>24</v>
      </c>
      <c r="C17" s="3">
        <v>17935</v>
      </c>
      <c r="D17" s="3"/>
      <c r="E17" s="3"/>
      <c r="F17" s="3">
        <f t="shared" si="1"/>
        <v>17935</v>
      </c>
      <c r="G17" s="3">
        <v>341</v>
      </c>
      <c r="H17" s="3"/>
      <c r="I17" s="3">
        <f t="shared" si="0"/>
        <v>341</v>
      </c>
      <c r="J17" s="3">
        <v>1657634</v>
      </c>
      <c r="K17" s="3"/>
      <c r="L17" s="3">
        <f t="shared" si="2"/>
        <v>1657634</v>
      </c>
      <c r="M17" s="3"/>
      <c r="N17" s="3"/>
      <c r="O17" s="3">
        <f t="shared" si="3"/>
        <v>0</v>
      </c>
      <c r="P17" s="3">
        <v>91277880</v>
      </c>
    </row>
    <row r="18" spans="1:16">
      <c r="A18" s="2" t="s">
        <v>16</v>
      </c>
      <c r="B18" s="2" t="s">
        <v>25</v>
      </c>
      <c r="C18" s="3">
        <v>5634615</v>
      </c>
      <c r="D18" s="4">
        <v>18371786</v>
      </c>
      <c r="E18" s="4">
        <v>6141650</v>
      </c>
      <c r="F18" s="3">
        <f t="shared" si="1"/>
        <v>30148051</v>
      </c>
      <c r="G18" s="3">
        <v>164766</v>
      </c>
      <c r="H18" s="3">
        <v>12106</v>
      </c>
      <c r="I18" s="3">
        <f t="shared" si="0"/>
        <v>176872</v>
      </c>
      <c r="J18" s="3">
        <v>13898979</v>
      </c>
      <c r="K18" s="3">
        <v>17547869</v>
      </c>
      <c r="L18" s="3">
        <f t="shared" si="2"/>
        <v>31446848</v>
      </c>
      <c r="M18" s="3">
        <v>225245745</v>
      </c>
      <c r="N18" s="3">
        <v>135410767</v>
      </c>
      <c r="O18" s="3">
        <f t="shared" si="3"/>
        <v>360656512</v>
      </c>
      <c r="P18" s="3">
        <v>580522902</v>
      </c>
    </row>
    <row r="19" spans="1:16">
      <c r="A19" s="2" t="s">
        <v>18</v>
      </c>
      <c r="B19" s="2" t="s">
        <v>25</v>
      </c>
      <c r="C19" s="3">
        <v>1631205</v>
      </c>
      <c r="D19" s="3">
        <v>804252</v>
      </c>
      <c r="E19" s="3">
        <v>164786</v>
      </c>
      <c r="F19" s="3">
        <f t="shared" si="1"/>
        <v>2600243</v>
      </c>
      <c r="G19" s="3">
        <v>47782</v>
      </c>
      <c r="H19" s="3">
        <v>4235</v>
      </c>
      <c r="I19" s="3">
        <f t="shared" si="0"/>
        <v>52017</v>
      </c>
      <c r="J19" s="3">
        <v>19933015</v>
      </c>
      <c r="K19" s="3">
        <v>710597</v>
      </c>
      <c r="L19" s="3">
        <f t="shared" si="2"/>
        <v>20643612</v>
      </c>
      <c r="M19" s="3">
        <v>30275211</v>
      </c>
      <c r="N19" s="3">
        <v>4938196</v>
      </c>
      <c r="O19" s="3">
        <f t="shared" si="3"/>
        <v>35213407</v>
      </c>
      <c r="P19" s="3"/>
    </row>
    <row r="20" spans="1:16">
      <c r="A20" s="2" t="s">
        <v>19</v>
      </c>
      <c r="B20" s="2" t="s">
        <v>25</v>
      </c>
      <c r="C20" s="3">
        <v>1428412</v>
      </c>
      <c r="D20" s="3">
        <v>2021687</v>
      </c>
      <c r="E20" s="4">
        <v>5606810</v>
      </c>
      <c r="F20" s="3">
        <f t="shared" si="1"/>
        <v>9056909</v>
      </c>
      <c r="G20" s="3">
        <v>13680</v>
      </c>
      <c r="H20" s="3">
        <v>220</v>
      </c>
      <c r="I20" s="3">
        <f t="shared" si="0"/>
        <v>13900</v>
      </c>
      <c r="J20" s="3">
        <v>81287511</v>
      </c>
      <c r="K20" s="3">
        <v>71800771</v>
      </c>
      <c r="L20" s="3">
        <f t="shared" si="2"/>
        <v>153088282</v>
      </c>
      <c r="M20" s="3">
        <v>81287511</v>
      </c>
      <c r="N20" s="3">
        <v>73755228</v>
      </c>
      <c r="O20" s="3">
        <f t="shared" si="3"/>
        <v>155042739</v>
      </c>
      <c r="P20" s="3">
        <v>495578350</v>
      </c>
    </row>
    <row r="21" spans="1:16">
      <c r="A21" s="2" t="s">
        <v>20</v>
      </c>
      <c r="B21" s="2" t="s">
        <v>25</v>
      </c>
      <c r="C21" s="3">
        <v>190754</v>
      </c>
      <c r="D21" s="3"/>
      <c r="E21" s="3"/>
      <c r="F21" s="3">
        <f t="shared" si="1"/>
        <v>190754</v>
      </c>
      <c r="G21" s="3">
        <v>3893</v>
      </c>
      <c r="H21" s="3"/>
      <c r="I21" s="3">
        <f t="shared" si="0"/>
        <v>3893</v>
      </c>
      <c r="J21" s="3">
        <v>299005</v>
      </c>
      <c r="K21" s="3"/>
      <c r="L21" s="3">
        <f t="shared" si="2"/>
        <v>299005</v>
      </c>
      <c r="M21" s="3">
        <v>5638118</v>
      </c>
      <c r="N21" s="3"/>
      <c r="O21" s="3">
        <f t="shared" si="3"/>
        <v>5638118</v>
      </c>
      <c r="P21" s="3"/>
    </row>
    <row r="22" spans="1:16">
      <c r="A22" s="2" t="s">
        <v>21</v>
      </c>
      <c r="B22" s="2" t="s">
        <v>25</v>
      </c>
      <c r="C22" s="3">
        <v>10733</v>
      </c>
      <c r="D22" s="3"/>
      <c r="E22" s="3"/>
      <c r="F22" s="3">
        <f t="shared" si="1"/>
        <v>10733</v>
      </c>
      <c r="G22" s="3">
        <v>279</v>
      </c>
      <c r="H22" s="3"/>
      <c r="I22" s="3">
        <f t="shared" si="0"/>
        <v>279</v>
      </c>
      <c r="J22" s="3">
        <v>3703669</v>
      </c>
      <c r="K22" s="3"/>
      <c r="L22" s="3">
        <f t="shared" si="2"/>
        <v>3703669</v>
      </c>
      <c r="M22" s="3"/>
      <c r="N22" s="3"/>
      <c r="O22" s="3">
        <f t="shared" si="3"/>
        <v>0</v>
      </c>
      <c r="P22" s="3">
        <v>104862840</v>
      </c>
    </row>
    <row r="23" spans="1:16">
      <c r="A23" s="2" t="s">
        <v>16</v>
      </c>
      <c r="B23" s="2" t="s">
        <v>26</v>
      </c>
      <c r="C23" s="3">
        <v>4812378</v>
      </c>
      <c r="D23" s="4">
        <v>5239319</v>
      </c>
      <c r="E23" s="4">
        <v>508134</v>
      </c>
      <c r="F23" s="3">
        <f t="shared" si="1"/>
        <v>10559831</v>
      </c>
      <c r="G23" s="3">
        <v>127853</v>
      </c>
      <c r="H23" s="3">
        <v>4311</v>
      </c>
      <c r="I23" s="3">
        <f t="shared" si="0"/>
        <v>132164</v>
      </c>
      <c r="J23" s="3">
        <v>10053612</v>
      </c>
      <c r="K23" s="3">
        <v>4381085</v>
      </c>
      <c r="L23" s="3">
        <f t="shared" si="2"/>
        <v>14434697</v>
      </c>
      <c r="M23" s="3">
        <v>173517174</v>
      </c>
      <c r="N23" s="3">
        <v>57837632</v>
      </c>
      <c r="O23" s="3">
        <f t="shared" si="3"/>
        <v>231354806</v>
      </c>
      <c r="P23" s="3">
        <v>545540912</v>
      </c>
    </row>
    <row r="24" spans="1:16">
      <c r="A24" s="2" t="s">
        <v>18</v>
      </c>
      <c r="B24" s="2" t="s">
        <v>26</v>
      </c>
      <c r="C24" s="3">
        <v>1622976</v>
      </c>
      <c r="D24" s="3">
        <v>1771077</v>
      </c>
      <c r="E24" s="3">
        <v>138569</v>
      </c>
      <c r="F24" s="3">
        <f t="shared" si="1"/>
        <v>3532622</v>
      </c>
      <c r="G24" s="3">
        <v>105077</v>
      </c>
      <c r="H24" s="3">
        <v>1250</v>
      </c>
      <c r="I24" s="3">
        <f t="shared" si="0"/>
        <v>106327</v>
      </c>
      <c r="J24" s="3">
        <v>20018407</v>
      </c>
      <c r="K24" s="3">
        <v>1515885</v>
      </c>
      <c r="L24" s="3">
        <f t="shared" si="2"/>
        <v>21534292</v>
      </c>
      <c r="M24" s="3">
        <v>28535890</v>
      </c>
      <c r="N24" s="3">
        <v>6193270</v>
      </c>
      <c r="O24" s="3">
        <f t="shared" si="3"/>
        <v>34729160</v>
      </c>
      <c r="P24" s="3"/>
    </row>
    <row r="25" spans="1:16">
      <c r="A25" s="2" t="s">
        <v>19</v>
      </c>
      <c r="B25" s="2" t="s">
        <v>26</v>
      </c>
      <c r="C25" s="3">
        <v>638787</v>
      </c>
      <c r="D25" s="3">
        <v>485078</v>
      </c>
      <c r="E25" s="4">
        <v>574250</v>
      </c>
      <c r="F25" s="3">
        <f t="shared" si="1"/>
        <v>1698115</v>
      </c>
      <c r="G25" s="3">
        <v>4650</v>
      </c>
      <c r="H25" s="3">
        <v>522</v>
      </c>
      <c r="I25" s="3">
        <f t="shared" si="0"/>
        <v>5172</v>
      </c>
      <c r="J25" s="3">
        <v>21519760</v>
      </c>
      <c r="K25" s="3">
        <v>13861135</v>
      </c>
      <c r="L25" s="3">
        <f t="shared" si="2"/>
        <v>35380895</v>
      </c>
      <c r="M25" s="3">
        <v>21519760</v>
      </c>
      <c r="N25" s="3">
        <v>14082698</v>
      </c>
      <c r="O25" s="3">
        <f t="shared" si="3"/>
        <v>35602458</v>
      </c>
      <c r="P25" s="3">
        <v>148659466</v>
      </c>
    </row>
    <row r="26" spans="1:16">
      <c r="A26" s="2" t="s">
        <v>20</v>
      </c>
      <c r="B26" s="2" t="s">
        <v>26</v>
      </c>
      <c r="C26" s="3">
        <v>124800</v>
      </c>
      <c r="D26" s="3"/>
      <c r="E26" s="3"/>
      <c r="F26" s="3">
        <f t="shared" si="1"/>
        <v>124800</v>
      </c>
      <c r="G26" s="3">
        <v>2482</v>
      </c>
      <c r="H26" s="3"/>
      <c r="I26" s="3">
        <f t="shared" si="0"/>
        <v>2482</v>
      </c>
      <c r="J26" s="3">
        <v>249178</v>
      </c>
      <c r="K26" s="3"/>
      <c r="L26" s="3">
        <f t="shared" si="2"/>
        <v>249178</v>
      </c>
      <c r="M26" s="3">
        <v>4398080</v>
      </c>
      <c r="N26" s="3"/>
      <c r="O26" s="3">
        <f t="shared" si="3"/>
        <v>4398080</v>
      </c>
      <c r="P26" s="3"/>
    </row>
    <row r="27" spans="1:16">
      <c r="A27" s="2" t="s">
        <v>21</v>
      </c>
      <c r="B27" s="2" t="s">
        <v>26</v>
      </c>
      <c r="C27" s="3">
        <v>18111</v>
      </c>
      <c r="D27" s="3"/>
      <c r="E27" s="3"/>
      <c r="F27" s="3">
        <f t="shared" si="1"/>
        <v>18111</v>
      </c>
      <c r="G27" s="3">
        <v>544</v>
      </c>
      <c r="H27" s="3"/>
      <c r="I27" s="3">
        <f t="shared" si="0"/>
        <v>544</v>
      </c>
      <c r="J27" s="3">
        <v>1779853</v>
      </c>
      <c r="K27" s="3"/>
      <c r="L27" s="3">
        <f t="shared" si="2"/>
        <v>1779853</v>
      </c>
      <c r="M27" s="3"/>
      <c r="N27" s="3"/>
      <c r="O27" s="3">
        <f t="shared" si="3"/>
        <v>0</v>
      </c>
      <c r="P27" s="3">
        <v>63467940</v>
      </c>
    </row>
    <row r="28" spans="1:16">
      <c r="A28" s="2" t="s">
        <v>16</v>
      </c>
      <c r="B28" s="2" t="s">
        <v>27</v>
      </c>
      <c r="C28" s="3">
        <v>3623904</v>
      </c>
      <c r="D28" s="4">
        <v>9133379</v>
      </c>
      <c r="E28" s="4">
        <v>1217436</v>
      </c>
      <c r="F28" s="3">
        <f t="shared" si="1"/>
        <v>13974719</v>
      </c>
      <c r="G28" s="3">
        <v>107210</v>
      </c>
      <c r="H28" s="3">
        <v>7014</v>
      </c>
      <c r="I28" s="3">
        <f t="shared" si="0"/>
        <v>114224</v>
      </c>
      <c r="J28" s="3">
        <v>18207300</v>
      </c>
      <c r="K28" s="3">
        <v>8161042</v>
      </c>
      <c r="L28" s="3">
        <f t="shared" si="2"/>
        <v>26368342</v>
      </c>
      <c r="M28" s="3">
        <v>137564521</v>
      </c>
      <c r="N28" s="3">
        <v>60029878</v>
      </c>
      <c r="O28" s="3">
        <f t="shared" si="3"/>
        <v>197594399</v>
      </c>
      <c r="P28" s="3">
        <v>543529344</v>
      </c>
    </row>
    <row r="29" spans="1:16">
      <c r="A29" s="2" t="s">
        <v>18</v>
      </c>
      <c r="B29" s="2" t="s">
        <v>27</v>
      </c>
      <c r="C29" s="3">
        <v>2685508</v>
      </c>
      <c r="D29" s="3">
        <v>1668989</v>
      </c>
      <c r="E29" s="3">
        <v>361104</v>
      </c>
      <c r="F29" s="3">
        <f t="shared" si="1"/>
        <v>4715601</v>
      </c>
      <c r="G29" s="3">
        <v>312297</v>
      </c>
      <c r="H29" s="3">
        <v>1057</v>
      </c>
      <c r="I29" s="3">
        <f t="shared" si="0"/>
        <v>313354</v>
      </c>
      <c r="J29" s="3">
        <v>27192763</v>
      </c>
      <c r="K29" s="3">
        <v>1565820</v>
      </c>
      <c r="L29" s="3">
        <f t="shared" si="2"/>
        <v>28758583</v>
      </c>
      <c r="M29" s="3">
        <v>37165137</v>
      </c>
      <c r="N29" s="3">
        <v>5470331</v>
      </c>
      <c r="O29" s="3">
        <f t="shared" si="3"/>
        <v>42635468</v>
      </c>
      <c r="P29" s="3"/>
    </row>
    <row r="30" spans="1:16">
      <c r="A30" s="2" t="s">
        <v>19</v>
      </c>
      <c r="B30" s="2" t="s">
        <v>27</v>
      </c>
      <c r="C30" s="3">
        <v>2152153</v>
      </c>
      <c r="D30" s="3">
        <v>1773131</v>
      </c>
      <c r="E30" s="4">
        <v>3021181</v>
      </c>
      <c r="F30" s="3">
        <f t="shared" si="1"/>
        <v>6946465</v>
      </c>
      <c r="G30" s="3">
        <v>10618</v>
      </c>
      <c r="H30" s="3">
        <v>844</v>
      </c>
      <c r="I30" s="3">
        <f t="shared" si="0"/>
        <v>11462</v>
      </c>
      <c r="J30" s="3">
        <v>21935658</v>
      </c>
      <c r="K30" s="3">
        <v>44238901</v>
      </c>
      <c r="L30" s="3">
        <f t="shared" si="2"/>
        <v>66174559</v>
      </c>
      <c r="M30" s="3">
        <v>21935658</v>
      </c>
      <c r="N30" s="3">
        <v>45460180</v>
      </c>
      <c r="O30" s="3">
        <f t="shared" si="3"/>
        <v>67395838</v>
      </c>
      <c r="P30" s="3">
        <v>353135742</v>
      </c>
    </row>
    <row r="31" spans="1:16">
      <c r="A31" s="2" t="s">
        <v>20</v>
      </c>
      <c r="B31" s="2" t="s">
        <v>27</v>
      </c>
      <c r="C31" s="3">
        <v>160784</v>
      </c>
      <c r="D31" s="3"/>
      <c r="E31" s="3"/>
      <c r="F31" s="3">
        <f t="shared" si="1"/>
        <v>160784</v>
      </c>
      <c r="G31" s="3">
        <v>4002</v>
      </c>
      <c r="H31" s="3"/>
      <c r="I31" s="3">
        <f t="shared" si="0"/>
        <v>4002</v>
      </c>
      <c r="J31" s="3">
        <v>183428</v>
      </c>
      <c r="K31" s="3"/>
      <c r="L31" s="3">
        <f t="shared" si="2"/>
        <v>183428</v>
      </c>
      <c r="M31" s="3">
        <v>5305499</v>
      </c>
      <c r="N31" s="3"/>
      <c r="O31" s="3">
        <f t="shared" si="3"/>
        <v>5305499</v>
      </c>
      <c r="P31" s="3"/>
    </row>
    <row r="32" spans="1:16">
      <c r="A32" s="2" t="s">
        <v>21</v>
      </c>
      <c r="B32" s="2" t="s">
        <v>27</v>
      </c>
      <c r="C32" s="3">
        <v>106609</v>
      </c>
      <c r="D32" s="3"/>
      <c r="E32" s="3"/>
      <c r="F32" s="3">
        <f t="shared" si="1"/>
        <v>106609</v>
      </c>
      <c r="G32" s="3">
        <v>1009</v>
      </c>
      <c r="H32" s="3"/>
      <c r="I32" s="3">
        <f t="shared" si="0"/>
        <v>1009</v>
      </c>
      <c r="J32" s="3">
        <v>5880288</v>
      </c>
      <c r="K32" s="3"/>
      <c r="L32" s="3">
        <f t="shared" si="2"/>
        <v>5880288</v>
      </c>
      <c r="M32" s="3"/>
      <c r="N32" s="3"/>
      <c r="O32" s="3">
        <f t="shared" si="3"/>
        <v>0</v>
      </c>
      <c r="P32" s="3">
        <v>323149080</v>
      </c>
    </row>
    <row r="33" spans="1:16">
      <c r="A33" s="2" t="s">
        <v>16</v>
      </c>
      <c r="B33" s="2" t="s">
        <v>28</v>
      </c>
      <c r="C33" s="3">
        <v>4268433</v>
      </c>
      <c r="D33" s="4">
        <v>14972894</v>
      </c>
      <c r="E33" s="4">
        <v>2931436</v>
      </c>
      <c r="F33" s="3">
        <f t="shared" si="1"/>
        <v>22172763</v>
      </c>
      <c r="G33" s="3">
        <v>121487</v>
      </c>
      <c r="H33" s="3">
        <v>5273</v>
      </c>
      <c r="I33" s="3">
        <f t="shared" si="0"/>
        <v>126760</v>
      </c>
      <c r="J33" s="3">
        <v>10318374</v>
      </c>
      <c r="K33" s="3">
        <v>13443933</v>
      </c>
      <c r="L33" s="3">
        <f t="shared" si="2"/>
        <v>23762307</v>
      </c>
      <c r="M33" s="3">
        <v>80590904</v>
      </c>
      <c r="N33" s="3">
        <v>75810928</v>
      </c>
      <c r="O33" s="3">
        <f t="shared" si="3"/>
        <v>156401832</v>
      </c>
      <c r="P33" s="3">
        <v>456745678</v>
      </c>
    </row>
    <row r="34" spans="1:16">
      <c r="A34" s="2" t="s">
        <v>18</v>
      </c>
      <c r="B34" s="2" t="s">
        <v>28</v>
      </c>
      <c r="C34" s="3">
        <v>2280581</v>
      </c>
      <c r="D34" s="3">
        <v>2606950</v>
      </c>
      <c r="E34" s="3">
        <v>479495</v>
      </c>
      <c r="F34" s="3">
        <f t="shared" si="1"/>
        <v>5367026</v>
      </c>
      <c r="G34" s="3">
        <v>222500</v>
      </c>
      <c r="H34" s="3">
        <v>4125</v>
      </c>
      <c r="I34" s="3">
        <f t="shared" si="0"/>
        <v>226625</v>
      </c>
      <c r="J34" s="3">
        <v>23701268</v>
      </c>
      <c r="K34" s="3">
        <v>2424586</v>
      </c>
      <c r="L34" s="3">
        <f t="shared" si="2"/>
        <v>26125854</v>
      </c>
      <c r="M34" s="3">
        <v>32513515</v>
      </c>
      <c r="N34" s="3">
        <v>8171994</v>
      </c>
      <c r="O34" s="3">
        <f t="shared" si="3"/>
        <v>40685509</v>
      </c>
      <c r="P34" s="3"/>
    </row>
    <row r="35" spans="1:16">
      <c r="A35" s="2" t="s">
        <v>19</v>
      </c>
      <c r="B35" s="2" t="s">
        <v>28</v>
      </c>
      <c r="C35" s="3">
        <v>1778128</v>
      </c>
      <c r="D35" s="3">
        <v>2728569</v>
      </c>
      <c r="E35" s="4">
        <v>4692095</v>
      </c>
      <c r="F35" s="3">
        <f t="shared" si="1"/>
        <v>9198792</v>
      </c>
      <c r="G35" s="3">
        <v>323327</v>
      </c>
      <c r="H35" s="3">
        <v>371</v>
      </c>
      <c r="I35" s="3">
        <f t="shared" si="0"/>
        <v>323698</v>
      </c>
      <c r="J35" s="3">
        <v>25205464</v>
      </c>
      <c r="K35" s="3">
        <v>36165389</v>
      </c>
      <c r="L35" s="3">
        <f t="shared" si="2"/>
        <v>61370853</v>
      </c>
      <c r="M35" s="3">
        <v>25205464</v>
      </c>
      <c r="N35" s="3">
        <v>38134101</v>
      </c>
      <c r="O35" s="3">
        <f t="shared" si="3"/>
        <v>63339565</v>
      </c>
      <c r="P35" s="3">
        <v>313164804</v>
      </c>
    </row>
    <row r="36" spans="1:16">
      <c r="A36" s="2" t="s">
        <v>20</v>
      </c>
      <c r="B36" s="2" t="s">
        <v>28</v>
      </c>
      <c r="C36" s="3">
        <v>126855</v>
      </c>
      <c r="D36" s="3"/>
      <c r="E36" s="3"/>
      <c r="F36" s="3">
        <f t="shared" si="1"/>
        <v>126855</v>
      </c>
      <c r="G36" s="3">
        <v>2803</v>
      </c>
      <c r="H36" s="3"/>
      <c r="I36" s="3">
        <f t="shared" si="0"/>
        <v>2803</v>
      </c>
      <c r="J36" s="3">
        <v>188284</v>
      </c>
      <c r="K36" s="3"/>
      <c r="L36" s="3">
        <f t="shared" si="2"/>
        <v>188284</v>
      </c>
      <c r="M36" s="3">
        <v>3734648</v>
      </c>
      <c r="N36" s="3"/>
      <c r="O36" s="3">
        <f t="shared" si="3"/>
        <v>3734648</v>
      </c>
      <c r="P36" s="3"/>
    </row>
    <row r="37" spans="1:16">
      <c r="A37" s="2" t="s">
        <v>21</v>
      </c>
      <c r="B37" s="2" t="s">
        <v>28</v>
      </c>
      <c r="C37" s="3">
        <v>30623</v>
      </c>
      <c r="D37" s="3"/>
      <c r="E37" s="3"/>
      <c r="F37" s="3">
        <f t="shared" si="1"/>
        <v>30623</v>
      </c>
      <c r="G37" s="3">
        <v>429</v>
      </c>
      <c r="H37" s="3"/>
      <c r="I37" s="3">
        <f t="shared" si="0"/>
        <v>429</v>
      </c>
      <c r="J37" s="3">
        <v>4546927</v>
      </c>
      <c r="K37" s="3"/>
      <c r="L37" s="3">
        <f t="shared" si="2"/>
        <v>4546927</v>
      </c>
      <c r="M37" s="3"/>
      <c r="N37" s="3"/>
      <c r="O37" s="3">
        <f t="shared" si="3"/>
        <v>0</v>
      </c>
      <c r="P37" s="3">
        <v>167945820</v>
      </c>
    </row>
    <row r="38" spans="1:16">
      <c r="A38" s="2" t="s">
        <v>16</v>
      </c>
      <c r="B38" s="2" t="s">
        <v>29</v>
      </c>
      <c r="C38" s="3">
        <v>3680325</v>
      </c>
      <c r="D38" s="4">
        <v>14168740</v>
      </c>
      <c r="E38" s="4">
        <v>3229619</v>
      </c>
      <c r="F38" s="3">
        <f t="shared" si="1"/>
        <v>21078684</v>
      </c>
      <c r="G38" s="3">
        <v>99227</v>
      </c>
      <c r="H38" s="3">
        <v>10055</v>
      </c>
      <c r="I38" s="3">
        <f t="shared" si="0"/>
        <v>109282</v>
      </c>
      <c r="J38" s="3">
        <v>10219771</v>
      </c>
      <c r="K38" s="3">
        <v>12979064</v>
      </c>
      <c r="L38" s="3">
        <f t="shared" si="2"/>
        <v>23198835</v>
      </c>
      <c r="M38" s="3">
        <v>143707841</v>
      </c>
      <c r="N38" s="3">
        <v>73502968</v>
      </c>
      <c r="O38" s="3">
        <f t="shared" si="3"/>
        <v>217210809</v>
      </c>
      <c r="P38" s="3">
        <v>625702403</v>
      </c>
    </row>
    <row r="39" spans="1:16">
      <c r="A39" s="2" t="s">
        <v>18</v>
      </c>
      <c r="B39" s="2" t="s">
        <v>29</v>
      </c>
      <c r="C39" s="3">
        <v>2524527</v>
      </c>
      <c r="D39" s="3">
        <v>7549453</v>
      </c>
      <c r="E39" s="3">
        <v>2484099</v>
      </c>
      <c r="F39" s="3">
        <f t="shared" si="1"/>
        <v>12558079</v>
      </c>
      <c r="G39" s="3">
        <v>395614</v>
      </c>
      <c r="H39" s="3">
        <v>1348</v>
      </c>
      <c r="I39" s="3">
        <f t="shared" si="0"/>
        <v>396962</v>
      </c>
      <c r="J39" s="3">
        <v>28069967</v>
      </c>
      <c r="K39" s="3">
        <v>7092084</v>
      </c>
      <c r="L39" s="3">
        <f t="shared" si="2"/>
        <v>35162051</v>
      </c>
      <c r="M39" s="3">
        <v>35885697</v>
      </c>
      <c r="N39" s="3">
        <v>14583728</v>
      </c>
      <c r="O39" s="3">
        <f t="shared" si="3"/>
        <v>50469425</v>
      </c>
      <c r="P39" s="3"/>
    </row>
    <row r="40" spans="1:16">
      <c r="A40" s="2" t="s">
        <v>19</v>
      </c>
      <c r="B40" s="2" t="s">
        <v>29</v>
      </c>
      <c r="C40" s="3">
        <v>1559205</v>
      </c>
      <c r="D40" s="3">
        <v>558687</v>
      </c>
      <c r="E40" s="4">
        <v>1533160</v>
      </c>
      <c r="F40" s="3">
        <f t="shared" si="1"/>
        <v>3651052</v>
      </c>
      <c r="G40" s="3">
        <v>8983</v>
      </c>
      <c r="H40" s="3">
        <v>1040</v>
      </c>
      <c r="I40" s="3">
        <f t="shared" si="0"/>
        <v>10023</v>
      </c>
      <c r="J40" s="3">
        <v>39777571</v>
      </c>
      <c r="K40" s="3">
        <v>17959365</v>
      </c>
      <c r="L40" s="3">
        <f t="shared" si="2"/>
        <v>57736936</v>
      </c>
      <c r="M40" s="3">
        <v>39777571</v>
      </c>
      <c r="N40" s="3">
        <v>18478497</v>
      </c>
      <c r="O40" s="3">
        <f t="shared" si="3"/>
        <v>58256068</v>
      </c>
      <c r="P40" s="3">
        <v>348737654</v>
      </c>
    </row>
    <row r="41" spans="1:16">
      <c r="A41" s="2" t="s">
        <v>20</v>
      </c>
      <c r="B41" s="2" t="s">
        <v>29</v>
      </c>
      <c r="C41" s="3">
        <v>181506</v>
      </c>
      <c r="D41" s="3"/>
      <c r="E41" s="3"/>
      <c r="F41" s="3">
        <f t="shared" si="1"/>
        <v>181506</v>
      </c>
      <c r="G41" s="3">
        <v>3348</v>
      </c>
      <c r="H41" s="3"/>
      <c r="I41" s="3">
        <f t="shared" si="0"/>
        <v>3348</v>
      </c>
      <c r="J41" s="3">
        <v>265866</v>
      </c>
      <c r="K41" s="3"/>
      <c r="L41" s="3">
        <f t="shared" si="2"/>
        <v>265866</v>
      </c>
      <c r="M41" s="3">
        <v>4065455</v>
      </c>
      <c r="N41" s="3"/>
      <c r="O41" s="3">
        <f t="shared" si="3"/>
        <v>4065455</v>
      </c>
      <c r="P41" s="3"/>
    </row>
    <row r="42" spans="1:16">
      <c r="A42" s="2" t="s">
        <v>21</v>
      </c>
      <c r="B42" s="2" t="s">
        <v>29</v>
      </c>
      <c r="C42" s="3">
        <v>34492</v>
      </c>
      <c r="D42" s="3"/>
      <c r="E42" s="3"/>
      <c r="F42" s="3">
        <f t="shared" si="1"/>
        <v>34492</v>
      </c>
      <c r="G42" s="3">
        <v>467</v>
      </c>
      <c r="H42" s="3"/>
      <c r="I42" s="3">
        <f t="shared" si="0"/>
        <v>467</v>
      </c>
      <c r="J42" s="3">
        <v>4595496</v>
      </c>
      <c r="K42" s="3"/>
      <c r="L42" s="3">
        <f t="shared" si="2"/>
        <v>4595496</v>
      </c>
      <c r="M42" s="3"/>
      <c r="N42" s="3"/>
      <c r="O42" s="3">
        <f t="shared" si="3"/>
        <v>0</v>
      </c>
      <c r="P42" s="3">
        <v>229164120</v>
      </c>
    </row>
    <row r="43" spans="1:16">
      <c r="A43" s="2" t="s">
        <v>16</v>
      </c>
      <c r="B43" s="2" t="s">
        <v>30</v>
      </c>
      <c r="C43" s="3">
        <v>4282196</v>
      </c>
      <c r="D43" s="4">
        <v>5128630</v>
      </c>
      <c r="E43" s="4">
        <v>1155079</v>
      </c>
      <c r="F43" s="3">
        <f t="shared" si="1"/>
        <v>10565905</v>
      </c>
      <c r="G43" s="3">
        <v>96806</v>
      </c>
      <c r="H43" s="3">
        <v>4843</v>
      </c>
      <c r="I43" s="3">
        <f t="shared" si="0"/>
        <v>101649</v>
      </c>
      <c r="J43" s="3">
        <v>6439060</v>
      </c>
      <c r="K43" s="3">
        <v>4464861</v>
      </c>
      <c r="L43" s="3">
        <f t="shared" si="2"/>
        <v>10903921</v>
      </c>
      <c r="M43" s="3">
        <v>108435109</v>
      </c>
      <c r="N43" s="3">
        <v>71806492</v>
      </c>
      <c r="O43" s="3">
        <f t="shared" si="3"/>
        <v>180241601</v>
      </c>
      <c r="P43" s="3">
        <v>286104746</v>
      </c>
    </row>
    <row r="44" spans="1:16">
      <c r="A44" s="2" t="s">
        <v>18</v>
      </c>
      <c r="B44" s="2" t="s">
        <v>30</v>
      </c>
      <c r="C44" s="3">
        <v>1624475</v>
      </c>
      <c r="D44" s="3">
        <v>284736</v>
      </c>
      <c r="E44" s="3">
        <v>24622</v>
      </c>
      <c r="F44" s="3">
        <f t="shared" si="1"/>
        <v>1933833</v>
      </c>
      <c r="G44" s="3">
        <v>128192</v>
      </c>
      <c r="H44" s="3">
        <v>444</v>
      </c>
      <c r="I44" s="3">
        <f t="shared" si="0"/>
        <v>128636</v>
      </c>
      <c r="J44" s="3">
        <v>21899879</v>
      </c>
      <c r="K44" s="3">
        <v>208310</v>
      </c>
      <c r="L44" s="3">
        <f t="shared" si="2"/>
        <v>22108189</v>
      </c>
      <c r="M44" s="3">
        <v>30735042</v>
      </c>
      <c r="N44" s="3">
        <v>3382171</v>
      </c>
      <c r="O44" s="3">
        <f t="shared" si="3"/>
        <v>34117213</v>
      </c>
      <c r="P44" s="3"/>
    </row>
    <row r="45" spans="1:16">
      <c r="A45" s="2" t="s">
        <v>19</v>
      </c>
      <c r="B45" s="2" t="s">
        <v>30</v>
      </c>
      <c r="C45" s="3">
        <v>1224303</v>
      </c>
      <c r="D45" s="3">
        <v>2342600</v>
      </c>
      <c r="E45" s="4">
        <v>3545640</v>
      </c>
      <c r="F45" s="3">
        <f t="shared" si="1"/>
        <v>7112543</v>
      </c>
      <c r="G45" s="3">
        <v>12418</v>
      </c>
      <c r="H45" s="3">
        <v>271</v>
      </c>
      <c r="I45" s="3">
        <f t="shared" si="0"/>
        <v>12689</v>
      </c>
      <c r="J45" s="3">
        <v>36995585</v>
      </c>
      <c r="K45" s="3">
        <v>39631341</v>
      </c>
      <c r="L45" s="3">
        <f t="shared" si="2"/>
        <v>76626926</v>
      </c>
      <c r="M45" s="3">
        <v>36995585</v>
      </c>
      <c r="N45" s="3">
        <v>41603649</v>
      </c>
      <c r="O45" s="3">
        <f t="shared" si="3"/>
        <v>78599234</v>
      </c>
      <c r="P45" s="3">
        <v>251943032</v>
      </c>
    </row>
    <row r="46" spans="1:16">
      <c r="A46" s="2" t="s">
        <v>20</v>
      </c>
      <c r="B46" s="2" t="s">
        <v>30</v>
      </c>
      <c r="C46" s="3">
        <v>196864</v>
      </c>
      <c r="D46" s="3"/>
      <c r="E46" s="3"/>
      <c r="F46" s="3">
        <f t="shared" si="1"/>
        <v>196864</v>
      </c>
      <c r="G46" s="3">
        <v>4458</v>
      </c>
      <c r="H46" s="3"/>
      <c r="I46" s="3">
        <f t="shared" si="0"/>
        <v>4458</v>
      </c>
      <c r="J46" s="3">
        <v>201500</v>
      </c>
      <c r="K46" s="3"/>
      <c r="L46" s="3">
        <f t="shared" si="2"/>
        <v>201500</v>
      </c>
      <c r="M46" s="3">
        <v>34783323</v>
      </c>
      <c r="N46" s="3"/>
      <c r="O46" s="3">
        <f t="shared" si="3"/>
        <v>34783323</v>
      </c>
      <c r="P46" s="3"/>
    </row>
    <row r="47" spans="1:16">
      <c r="A47" s="2" t="s">
        <v>21</v>
      </c>
      <c r="B47" s="2" t="s">
        <v>30</v>
      </c>
      <c r="C47" s="3">
        <v>39849</v>
      </c>
      <c r="D47" s="3"/>
      <c r="E47" s="3"/>
      <c r="F47" s="3">
        <f t="shared" si="1"/>
        <v>39849</v>
      </c>
      <c r="G47" s="3">
        <v>1403</v>
      </c>
      <c r="H47" s="3"/>
      <c r="I47" s="3">
        <f t="shared" si="0"/>
        <v>1403</v>
      </c>
      <c r="J47" s="3">
        <v>2842739</v>
      </c>
      <c r="K47" s="3"/>
      <c r="L47" s="3">
        <f t="shared" si="2"/>
        <v>2842739</v>
      </c>
      <c r="M47" s="3"/>
      <c r="N47" s="3"/>
      <c r="O47" s="3">
        <f t="shared" si="3"/>
        <v>0</v>
      </c>
      <c r="P47" s="3">
        <v>169804800</v>
      </c>
    </row>
    <row r="48" spans="1:16">
      <c r="A48" s="2" t="s">
        <v>16</v>
      </c>
      <c r="B48" s="2" t="s">
        <v>31</v>
      </c>
      <c r="C48" s="3">
        <v>3390740</v>
      </c>
      <c r="D48" s="4">
        <v>7888134</v>
      </c>
      <c r="E48" s="4">
        <v>1984757</v>
      </c>
      <c r="F48" s="3">
        <f t="shared" si="1"/>
        <v>13263631</v>
      </c>
      <c r="G48" s="3">
        <v>72569</v>
      </c>
      <c r="H48" s="3">
        <v>6430</v>
      </c>
      <c r="I48" s="3">
        <f t="shared" si="0"/>
        <v>78999</v>
      </c>
      <c r="J48" s="3">
        <v>5388623</v>
      </c>
      <c r="K48" s="3">
        <v>7010874</v>
      </c>
      <c r="L48" s="3">
        <f t="shared" si="2"/>
        <v>12399497</v>
      </c>
      <c r="M48" s="3">
        <v>109412257</v>
      </c>
      <c r="N48" s="3">
        <v>57544651</v>
      </c>
      <c r="O48" s="3">
        <f t="shared" si="3"/>
        <v>166956908</v>
      </c>
      <c r="P48" s="3">
        <v>201626485</v>
      </c>
    </row>
    <row r="49" spans="1:16">
      <c r="A49" s="2" t="s">
        <v>18</v>
      </c>
      <c r="B49" s="2" t="s">
        <v>31</v>
      </c>
      <c r="C49" s="3">
        <v>4805295</v>
      </c>
      <c r="D49" s="3">
        <v>339052</v>
      </c>
      <c r="E49" s="3">
        <v>83904</v>
      </c>
      <c r="F49" s="3">
        <f t="shared" si="1"/>
        <v>5228251</v>
      </c>
      <c r="G49" s="3">
        <v>2739942</v>
      </c>
      <c r="H49" s="3">
        <v>484</v>
      </c>
      <c r="I49" s="3">
        <f t="shared" si="0"/>
        <v>2740426</v>
      </c>
      <c r="J49" s="3">
        <v>23336626</v>
      </c>
      <c r="K49" s="3">
        <v>289682</v>
      </c>
      <c r="L49" s="3">
        <f t="shared" si="2"/>
        <v>23626308</v>
      </c>
      <c r="M49" s="3">
        <v>37303704</v>
      </c>
      <c r="N49" s="3">
        <v>2759081</v>
      </c>
      <c r="O49" s="3">
        <f t="shared" si="3"/>
        <v>40062785</v>
      </c>
      <c r="P49" s="3"/>
    </row>
    <row r="50" spans="1:16">
      <c r="A50" s="2" t="s">
        <v>19</v>
      </c>
      <c r="B50" s="2" t="s">
        <v>31</v>
      </c>
      <c r="C50" s="3">
        <v>1749611</v>
      </c>
      <c r="D50" s="3">
        <v>260113</v>
      </c>
      <c r="E50" s="4">
        <v>1782149</v>
      </c>
      <c r="F50" s="3">
        <f t="shared" si="1"/>
        <v>3791873</v>
      </c>
      <c r="G50" s="3">
        <v>25688</v>
      </c>
      <c r="H50" s="3">
        <v>273</v>
      </c>
      <c r="I50" s="3">
        <f t="shared" si="0"/>
        <v>25961</v>
      </c>
      <c r="J50" s="3">
        <v>97776374</v>
      </c>
      <c r="K50" s="3">
        <v>19916747</v>
      </c>
      <c r="L50" s="3">
        <f t="shared" si="2"/>
        <v>117693121</v>
      </c>
      <c r="M50" s="3">
        <v>97776374</v>
      </c>
      <c r="N50" s="3">
        <v>20115166</v>
      </c>
      <c r="O50" s="3">
        <f t="shared" si="3"/>
        <v>117891540</v>
      </c>
      <c r="P50" s="3">
        <v>428775149</v>
      </c>
    </row>
    <row r="51" spans="1:16">
      <c r="A51" s="2" t="s">
        <v>20</v>
      </c>
      <c r="B51" s="2" t="s">
        <v>31</v>
      </c>
      <c r="C51" s="3">
        <v>223897</v>
      </c>
      <c r="D51" s="3"/>
      <c r="E51" s="3"/>
      <c r="F51" s="3">
        <f t="shared" si="1"/>
        <v>223897</v>
      </c>
      <c r="G51" s="3">
        <v>4111</v>
      </c>
      <c r="H51" s="3"/>
      <c r="I51" s="3">
        <f t="shared" si="0"/>
        <v>4111</v>
      </c>
      <c r="J51" s="3">
        <v>280009</v>
      </c>
      <c r="K51" s="3"/>
      <c r="L51" s="3">
        <f t="shared" si="2"/>
        <v>280009</v>
      </c>
      <c r="M51" s="3">
        <v>4578610</v>
      </c>
      <c r="N51" s="3"/>
      <c r="O51" s="3">
        <f t="shared" si="3"/>
        <v>4578610</v>
      </c>
      <c r="P51" s="3"/>
    </row>
    <row r="52" spans="1:16">
      <c r="A52" s="2" t="s">
        <v>21</v>
      </c>
      <c r="B52" s="2" t="s">
        <v>31</v>
      </c>
      <c r="C52" s="3">
        <v>18305</v>
      </c>
      <c r="D52" s="3"/>
      <c r="E52" s="3"/>
      <c r="F52" s="3">
        <f t="shared" si="1"/>
        <v>18305</v>
      </c>
      <c r="G52" s="3">
        <v>363</v>
      </c>
      <c r="H52" s="3"/>
      <c r="I52" s="3">
        <f t="shared" si="0"/>
        <v>363</v>
      </c>
      <c r="J52" s="3">
        <v>1837277</v>
      </c>
      <c r="K52" s="3"/>
      <c r="L52" s="3">
        <f t="shared" si="2"/>
        <v>1837277</v>
      </c>
      <c r="M52" s="3"/>
      <c r="N52" s="3"/>
      <c r="O52" s="3">
        <f t="shared" si="3"/>
        <v>0</v>
      </c>
      <c r="P52" s="3">
        <v>131871667.40699999</v>
      </c>
    </row>
    <row r="53" spans="1:16">
      <c r="A53" s="2" t="s">
        <v>16</v>
      </c>
      <c r="B53" s="2" t="s">
        <v>32</v>
      </c>
      <c r="C53" s="3">
        <v>3982624</v>
      </c>
      <c r="D53" s="4">
        <v>9208532</v>
      </c>
      <c r="E53" s="4">
        <v>1259131</v>
      </c>
      <c r="F53" s="3">
        <f t="shared" si="1"/>
        <v>14450287</v>
      </c>
      <c r="G53" s="3">
        <v>81693</v>
      </c>
      <c r="H53" s="3">
        <v>18176</v>
      </c>
      <c r="I53" s="3">
        <f t="shared" si="0"/>
        <v>99869</v>
      </c>
      <c r="J53" s="3">
        <v>4216721</v>
      </c>
      <c r="K53" s="3">
        <v>7775142</v>
      </c>
      <c r="L53" s="3">
        <f t="shared" si="2"/>
        <v>11991863</v>
      </c>
      <c r="M53" s="3">
        <v>104204106</v>
      </c>
      <c r="N53" s="3">
        <v>89402379</v>
      </c>
      <c r="O53" s="3">
        <f t="shared" si="3"/>
        <v>193606485</v>
      </c>
      <c r="P53" s="3">
        <v>244132830</v>
      </c>
    </row>
    <row r="54" spans="1:16">
      <c r="A54" s="2" t="s">
        <v>18</v>
      </c>
      <c r="B54" s="2" t="s">
        <v>32</v>
      </c>
      <c r="C54" s="3">
        <v>2152150</v>
      </c>
      <c r="D54" s="3">
        <v>5130395</v>
      </c>
      <c r="E54" s="3">
        <v>1311162</v>
      </c>
      <c r="F54" s="3">
        <f t="shared" si="1"/>
        <v>8593707</v>
      </c>
      <c r="G54" s="3">
        <v>272130</v>
      </c>
      <c r="H54" s="3">
        <v>2400</v>
      </c>
      <c r="I54" s="3">
        <f t="shared" si="0"/>
        <v>274530</v>
      </c>
      <c r="J54" s="3">
        <v>23017223</v>
      </c>
      <c r="K54" s="3">
        <v>4236867</v>
      </c>
      <c r="L54" s="3">
        <f t="shared" si="2"/>
        <v>27254090</v>
      </c>
      <c r="M54" s="3">
        <v>34304799</v>
      </c>
      <c r="N54" s="3">
        <v>35496939</v>
      </c>
      <c r="O54" s="3">
        <f t="shared" si="3"/>
        <v>69801738</v>
      </c>
      <c r="P54" s="3"/>
    </row>
    <row r="55" spans="1:16">
      <c r="A55" s="2" t="s">
        <v>19</v>
      </c>
      <c r="B55" s="2" t="s">
        <v>32</v>
      </c>
      <c r="C55" s="3">
        <v>1325410</v>
      </c>
      <c r="D55" s="3">
        <v>1111446</v>
      </c>
      <c r="E55" s="4">
        <v>4421390</v>
      </c>
      <c r="F55" s="3">
        <f t="shared" si="1"/>
        <v>6858246</v>
      </c>
      <c r="G55" s="3">
        <v>77063</v>
      </c>
      <c r="H55" s="3">
        <v>885</v>
      </c>
      <c r="I55" s="3">
        <f t="shared" si="0"/>
        <v>77948</v>
      </c>
      <c r="J55" s="3">
        <v>71783504</v>
      </c>
      <c r="K55" s="3">
        <v>109683615</v>
      </c>
      <c r="L55" s="3">
        <f t="shared" si="2"/>
        <v>181467119</v>
      </c>
      <c r="M55" s="3">
        <v>71783504</v>
      </c>
      <c r="N55" s="3">
        <v>111175548</v>
      </c>
      <c r="O55" s="3">
        <f t="shared" si="3"/>
        <v>182959052</v>
      </c>
      <c r="P55" s="3">
        <v>285557441</v>
      </c>
    </row>
    <row r="56" spans="1:16">
      <c r="A56" s="2" t="s">
        <v>20</v>
      </c>
      <c r="B56" s="2" t="s">
        <v>32</v>
      </c>
      <c r="C56" s="3">
        <v>144879</v>
      </c>
      <c r="D56" s="3"/>
      <c r="E56" s="3"/>
      <c r="F56" s="3">
        <f t="shared" si="1"/>
        <v>144879</v>
      </c>
      <c r="G56" s="3">
        <v>3528</v>
      </c>
      <c r="H56" s="3"/>
      <c r="I56" s="3">
        <f t="shared" si="0"/>
        <v>3528</v>
      </c>
      <c r="J56" s="3">
        <v>736156</v>
      </c>
      <c r="K56" s="3"/>
      <c r="L56" s="3">
        <f t="shared" si="2"/>
        <v>736156</v>
      </c>
      <c r="M56" s="3">
        <v>4451334</v>
      </c>
      <c r="N56" s="3"/>
      <c r="O56" s="3">
        <f t="shared" si="3"/>
        <v>4451334</v>
      </c>
      <c r="P56" s="3"/>
    </row>
    <row r="57" spans="1:16">
      <c r="A57" s="2" t="s">
        <v>21</v>
      </c>
      <c r="B57" s="2" t="s">
        <v>32</v>
      </c>
      <c r="C57" s="3">
        <v>32773</v>
      </c>
      <c r="D57" s="3"/>
      <c r="E57" s="3"/>
      <c r="F57" s="3">
        <f t="shared" si="1"/>
        <v>32773</v>
      </c>
      <c r="G57" s="3">
        <v>2277</v>
      </c>
      <c r="H57" s="3"/>
      <c r="I57" s="3">
        <f t="shared" si="0"/>
        <v>2277</v>
      </c>
      <c r="J57" s="3">
        <v>1947176</v>
      </c>
      <c r="K57" s="3"/>
      <c r="L57" s="3">
        <f t="shared" si="2"/>
        <v>1947176</v>
      </c>
      <c r="M57" s="3"/>
      <c r="N57" s="3"/>
      <c r="O57" s="3">
        <f t="shared" si="3"/>
        <v>0</v>
      </c>
      <c r="P57" s="3">
        <v>131200183.80399999</v>
      </c>
    </row>
    <row r="58" spans="1:16">
      <c r="A58" s="2" t="s">
        <v>16</v>
      </c>
      <c r="B58" s="2" t="s">
        <v>33</v>
      </c>
      <c r="C58" s="3">
        <v>8097440</v>
      </c>
      <c r="D58" s="4">
        <v>6818629</v>
      </c>
      <c r="E58" s="4">
        <v>1064748</v>
      </c>
      <c r="F58" s="3">
        <f t="shared" si="1"/>
        <v>15980817</v>
      </c>
      <c r="G58" s="3">
        <v>102272</v>
      </c>
      <c r="H58" s="3">
        <v>4922</v>
      </c>
      <c r="I58" s="3">
        <f t="shared" si="0"/>
        <v>107194</v>
      </c>
      <c r="J58" s="3">
        <v>12118950</v>
      </c>
      <c r="K58" s="3">
        <v>5897857</v>
      </c>
      <c r="L58" s="3">
        <f t="shared" si="2"/>
        <v>18016807</v>
      </c>
      <c r="M58" s="3">
        <v>181352427</v>
      </c>
      <c r="N58" s="3">
        <v>72944384</v>
      </c>
      <c r="O58" s="3">
        <f t="shared" si="3"/>
        <v>254296811</v>
      </c>
      <c r="P58" s="3">
        <v>594793178</v>
      </c>
    </row>
    <row r="59" spans="1:16">
      <c r="A59" s="2" t="s">
        <v>18</v>
      </c>
      <c r="B59" s="2" t="s">
        <v>33</v>
      </c>
      <c r="C59" s="3">
        <v>2394019</v>
      </c>
      <c r="D59" s="3">
        <v>8040662</v>
      </c>
      <c r="E59" s="3">
        <v>1846605</v>
      </c>
      <c r="F59" s="3">
        <f t="shared" si="1"/>
        <v>12281286</v>
      </c>
      <c r="G59" s="3">
        <v>82392</v>
      </c>
      <c r="H59" s="3">
        <v>2054</v>
      </c>
      <c r="I59" s="3">
        <f t="shared" si="0"/>
        <v>84446</v>
      </c>
      <c r="J59" s="3">
        <v>23717435</v>
      </c>
      <c r="K59" s="3">
        <v>7344682</v>
      </c>
      <c r="L59" s="3">
        <f t="shared" si="2"/>
        <v>31062117</v>
      </c>
      <c r="M59" s="3">
        <v>38611691</v>
      </c>
      <c r="N59" s="3">
        <v>33158648</v>
      </c>
      <c r="O59" s="3">
        <f t="shared" si="3"/>
        <v>71770339</v>
      </c>
      <c r="P59" s="3"/>
    </row>
    <row r="60" spans="1:16">
      <c r="A60" s="2" t="s">
        <v>19</v>
      </c>
      <c r="B60" s="2" t="s">
        <v>33</v>
      </c>
      <c r="C60" s="3">
        <v>1944266</v>
      </c>
      <c r="D60" s="3">
        <v>645375</v>
      </c>
      <c r="E60" s="4">
        <v>2698510</v>
      </c>
      <c r="F60" s="3">
        <f t="shared" si="1"/>
        <v>5288151</v>
      </c>
      <c r="G60" s="3">
        <v>15163</v>
      </c>
      <c r="H60" s="3">
        <v>927</v>
      </c>
      <c r="I60" s="3">
        <f t="shared" si="0"/>
        <v>16090</v>
      </c>
      <c r="J60" s="3">
        <v>64573532</v>
      </c>
      <c r="K60" s="3">
        <v>42489292</v>
      </c>
      <c r="L60" s="3">
        <f t="shared" si="2"/>
        <v>107062824</v>
      </c>
      <c r="M60" s="3">
        <v>64573532</v>
      </c>
      <c r="N60" s="3">
        <v>43032171</v>
      </c>
      <c r="O60" s="3">
        <f t="shared" si="3"/>
        <v>107605703</v>
      </c>
      <c r="P60" s="3">
        <v>393255901</v>
      </c>
    </row>
    <row r="61" spans="1:16">
      <c r="A61" s="2" t="s">
        <v>20</v>
      </c>
      <c r="B61" s="2" t="s">
        <v>33</v>
      </c>
      <c r="C61" s="3">
        <v>157885</v>
      </c>
      <c r="D61" s="3"/>
      <c r="E61" s="3"/>
      <c r="F61" s="3">
        <f t="shared" si="1"/>
        <v>157885</v>
      </c>
      <c r="G61" s="3">
        <v>3594</v>
      </c>
      <c r="H61" s="3"/>
      <c r="I61" s="3">
        <f t="shared" si="0"/>
        <v>3594</v>
      </c>
      <c r="J61" s="3">
        <v>189612</v>
      </c>
      <c r="K61" s="3"/>
      <c r="L61" s="3">
        <f t="shared" si="2"/>
        <v>189612</v>
      </c>
      <c r="M61" s="3">
        <v>8949362</v>
      </c>
      <c r="N61" s="3"/>
      <c r="O61" s="3">
        <f t="shared" si="3"/>
        <v>8949362</v>
      </c>
      <c r="P61" s="3"/>
    </row>
    <row r="62" spans="1:16">
      <c r="A62" s="2" t="s">
        <v>21</v>
      </c>
      <c r="B62" s="2" t="s">
        <v>33</v>
      </c>
      <c r="C62" s="3">
        <v>39456</v>
      </c>
      <c r="D62" s="3"/>
      <c r="E62" s="3"/>
      <c r="F62" s="3">
        <f t="shared" si="1"/>
        <v>39456</v>
      </c>
      <c r="G62" s="3">
        <v>1711</v>
      </c>
      <c r="H62" s="3"/>
      <c r="I62" s="3">
        <f t="shared" si="0"/>
        <v>1711</v>
      </c>
      <c r="J62" s="3">
        <v>1343912</v>
      </c>
      <c r="K62" s="3"/>
      <c r="L62" s="3">
        <f t="shared" si="2"/>
        <v>1343912</v>
      </c>
      <c r="M62" s="3"/>
      <c r="N62" s="3"/>
      <c r="O62" s="3">
        <f t="shared" si="3"/>
        <v>0</v>
      </c>
      <c r="P62" s="3">
        <v>125267511.37099999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A168-3647-42F2-8D09-51EC35FE98A4}">
  <dimension ref="A1:P62"/>
  <sheetViews>
    <sheetView workbookViewId="0">
      <selection sqref="A1:XFD1048576"/>
    </sheetView>
  </sheetViews>
  <sheetFormatPr defaultColWidth="10" defaultRowHeight="15.75"/>
  <sheetData>
    <row r="1" spans="1:16" ht="28.5">
      <c r="A1" s="20">
        <v>2024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s="2" t="s">
        <v>16</v>
      </c>
      <c r="B3" s="2" t="s">
        <v>17</v>
      </c>
      <c r="C3" s="3">
        <v>668742</v>
      </c>
      <c r="D3" s="3">
        <v>827191</v>
      </c>
      <c r="E3" s="3">
        <v>173628</v>
      </c>
      <c r="F3" s="3">
        <f>+C3+D3+E3</f>
        <v>1669561</v>
      </c>
      <c r="G3" s="3">
        <v>6387</v>
      </c>
      <c r="H3" s="3">
        <v>799</v>
      </c>
      <c r="I3" s="3">
        <f>+G3+H3</f>
        <v>7186</v>
      </c>
      <c r="J3" s="3">
        <v>1635510</v>
      </c>
      <c r="K3" s="3">
        <v>664784</v>
      </c>
      <c r="L3" s="3">
        <f>+J3+K3</f>
        <v>2300294</v>
      </c>
      <c r="M3" s="3">
        <v>19736301</v>
      </c>
      <c r="N3" s="3">
        <v>9156702</v>
      </c>
      <c r="O3" s="3">
        <f>+M3+N3</f>
        <v>28893003</v>
      </c>
      <c r="P3" s="3">
        <v>29773386</v>
      </c>
    </row>
    <row r="4" spans="1:16">
      <c r="A4" s="2" t="s">
        <v>18</v>
      </c>
      <c r="B4" s="2" t="s">
        <v>17</v>
      </c>
      <c r="C4" s="3">
        <v>64116</v>
      </c>
      <c r="D4" s="3">
        <v>126457</v>
      </c>
      <c r="E4" s="3">
        <v>12902</v>
      </c>
      <c r="F4" s="3">
        <f t="shared" ref="F4:F62" si="0">+C4+D4+E4</f>
        <v>203475</v>
      </c>
      <c r="G4" s="3">
        <v>557</v>
      </c>
      <c r="H4" s="3">
        <v>66</v>
      </c>
      <c r="I4" s="3">
        <f t="shared" ref="I4:I62" si="1">+G4+H4</f>
        <v>623</v>
      </c>
      <c r="J4" s="3">
        <v>2461148</v>
      </c>
      <c r="K4" s="3">
        <v>89460</v>
      </c>
      <c r="L4" s="3">
        <f t="shared" ref="L4:L62" si="2">+J4+K4</f>
        <v>2550608</v>
      </c>
      <c r="M4" s="3">
        <v>3505844</v>
      </c>
      <c r="N4" s="3">
        <v>2124925</v>
      </c>
      <c r="O4" s="3">
        <f t="shared" ref="O4:O62" si="3">+M4+N4</f>
        <v>5630769</v>
      </c>
      <c r="P4" s="3"/>
    </row>
    <row r="5" spans="1:16">
      <c r="A5" s="2" t="s">
        <v>19</v>
      </c>
      <c r="B5" s="2" t="s">
        <v>17</v>
      </c>
      <c r="C5" s="3">
        <v>79717</v>
      </c>
      <c r="D5" s="3">
        <v>64622</v>
      </c>
      <c r="E5" s="3">
        <v>506149</v>
      </c>
      <c r="F5" s="3">
        <f t="shared" si="0"/>
        <v>650488</v>
      </c>
      <c r="G5" s="3">
        <v>664</v>
      </c>
      <c r="H5" s="3">
        <v>287</v>
      </c>
      <c r="I5" s="3">
        <f t="shared" si="1"/>
        <v>951</v>
      </c>
      <c r="J5" s="3">
        <v>6205635</v>
      </c>
      <c r="K5" s="3">
        <v>5689087</v>
      </c>
      <c r="L5" s="3">
        <f t="shared" si="2"/>
        <v>11894722</v>
      </c>
      <c r="M5" s="3">
        <v>6205635</v>
      </c>
      <c r="N5" s="3">
        <v>5745710</v>
      </c>
      <c r="O5" s="3">
        <f t="shared" si="3"/>
        <v>11951345</v>
      </c>
      <c r="P5" s="3">
        <v>48868710</v>
      </c>
    </row>
    <row r="6" spans="1:16">
      <c r="A6" s="2" t="s">
        <v>20</v>
      </c>
      <c r="B6" s="2" t="s">
        <v>17</v>
      </c>
      <c r="C6" s="3">
        <v>17947</v>
      </c>
      <c r="D6" s="3"/>
      <c r="E6" s="3"/>
      <c r="F6" s="3">
        <f t="shared" si="0"/>
        <v>17947</v>
      </c>
      <c r="G6" s="3">
        <v>197</v>
      </c>
      <c r="H6" s="3"/>
      <c r="I6" s="3">
        <f t="shared" si="1"/>
        <v>197</v>
      </c>
      <c r="J6" s="3">
        <v>6434</v>
      </c>
      <c r="K6" s="3"/>
      <c r="L6" s="3">
        <f t="shared" si="2"/>
        <v>6434</v>
      </c>
      <c r="M6" s="3">
        <v>968619</v>
      </c>
      <c r="N6" s="3"/>
      <c r="O6" s="3">
        <f t="shared" si="3"/>
        <v>968619</v>
      </c>
      <c r="P6" s="3"/>
    </row>
    <row r="7" spans="1:16">
      <c r="A7" s="2" t="s">
        <v>21</v>
      </c>
      <c r="B7" s="2" t="s">
        <v>17</v>
      </c>
      <c r="C7" s="3">
        <v>2169</v>
      </c>
      <c r="D7" s="3"/>
      <c r="E7" s="3"/>
      <c r="F7" s="3">
        <f t="shared" si="0"/>
        <v>2169</v>
      </c>
      <c r="G7" s="3">
        <v>69</v>
      </c>
      <c r="H7" s="3"/>
      <c r="I7" s="3">
        <f t="shared" si="1"/>
        <v>69</v>
      </c>
      <c r="J7" s="3">
        <v>75408</v>
      </c>
      <c r="K7" s="3"/>
      <c r="L7" s="3">
        <f t="shared" si="2"/>
        <v>75408</v>
      </c>
      <c r="M7" s="3"/>
      <c r="N7" s="3"/>
      <c r="O7" s="3">
        <f t="shared" si="3"/>
        <v>0</v>
      </c>
      <c r="P7" s="3">
        <v>6323880</v>
      </c>
    </row>
    <row r="8" spans="1:16">
      <c r="A8" s="2" t="s">
        <v>16</v>
      </c>
      <c r="B8" s="2" t="s">
        <v>22</v>
      </c>
      <c r="C8" s="3">
        <v>403275</v>
      </c>
      <c r="D8" s="3">
        <v>398783</v>
      </c>
      <c r="E8" s="3">
        <v>36290</v>
      </c>
      <c r="F8" s="3">
        <f t="shared" si="0"/>
        <v>838348</v>
      </c>
      <c r="G8" s="3">
        <v>3862</v>
      </c>
      <c r="H8" s="3">
        <v>70</v>
      </c>
      <c r="I8" s="3">
        <f t="shared" si="1"/>
        <v>3932</v>
      </c>
      <c r="J8" s="3">
        <v>1152969</v>
      </c>
      <c r="K8" s="3">
        <v>362554</v>
      </c>
      <c r="L8" s="3">
        <f t="shared" si="2"/>
        <v>1515523</v>
      </c>
      <c r="M8" s="3">
        <v>12088309</v>
      </c>
      <c r="N8" s="3">
        <v>2738605</v>
      </c>
      <c r="O8" s="3">
        <f t="shared" si="3"/>
        <v>14826914</v>
      </c>
      <c r="P8" s="3">
        <v>30160927</v>
      </c>
    </row>
    <row r="9" spans="1:16">
      <c r="A9" s="2" t="s">
        <v>18</v>
      </c>
      <c r="B9" s="2" t="s">
        <v>23</v>
      </c>
      <c r="C9" s="3">
        <v>355538</v>
      </c>
      <c r="D9" s="3">
        <v>3561</v>
      </c>
      <c r="E9" s="3">
        <v>113</v>
      </c>
      <c r="F9" s="3">
        <f t="shared" si="0"/>
        <v>359212</v>
      </c>
      <c r="G9" s="3">
        <v>2545</v>
      </c>
      <c r="H9" s="3">
        <v>2</v>
      </c>
      <c r="I9" s="3">
        <f t="shared" si="1"/>
        <v>2547</v>
      </c>
      <c r="J9" s="3">
        <v>6614008</v>
      </c>
      <c r="K9" s="3">
        <v>2281</v>
      </c>
      <c r="L9" s="3">
        <f t="shared" si="2"/>
        <v>6616289</v>
      </c>
      <c r="M9" s="3">
        <v>6482418</v>
      </c>
      <c r="N9" s="3">
        <v>75510</v>
      </c>
      <c r="O9" s="3">
        <f t="shared" si="3"/>
        <v>6557928</v>
      </c>
      <c r="P9" s="3"/>
    </row>
    <row r="10" spans="1:16">
      <c r="A10" s="2" t="s">
        <v>19</v>
      </c>
      <c r="B10" s="2" t="s">
        <v>23</v>
      </c>
      <c r="C10" s="3">
        <v>169596</v>
      </c>
      <c r="D10" s="3">
        <v>104581</v>
      </c>
      <c r="E10" s="3">
        <v>41739</v>
      </c>
      <c r="F10" s="3">
        <f t="shared" si="0"/>
        <v>315916</v>
      </c>
      <c r="G10" s="3">
        <v>611</v>
      </c>
      <c r="H10" s="3">
        <v>48</v>
      </c>
      <c r="I10" s="3">
        <f t="shared" si="1"/>
        <v>659</v>
      </c>
      <c r="J10" s="3">
        <v>5231378</v>
      </c>
      <c r="K10" s="3">
        <v>3691443</v>
      </c>
      <c r="L10" s="3">
        <f t="shared" si="2"/>
        <v>8922821</v>
      </c>
      <c r="M10" s="3">
        <v>5231378</v>
      </c>
      <c r="N10" s="3">
        <v>3775439</v>
      </c>
      <c r="O10" s="3">
        <f t="shared" si="3"/>
        <v>9006817</v>
      </c>
      <c r="P10" s="3">
        <v>40377781</v>
      </c>
    </row>
    <row r="11" spans="1:16">
      <c r="A11" s="2" t="s">
        <v>20</v>
      </c>
      <c r="B11" s="2" t="s">
        <v>23</v>
      </c>
      <c r="C11" s="3">
        <v>20320</v>
      </c>
      <c r="D11" s="3"/>
      <c r="E11" s="3"/>
      <c r="F11" s="3">
        <f t="shared" si="0"/>
        <v>20320</v>
      </c>
      <c r="G11" s="3">
        <v>375</v>
      </c>
      <c r="H11" s="3"/>
      <c r="I11" s="3">
        <f t="shared" si="1"/>
        <v>375</v>
      </c>
      <c r="J11" s="3">
        <v>1899</v>
      </c>
      <c r="K11" s="3"/>
      <c r="L11" s="3">
        <f t="shared" si="2"/>
        <v>1899</v>
      </c>
      <c r="M11" s="3">
        <v>918305</v>
      </c>
      <c r="N11" s="3"/>
      <c r="O11" s="3">
        <f t="shared" si="3"/>
        <v>918305</v>
      </c>
      <c r="P11" s="3"/>
    </row>
    <row r="12" spans="1:16">
      <c r="A12" s="2" t="s">
        <v>21</v>
      </c>
      <c r="B12" s="2" t="s">
        <v>23</v>
      </c>
      <c r="C12" s="3">
        <v>4821</v>
      </c>
      <c r="D12" s="3"/>
      <c r="E12" s="3"/>
      <c r="F12" s="3">
        <f t="shared" si="0"/>
        <v>4821</v>
      </c>
      <c r="G12" s="3">
        <v>87</v>
      </c>
      <c r="H12" s="3"/>
      <c r="I12" s="3">
        <f t="shared" si="1"/>
        <v>87</v>
      </c>
      <c r="J12" s="3">
        <v>128173</v>
      </c>
      <c r="K12" s="3"/>
      <c r="L12" s="3">
        <f t="shared" si="2"/>
        <v>128173</v>
      </c>
      <c r="M12" s="3"/>
      <c r="N12" s="3"/>
      <c r="O12" s="3">
        <f t="shared" si="3"/>
        <v>0</v>
      </c>
      <c r="P12" s="3">
        <v>7065540</v>
      </c>
    </row>
    <row r="13" spans="1:16">
      <c r="A13" s="2" t="s">
        <v>16</v>
      </c>
      <c r="B13" s="2" t="s">
        <v>24</v>
      </c>
      <c r="C13" s="3">
        <v>2434489</v>
      </c>
      <c r="D13" s="3">
        <v>418403</v>
      </c>
      <c r="E13" s="3">
        <v>62352</v>
      </c>
      <c r="F13" s="3">
        <f t="shared" si="0"/>
        <v>2915244</v>
      </c>
      <c r="G13" s="3">
        <v>13012</v>
      </c>
      <c r="H13" s="3">
        <v>417</v>
      </c>
      <c r="I13" s="3">
        <f t="shared" si="1"/>
        <v>13429</v>
      </c>
      <c r="J13" s="3">
        <v>1912322</v>
      </c>
      <c r="K13" s="3">
        <v>323873</v>
      </c>
      <c r="L13" s="3">
        <f t="shared" si="2"/>
        <v>2236195</v>
      </c>
      <c r="M13" s="3">
        <v>29005717</v>
      </c>
      <c r="N13" s="3">
        <v>4451577</v>
      </c>
      <c r="O13" s="3">
        <f t="shared" si="3"/>
        <v>33457294</v>
      </c>
      <c r="P13" s="3">
        <v>63055741</v>
      </c>
    </row>
    <row r="14" spans="1:16">
      <c r="A14" s="2" t="s">
        <v>18</v>
      </c>
      <c r="B14" s="2" t="s">
        <v>24</v>
      </c>
      <c r="C14" s="3">
        <v>248521</v>
      </c>
      <c r="D14" s="3">
        <v>21983</v>
      </c>
      <c r="E14" s="3">
        <v>1143</v>
      </c>
      <c r="F14" s="3">
        <f t="shared" si="0"/>
        <v>271647</v>
      </c>
      <c r="G14" s="3">
        <v>9316</v>
      </c>
      <c r="H14" s="3">
        <v>9</v>
      </c>
      <c r="I14" s="3">
        <f t="shared" si="1"/>
        <v>9325</v>
      </c>
      <c r="J14" s="3">
        <v>4861834</v>
      </c>
      <c r="K14" s="3">
        <v>18899</v>
      </c>
      <c r="L14" s="3">
        <f t="shared" si="2"/>
        <v>4880733</v>
      </c>
      <c r="M14" s="3">
        <v>5556476</v>
      </c>
      <c r="N14" s="3">
        <v>143771</v>
      </c>
      <c r="O14" s="3">
        <f t="shared" si="3"/>
        <v>5700247</v>
      </c>
      <c r="P14" s="3"/>
    </row>
    <row r="15" spans="1:16">
      <c r="A15" s="2" t="s">
        <v>19</v>
      </c>
      <c r="B15" s="2" t="s">
        <v>24</v>
      </c>
      <c r="C15" s="3">
        <v>166182</v>
      </c>
      <c r="D15" s="3">
        <v>488321</v>
      </c>
      <c r="E15" s="3">
        <v>170812</v>
      </c>
      <c r="F15" s="3">
        <f t="shared" si="0"/>
        <v>825315</v>
      </c>
      <c r="G15" s="3">
        <v>2319</v>
      </c>
      <c r="H15" s="3">
        <v>21</v>
      </c>
      <c r="I15" s="3">
        <f t="shared" si="1"/>
        <v>2340</v>
      </c>
      <c r="J15" s="3">
        <v>8153707</v>
      </c>
      <c r="K15" s="3">
        <v>1501291</v>
      </c>
      <c r="L15" s="3">
        <f t="shared" si="2"/>
        <v>9654998</v>
      </c>
      <c r="M15" s="3">
        <v>8153707</v>
      </c>
      <c r="N15" s="3">
        <v>2176732</v>
      </c>
      <c r="O15" s="3">
        <f t="shared" si="3"/>
        <v>10330439</v>
      </c>
      <c r="P15" s="3">
        <v>53460889</v>
      </c>
    </row>
    <row r="16" spans="1:16">
      <c r="A16" s="2" t="s">
        <v>20</v>
      </c>
      <c r="B16" s="2" t="s">
        <v>24</v>
      </c>
      <c r="C16" s="3">
        <v>24786</v>
      </c>
      <c r="D16" s="3"/>
      <c r="E16" s="3"/>
      <c r="F16" s="3">
        <f t="shared" si="0"/>
        <v>24786</v>
      </c>
      <c r="G16" s="3">
        <v>3718</v>
      </c>
      <c r="H16" s="3"/>
      <c r="I16" s="3">
        <f t="shared" si="1"/>
        <v>3718</v>
      </c>
      <c r="J16" s="3">
        <v>8925</v>
      </c>
      <c r="K16" s="3"/>
      <c r="L16" s="3">
        <f t="shared" si="2"/>
        <v>8925</v>
      </c>
      <c r="M16" s="3">
        <v>1228617</v>
      </c>
      <c r="N16" s="3"/>
      <c r="O16" s="3">
        <f t="shared" si="3"/>
        <v>1228617</v>
      </c>
      <c r="P16" s="3"/>
    </row>
    <row r="17" spans="1:16">
      <c r="A17" s="2" t="s">
        <v>21</v>
      </c>
      <c r="B17" s="2" t="s">
        <v>24</v>
      </c>
      <c r="C17" s="3">
        <v>3888</v>
      </c>
      <c r="D17" s="3"/>
      <c r="E17" s="3"/>
      <c r="F17" s="3">
        <f t="shared" si="0"/>
        <v>3888</v>
      </c>
      <c r="G17" s="3">
        <v>130</v>
      </c>
      <c r="H17" s="3"/>
      <c r="I17" s="3">
        <f t="shared" si="1"/>
        <v>130</v>
      </c>
      <c r="J17" s="3">
        <v>335879</v>
      </c>
      <c r="K17" s="3"/>
      <c r="L17" s="3">
        <f t="shared" si="2"/>
        <v>335879</v>
      </c>
      <c r="M17" s="3"/>
      <c r="N17" s="3"/>
      <c r="O17" s="3">
        <f t="shared" si="3"/>
        <v>0</v>
      </c>
      <c r="P17" s="3">
        <v>17213160</v>
      </c>
    </row>
    <row r="18" spans="1:16">
      <c r="A18" s="2" t="s">
        <v>16</v>
      </c>
      <c r="B18" s="2" t="s">
        <v>25</v>
      </c>
      <c r="C18" s="3">
        <v>696957</v>
      </c>
      <c r="D18" s="3">
        <v>812618</v>
      </c>
      <c r="E18" s="3">
        <v>85819</v>
      </c>
      <c r="F18" s="3">
        <f t="shared" si="0"/>
        <v>1595394</v>
      </c>
      <c r="G18" s="3">
        <v>4441</v>
      </c>
      <c r="H18" s="3">
        <v>390</v>
      </c>
      <c r="I18" s="3">
        <f t="shared" si="1"/>
        <v>4831</v>
      </c>
      <c r="J18" s="3">
        <v>2227559</v>
      </c>
      <c r="K18" s="3">
        <v>724041</v>
      </c>
      <c r="L18" s="3">
        <f t="shared" si="2"/>
        <v>2951600</v>
      </c>
      <c r="M18" s="3">
        <v>34786748</v>
      </c>
      <c r="N18" s="3">
        <v>21954228</v>
      </c>
      <c r="O18" s="3">
        <f t="shared" si="3"/>
        <v>56740976</v>
      </c>
      <c r="P18" s="3">
        <v>55198847</v>
      </c>
    </row>
    <row r="19" spans="1:16">
      <c r="A19" s="2" t="s">
        <v>18</v>
      </c>
      <c r="B19" s="2" t="s">
        <v>25</v>
      </c>
      <c r="C19" s="3">
        <v>208108</v>
      </c>
      <c r="D19" s="3">
        <v>22474</v>
      </c>
      <c r="E19" s="3">
        <v>2819</v>
      </c>
      <c r="F19" s="3">
        <f t="shared" si="0"/>
        <v>233401</v>
      </c>
      <c r="G19" s="3">
        <v>2046</v>
      </c>
      <c r="H19" s="3">
        <v>1</v>
      </c>
      <c r="I19" s="3">
        <f t="shared" si="1"/>
        <v>2047</v>
      </c>
      <c r="J19" s="3">
        <v>4865311</v>
      </c>
      <c r="K19" s="3">
        <v>21832</v>
      </c>
      <c r="L19" s="3">
        <f t="shared" si="2"/>
        <v>4887143</v>
      </c>
      <c r="M19" s="3">
        <v>6064358</v>
      </c>
      <c r="N19" s="3">
        <v>233549</v>
      </c>
      <c r="O19" s="3">
        <f t="shared" si="3"/>
        <v>6297907</v>
      </c>
      <c r="P19" s="3"/>
    </row>
    <row r="20" spans="1:16">
      <c r="A20" s="2" t="s">
        <v>19</v>
      </c>
      <c r="B20" s="2" t="s">
        <v>25</v>
      </c>
      <c r="C20" s="3">
        <v>367788</v>
      </c>
      <c r="D20" s="3">
        <v>38004</v>
      </c>
      <c r="E20" s="3">
        <v>54856</v>
      </c>
      <c r="F20" s="3">
        <f t="shared" si="0"/>
        <v>460648</v>
      </c>
      <c r="G20" s="3">
        <v>4293</v>
      </c>
      <c r="H20" s="3">
        <v>408</v>
      </c>
      <c r="I20" s="3">
        <f t="shared" si="1"/>
        <v>4701</v>
      </c>
      <c r="J20" s="3">
        <v>10124147</v>
      </c>
      <c r="K20" s="3">
        <v>1141602</v>
      </c>
      <c r="L20" s="3">
        <f t="shared" si="2"/>
        <v>11265749</v>
      </c>
      <c r="M20" s="3">
        <v>10124147</v>
      </c>
      <c r="N20" s="3">
        <v>1154559</v>
      </c>
      <c r="O20" s="3">
        <f t="shared" si="3"/>
        <v>11278706</v>
      </c>
      <c r="P20" s="3">
        <v>111702252</v>
      </c>
    </row>
    <row r="21" spans="1:16">
      <c r="A21" s="2" t="s">
        <v>20</v>
      </c>
      <c r="B21" s="2" t="s">
        <v>25</v>
      </c>
      <c r="C21" s="3">
        <v>24442</v>
      </c>
      <c r="D21" s="3"/>
      <c r="E21" s="3"/>
      <c r="F21" s="3">
        <f t="shared" si="0"/>
        <v>24442</v>
      </c>
      <c r="G21" s="3">
        <v>183</v>
      </c>
      <c r="H21" s="3"/>
      <c r="I21" s="3">
        <f t="shared" si="1"/>
        <v>183</v>
      </c>
      <c r="J21" s="3">
        <v>9995</v>
      </c>
      <c r="K21" s="3"/>
      <c r="L21" s="3">
        <f t="shared" si="2"/>
        <v>9995</v>
      </c>
      <c r="M21" s="3">
        <v>1352375</v>
      </c>
      <c r="N21" s="3"/>
      <c r="O21" s="3">
        <f t="shared" si="3"/>
        <v>1352375</v>
      </c>
      <c r="P21" s="3"/>
    </row>
    <row r="22" spans="1:16">
      <c r="A22" s="2" t="s">
        <v>21</v>
      </c>
      <c r="B22" s="2" t="s">
        <v>25</v>
      </c>
      <c r="C22" s="3">
        <v>1482</v>
      </c>
      <c r="D22" s="3"/>
      <c r="E22" s="3"/>
      <c r="F22" s="3">
        <f t="shared" si="0"/>
        <v>1482</v>
      </c>
      <c r="G22" s="3">
        <v>58</v>
      </c>
      <c r="H22" s="3"/>
      <c r="I22" s="3">
        <f t="shared" si="1"/>
        <v>58</v>
      </c>
      <c r="J22" s="3">
        <v>45497</v>
      </c>
      <c r="K22" s="3"/>
      <c r="L22" s="3">
        <f t="shared" si="2"/>
        <v>45497</v>
      </c>
      <c r="M22" s="3"/>
      <c r="N22" s="3"/>
      <c r="O22" s="3">
        <f t="shared" si="3"/>
        <v>0</v>
      </c>
      <c r="P22" s="3">
        <v>1866180</v>
      </c>
    </row>
    <row r="23" spans="1:16">
      <c r="A23" s="2" t="s">
        <v>16</v>
      </c>
      <c r="B23" s="2" t="s">
        <v>26</v>
      </c>
      <c r="C23" s="3">
        <v>1180662</v>
      </c>
      <c r="D23" s="3">
        <v>1086704</v>
      </c>
      <c r="E23" s="3">
        <v>241937</v>
      </c>
      <c r="F23" s="3">
        <f t="shared" si="0"/>
        <v>2509303</v>
      </c>
      <c r="G23" s="3">
        <v>4794</v>
      </c>
      <c r="H23" s="3">
        <v>185</v>
      </c>
      <c r="I23" s="3">
        <f t="shared" si="1"/>
        <v>4979</v>
      </c>
      <c r="J23" s="3">
        <v>1489384</v>
      </c>
      <c r="K23" s="3">
        <v>1073244</v>
      </c>
      <c r="L23" s="3">
        <f t="shared" si="2"/>
        <v>2562628</v>
      </c>
      <c r="M23" s="3">
        <v>18576930</v>
      </c>
      <c r="N23" s="3">
        <v>2180945</v>
      </c>
      <c r="O23" s="3">
        <f t="shared" si="3"/>
        <v>20757875</v>
      </c>
      <c r="P23" s="3">
        <v>38281812</v>
      </c>
    </row>
    <row r="24" spans="1:16">
      <c r="A24" s="2" t="s">
        <v>18</v>
      </c>
      <c r="B24" s="2" t="s">
        <v>26</v>
      </c>
      <c r="C24" s="3">
        <v>133884</v>
      </c>
      <c r="D24" s="3">
        <v>126546</v>
      </c>
      <c r="E24" s="3">
        <v>27317</v>
      </c>
      <c r="F24" s="3">
        <f t="shared" si="0"/>
        <v>287747</v>
      </c>
      <c r="G24" s="3">
        <v>8114</v>
      </c>
      <c r="H24" s="3">
        <v>22</v>
      </c>
      <c r="I24" s="3">
        <f t="shared" si="1"/>
        <v>8136</v>
      </c>
      <c r="J24" s="3">
        <v>3659420</v>
      </c>
      <c r="K24" s="3">
        <v>122403</v>
      </c>
      <c r="L24" s="3">
        <f t="shared" si="2"/>
        <v>3781823</v>
      </c>
      <c r="M24" s="3">
        <v>4258863</v>
      </c>
      <c r="N24" s="3">
        <v>227438</v>
      </c>
      <c r="O24" s="3">
        <f t="shared" si="3"/>
        <v>4486301</v>
      </c>
      <c r="P24" s="3"/>
    </row>
    <row r="25" spans="1:16">
      <c r="A25" s="2" t="s">
        <v>19</v>
      </c>
      <c r="B25" s="2" t="s">
        <v>26</v>
      </c>
      <c r="C25" s="3">
        <v>157961</v>
      </c>
      <c r="D25" s="3">
        <v>47952</v>
      </c>
      <c r="E25" s="3">
        <v>30189</v>
      </c>
      <c r="F25" s="3">
        <f t="shared" si="0"/>
        <v>236102</v>
      </c>
      <c r="G25" s="3">
        <v>1248</v>
      </c>
      <c r="H25" s="3">
        <v>117</v>
      </c>
      <c r="I25" s="3">
        <f t="shared" si="1"/>
        <v>1365</v>
      </c>
      <c r="J25" s="3">
        <v>7683817</v>
      </c>
      <c r="K25" s="3">
        <v>1678831</v>
      </c>
      <c r="L25" s="3">
        <f t="shared" si="2"/>
        <v>9362648</v>
      </c>
      <c r="M25" s="3">
        <v>7683817</v>
      </c>
      <c r="N25" s="3">
        <v>1689848</v>
      </c>
      <c r="O25" s="3">
        <f t="shared" si="3"/>
        <v>9373665</v>
      </c>
      <c r="P25" s="3">
        <v>58209474</v>
      </c>
    </row>
    <row r="26" spans="1:16">
      <c r="A26" s="2" t="s">
        <v>20</v>
      </c>
      <c r="B26" s="2" t="s">
        <v>26</v>
      </c>
      <c r="C26" s="3">
        <v>23906</v>
      </c>
      <c r="D26" s="3"/>
      <c r="E26" s="3"/>
      <c r="F26" s="3">
        <f t="shared" si="0"/>
        <v>23906</v>
      </c>
      <c r="G26" s="3">
        <v>268</v>
      </c>
      <c r="H26" s="3"/>
      <c r="I26" s="3">
        <f t="shared" si="1"/>
        <v>268</v>
      </c>
      <c r="J26" s="3">
        <v>14785</v>
      </c>
      <c r="K26" s="3"/>
      <c r="L26" s="3">
        <f t="shared" si="2"/>
        <v>14785</v>
      </c>
      <c r="M26" s="3">
        <v>1265373</v>
      </c>
      <c r="N26" s="3"/>
      <c r="O26" s="3">
        <f t="shared" si="3"/>
        <v>1265373</v>
      </c>
      <c r="P26" s="3"/>
    </row>
    <row r="27" spans="1:16">
      <c r="A27" s="2" t="s">
        <v>21</v>
      </c>
      <c r="B27" s="2" t="s">
        <v>26</v>
      </c>
      <c r="C27" s="3">
        <v>747</v>
      </c>
      <c r="D27" s="3"/>
      <c r="E27" s="3"/>
      <c r="F27" s="3">
        <f t="shared" si="0"/>
        <v>747</v>
      </c>
      <c r="G27" s="3">
        <v>23</v>
      </c>
      <c r="H27" s="3"/>
      <c r="I27" s="3">
        <f t="shared" si="1"/>
        <v>23</v>
      </c>
      <c r="J27" s="3">
        <v>24390</v>
      </c>
      <c r="K27" s="3"/>
      <c r="L27" s="3">
        <f t="shared" si="2"/>
        <v>24390</v>
      </c>
      <c r="M27" s="3"/>
      <c r="N27" s="3"/>
      <c r="O27" s="3">
        <f t="shared" si="3"/>
        <v>0</v>
      </c>
      <c r="P27" s="3">
        <v>1436400</v>
      </c>
    </row>
    <row r="28" spans="1:16">
      <c r="A28" s="2" t="s">
        <v>16</v>
      </c>
      <c r="B28" s="2" t="s">
        <v>27</v>
      </c>
      <c r="C28" s="3">
        <v>356934</v>
      </c>
      <c r="D28" s="3">
        <v>142864</v>
      </c>
      <c r="E28" s="3">
        <v>0</v>
      </c>
      <c r="F28" s="3">
        <f t="shared" si="0"/>
        <v>499798</v>
      </c>
      <c r="G28" s="3">
        <v>4616</v>
      </c>
      <c r="H28" s="3">
        <v>1300</v>
      </c>
      <c r="I28" s="3">
        <f t="shared" si="1"/>
        <v>5916</v>
      </c>
      <c r="J28" s="3">
        <v>108418</v>
      </c>
      <c r="K28" s="3">
        <v>0</v>
      </c>
      <c r="L28" s="3">
        <f t="shared" si="2"/>
        <v>108418</v>
      </c>
      <c r="M28" s="3">
        <v>6937183</v>
      </c>
      <c r="N28" s="3">
        <v>6085025</v>
      </c>
      <c r="O28" s="3">
        <f t="shared" si="3"/>
        <v>13022208</v>
      </c>
      <c r="P28" s="3">
        <v>1947295</v>
      </c>
    </row>
    <row r="29" spans="1:16">
      <c r="A29" s="2" t="s">
        <v>18</v>
      </c>
      <c r="B29" s="2" t="s">
        <v>27</v>
      </c>
      <c r="C29" s="3">
        <v>292753</v>
      </c>
      <c r="D29" s="3">
        <v>1914</v>
      </c>
      <c r="E29" s="3">
        <v>0</v>
      </c>
      <c r="F29" s="3">
        <f t="shared" si="0"/>
        <v>294667</v>
      </c>
      <c r="G29" s="3">
        <v>2708</v>
      </c>
      <c r="H29" s="3">
        <v>4</v>
      </c>
      <c r="I29" s="3">
        <f t="shared" si="1"/>
        <v>2712</v>
      </c>
      <c r="J29" s="3">
        <v>7184213</v>
      </c>
      <c r="K29" s="3">
        <v>410</v>
      </c>
      <c r="L29" s="3">
        <f t="shared" si="2"/>
        <v>7184623</v>
      </c>
      <c r="M29" s="3">
        <v>7376300</v>
      </c>
      <c r="N29" s="3">
        <v>43922</v>
      </c>
      <c r="O29" s="3">
        <f t="shared" si="3"/>
        <v>7420222</v>
      </c>
      <c r="P29" s="3"/>
    </row>
    <row r="30" spans="1:16">
      <c r="A30" s="2" t="s">
        <v>19</v>
      </c>
      <c r="B30" s="2" t="s">
        <v>27</v>
      </c>
      <c r="C30" s="3">
        <v>384608</v>
      </c>
      <c r="D30" s="3">
        <v>0</v>
      </c>
      <c r="E30" s="3">
        <v>0</v>
      </c>
      <c r="F30" s="3">
        <f t="shared" si="0"/>
        <v>384608</v>
      </c>
      <c r="G30" s="3">
        <v>2496</v>
      </c>
      <c r="H30" s="3">
        <v>0</v>
      </c>
      <c r="I30" s="3">
        <f t="shared" si="1"/>
        <v>2496</v>
      </c>
      <c r="J30" s="3">
        <v>4871110</v>
      </c>
      <c r="K30" s="3">
        <v>0</v>
      </c>
      <c r="L30" s="3">
        <f t="shared" si="2"/>
        <v>4871110</v>
      </c>
      <c r="M30" s="3">
        <v>4871110</v>
      </c>
      <c r="N30" s="3">
        <v>0</v>
      </c>
      <c r="O30" s="3">
        <f t="shared" si="3"/>
        <v>4871110</v>
      </c>
      <c r="P30" s="3">
        <v>76053839</v>
      </c>
    </row>
    <row r="31" spans="1:16">
      <c r="A31" s="2" t="s">
        <v>20</v>
      </c>
      <c r="B31" s="2" t="s">
        <v>27</v>
      </c>
      <c r="C31" s="3">
        <v>14356</v>
      </c>
      <c r="D31" s="3"/>
      <c r="E31" s="3"/>
      <c r="F31" s="3">
        <f t="shared" si="0"/>
        <v>14356</v>
      </c>
      <c r="G31" s="3">
        <v>328</v>
      </c>
      <c r="H31" s="3"/>
      <c r="I31" s="3">
        <f t="shared" si="1"/>
        <v>328</v>
      </c>
      <c r="J31" s="3">
        <v>257</v>
      </c>
      <c r="K31" s="3"/>
      <c r="L31" s="3">
        <f t="shared" si="2"/>
        <v>257</v>
      </c>
      <c r="M31" s="3">
        <v>882493</v>
      </c>
      <c r="N31" s="3"/>
      <c r="O31" s="3">
        <f t="shared" si="3"/>
        <v>882493</v>
      </c>
      <c r="P31" s="3"/>
    </row>
    <row r="32" spans="1:16">
      <c r="A32" s="2" t="s">
        <v>21</v>
      </c>
      <c r="B32" s="2" t="s">
        <v>27</v>
      </c>
      <c r="C32" s="3">
        <v>1881</v>
      </c>
      <c r="D32" s="3"/>
      <c r="E32" s="3"/>
      <c r="F32" s="3">
        <f t="shared" si="0"/>
        <v>1881</v>
      </c>
      <c r="G32" s="3">
        <v>77</v>
      </c>
      <c r="H32" s="3"/>
      <c r="I32" s="3">
        <f t="shared" si="1"/>
        <v>77</v>
      </c>
      <c r="J32" s="3">
        <v>41627</v>
      </c>
      <c r="K32" s="3"/>
      <c r="L32" s="3">
        <f t="shared" si="2"/>
        <v>41627</v>
      </c>
      <c r="M32" s="3"/>
      <c r="N32" s="3"/>
      <c r="O32" s="3">
        <f t="shared" si="3"/>
        <v>0</v>
      </c>
      <c r="P32" s="3">
        <v>3180420</v>
      </c>
    </row>
    <row r="33" spans="1:16">
      <c r="A33" s="2" t="s">
        <v>16</v>
      </c>
      <c r="B33" s="2" t="s">
        <v>28</v>
      </c>
      <c r="C33" s="3">
        <v>295164</v>
      </c>
      <c r="D33" s="3">
        <v>730435</v>
      </c>
      <c r="E33" s="3">
        <v>61866</v>
      </c>
      <c r="F33" s="3">
        <f t="shared" si="0"/>
        <v>1087465</v>
      </c>
      <c r="G33" s="3">
        <v>4854</v>
      </c>
      <c r="H33" s="3">
        <v>566</v>
      </c>
      <c r="I33" s="3">
        <f t="shared" si="1"/>
        <v>5420</v>
      </c>
      <c r="J33" s="3">
        <v>372646</v>
      </c>
      <c r="K33" s="3">
        <v>591664</v>
      </c>
      <c r="L33" s="3">
        <f t="shared" si="2"/>
        <v>964310</v>
      </c>
      <c r="M33" s="3">
        <v>6874073</v>
      </c>
      <c r="N33" s="3">
        <v>6417478</v>
      </c>
      <c r="O33" s="3">
        <f t="shared" si="3"/>
        <v>13291551</v>
      </c>
      <c r="P33" s="3">
        <v>11773799</v>
      </c>
    </row>
    <row r="34" spans="1:16">
      <c r="A34" s="2" t="s">
        <v>18</v>
      </c>
      <c r="B34" s="2" t="s">
        <v>28</v>
      </c>
      <c r="C34" s="3">
        <v>582429</v>
      </c>
      <c r="D34" s="3">
        <v>89874</v>
      </c>
      <c r="E34" s="3">
        <v>10678</v>
      </c>
      <c r="F34" s="3">
        <f t="shared" si="0"/>
        <v>682981</v>
      </c>
      <c r="G34" s="3">
        <v>62352</v>
      </c>
      <c r="H34" s="3">
        <v>20</v>
      </c>
      <c r="I34" s="3">
        <f t="shared" si="1"/>
        <v>62372</v>
      </c>
      <c r="J34" s="3">
        <v>8198441</v>
      </c>
      <c r="K34" s="3">
        <v>85405</v>
      </c>
      <c r="L34" s="3">
        <f t="shared" si="2"/>
        <v>8283846</v>
      </c>
      <c r="M34" s="3">
        <v>9069091</v>
      </c>
      <c r="N34" s="3">
        <v>235829</v>
      </c>
      <c r="O34" s="3">
        <f t="shared" si="3"/>
        <v>9304920</v>
      </c>
      <c r="P34" s="3"/>
    </row>
    <row r="35" spans="1:16">
      <c r="A35" s="2" t="s">
        <v>19</v>
      </c>
      <c r="B35" s="2" t="s">
        <v>28</v>
      </c>
      <c r="C35" s="3">
        <v>594952</v>
      </c>
      <c r="D35" s="3">
        <v>21019</v>
      </c>
      <c r="E35" s="3">
        <v>13996</v>
      </c>
      <c r="F35" s="3">
        <f t="shared" si="0"/>
        <v>629967</v>
      </c>
      <c r="G35" s="3">
        <v>3841</v>
      </c>
      <c r="H35" s="3">
        <v>126</v>
      </c>
      <c r="I35" s="3">
        <f t="shared" si="1"/>
        <v>3967</v>
      </c>
      <c r="J35" s="3">
        <v>9514130</v>
      </c>
      <c r="K35" s="3">
        <v>412160</v>
      </c>
      <c r="L35" s="3">
        <f t="shared" si="2"/>
        <v>9926290</v>
      </c>
      <c r="M35" s="3">
        <v>9514130</v>
      </c>
      <c r="N35" s="3">
        <v>417917</v>
      </c>
      <c r="O35" s="3">
        <f t="shared" si="3"/>
        <v>9932047</v>
      </c>
      <c r="P35" s="3">
        <v>146932448</v>
      </c>
    </row>
    <row r="36" spans="1:16">
      <c r="A36" s="2" t="s">
        <v>20</v>
      </c>
      <c r="B36" s="2" t="s">
        <v>28</v>
      </c>
      <c r="C36" s="3">
        <v>18536</v>
      </c>
      <c r="D36" s="3"/>
      <c r="E36" s="3"/>
      <c r="F36" s="3">
        <f t="shared" si="0"/>
        <v>18536</v>
      </c>
      <c r="G36" s="3">
        <v>268</v>
      </c>
      <c r="H36" s="3"/>
      <c r="I36" s="3">
        <f t="shared" si="1"/>
        <v>268</v>
      </c>
      <c r="J36" s="3">
        <v>1328</v>
      </c>
      <c r="K36" s="3"/>
      <c r="L36" s="3">
        <f t="shared" si="2"/>
        <v>1328</v>
      </c>
      <c r="M36" s="3">
        <v>729802</v>
      </c>
      <c r="N36" s="3"/>
      <c r="O36" s="3">
        <f t="shared" si="3"/>
        <v>729802</v>
      </c>
      <c r="P36" s="3"/>
    </row>
    <row r="37" spans="1:16">
      <c r="A37" s="2" t="s">
        <v>21</v>
      </c>
      <c r="B37" s="2" t="s">
        <v>28</v>
      </c>
      <c r="C37" s="3">
        <v>1309</v>
      </c>
      <c r="D37" s="3"/>
      <c r="E37" s="3"/>
      <c r="F37" s="3">
        <f t="shared" si="0"/>
        <v>1309</v>
      </c>
      <c r="G37" s="3">
        <v>43</v>
      </c>
      <c r="H37" s="3"/>
      <c r="I37" s="3">
        <f t="shared" si="1"/>
        <v>43</v>
      </c>
      <c r="J37" s="3">
        <v>66823</v>
      </c>
      <c r="K37" s="3"/>
      <c r="L37" s="3">
        <f t="shared" si="2"/>
        <v>66823</v>
      </c>
      <c r="M37" s="3"/>
      <c r="N37" s="3"/>
      <c r="O37" s="3">
        <f t="shared" si="3"/>
        <v>0</v>
      </c>
      <c r="P37" s="3">
        <v>3487980</v>
      </c>
    </row>
    <row r="38" spans="1:16">
      <c r="A38" s="2" t="s">
        <v>16</v>
      </c>
      <c r="B38" s="2" t="s">
        <v>29</v>
      </c>
      <c r="C38" s="3">
        <v>558290</v>
      </c>
      <c r="D38" s="3">
        <v>1239851</v>
      </c>
      <c r="E38" s="3">
        <v>143550</v>
      </c>
      <c r="F38" s="3">
        <f t="shared" si="0"/>
        <v>1941691</v>
      </c>
      <c r="G38" s="3">
        <v>6487</v>
      </c>
      <c r="H38" s="3">
        <v>1730</v>
      </c>
      <c r="I38" s="3">
        <f t="shared" si="1"/>
        <v>8217</v>
      </c>
      <c r="J38" s="3">
        <v>1115993</v>
      </c>
      <c r="K38" s="3">
        <v>1067645</v>
      </c>
      <c r="L38" s="3">
        <f t="shared" si="2"/>
        <v>2183638</v>
      </c>
      <c r="M38" s="3">
        <v>29264349</v>
      </c>
      <c r="N38" s="3">
        <v>7830483</v>
      </c>
      <c r="O38" s="3">
        <f t="shared" si="3"/>
        <v>37094832</v>
      </c>
      <c r="P38" s="3">
        <v>33743438</v>
      </c>
    </row>
    <row r="39" spans="1:16">
      <c r="A39" s="2" t="s">
        <v>18</v>
      </c>
      <c r="B39" s="2" t="s">
        <v>29</v>
      </c>
      <c r="C39" s="3">
        <v>339929</v>
      </c>
      <c r="D39" s="3">
        <v>46256</v>
      </c>
      <c r="E39" s="3">
        <v>3910</v>
      </c>
      <c r="F39" s="3">
        <f t="shared" si="0"/>
        <v>390095</v>
      </c>
      <c r="G39" s="3">
        <v>26717</v>
      </c>
      <c r="H39" s="3">
        <v>49</v>
      </c>
      <c r="I39" s="3">
        <f t="shared" si="1"/>
        <v>26766</v>
      </c>
      <c r="J39" s="3">
        <v>7076932</v>
      </c>
      <c r="K39" s="3">
        <v>35462</v>
      </c>
      <c r="L39" s="3">
        <f t="shared" si="2"/>
        <v>7112394</v>
      </c>
      <c r="M39" s="3">
        <v>8230276</v>
      </c>
      <c r="N39" s="3">
        <v>167819</v>
      </c>
      <c r="O39" s="3">
        <f t="shared" si="3"/>
        <v>8398095</v>
      </c>
      <c r="P39" s="3"/>
    </row>
    <row r="40" spans="1:16">
      <c r="A40" s="2" t="s">
        <v>19</v>
      </c>
      <c r="B40" s="2" t="s">
        <v>29</v>
      </c>
      <c r="C40" s="3">
        <v>387424</v>
      </c>
      <c r="D40" s="3">
        <v>29173</v>
      </c>
      <c r="E40" s="3">
        <v>31665</v>
      </c>
      <c r="F40" s="3">
        <f t="shared" si="0"/>
        <v>448262</v>
      </c>
      <c r="G40" s="3">
        <v>2779</v>
      </c>
      <c r="H40" s="3">
        <v>100</v>
      </c>
      <c r="I40" s="3">
        <f t="shared" si="1"/>
        <v>2879</v>
      </c>
      <c r="J40" s="3">
        <v>9200081</v>
      </c>
      <c r="K40" s="3">
        <v>393263</v>
      </c>
      <c r="L40" s="3">
        <f t="shared" si="2"/>
        <v>9593344</v>
      </c>
      <c r="M40" s="3">
        <v>9200081</v>
      </c>
      <c r="N40" s="3">
        <v>399235</v>
      </c>
      <c r="O40" s="3">
        <f t="shared" si="3"/>
        <v>9599316</v>
      </c>
      <c r="P40" s="3">
        <v>79558758</v>
      </c>
    </row>
    <row r="41" spans="1:16">
      <c r="A41" s="2" t="s">
        <v>20</v>
      </c>
      <c r="B41" s="2" t="s">
        <v>29</v>
      </c>
      <c r="C41" s="3">
        <v>34753</v>
      </c>
      <c r="D41" s="3"/>
      <c r="E41" s="3"/>
      <c r="F41" s="3">
        <f t="shared" si="0"/>
        <v>34753</v>
      </c>
      <c r="G41" s="3">
        <v>524</v>
      </c>
      <c r="H41" s="3"/>
      <c r="I41" s="3">
        <f t="shared" si="1"/>
        <v>524</v>
      </c>
      <c r="J41" s="3">
        <v>3137</v>
      </c>
      <c r="K41" s="3"/>
      <c r="L41" s="3">
        <f t="shared" si="2"/>
        <v>3137</v>
      </c>
      <c r="M41" s="3">
        <v>895810</v>
      </c>
      <c r="N41" s="3"/>
      <c r="O41" s="3">
        <f t="shared" si="3"/>
        <v>895810</v>
      </c>
      <c r="P41" s="3"/>
    </row>
    <row r="42" spans="1:16">
      <c r="A42" s="2" t="s">
        <v>21</v>
      </c>
      <c r="B42" s="2" t="s">
        <v>29</v>
      </c>
      <c r="C42" s="3">
        <v>766</v>
      </c>
      <c r="D42" s="3"/>
      <c r="E42" s="3"/>
      <c r="F42" s="3">
        <f t="shared" si="0"/>
        <v>766</v>
      </c>
      <c r="G42" s="3">
        <v>24</v>
      </c>
      <c r="H42" s="3"/>
      <c r="I42" s="3">
        <f t="shared" si="1"/>
        <v>24</v>
      </c>
      <c r="J42" s="3">
        <v>215262</v>
      </c>
      <c r="K42" s="3"/>
      <c r="L42" s="3">
        <f t="shared" si="2"/>
        <v>215262</v>
      </c>
      <c r="M42" s="3"/>
      <c r="N42" s="3"/>
      <c r="O42" s="3">
        <f t="shared" si="3"/>
        <v>0</v>
      </c>
      <c r="P42" s="3">
        <v>3652860</v>
      </c>
    </row>
    <row r="43" spans="1:16">
      <c r="A43" s="2" t="s">
        <v>16</v>
      </c>
      <c r="B43" s="2" t="s">
        <v>30</v>
      </c>
      <c r="C43" s="3">
        <v>318761</v>
      </c>
      <c r="D43" s="3">
        <v>53224</v>
      </c>
      <c r="E43" s="3">
        <v>11368</v>
      </c>
      <c r="F43" s="3">
        <f t="shared" si="0"/>
        <v>383353</v>
      </c>
      <c r="G43" s="3">
        <v>4495</v>
      </c>
      <c r="H43" s="3">
        <v>3</v>
      </c>
      <c r="I43" s="3">
        <f t="shared" si="1"/>
        <v>4498</v>
      </c>
      <c r="J43" s="3">
        <v>1014015</v>
      </c>
      <c r="K43" s="3">
        <v>53153</v>
      </c>
      <c r="L43" s="3">
        <f t="shared" si="2"/>
        <v>1067168</v>
      </c>
      <c r="M43" s="3">
        <v>7053870</v>
      </c>
      <c r="N43" s="3">
        <v>70165</v>
      </c>
      <c r="O43" s="3">
        <f t="shared" si="3"/>
        <v>7124035</v>
      </c>
      <c r="P43" s="3">
        <v>41858681</v>
      </c>
    </row>
    <row r="44" spans="1:16">
      <c r="A44" s="2" t="s">
        <v>18</v>
      </c>
      <c r="B44" s="2" t="s">
        <v>30</v>
      </c>
      <c r="C44" s="3">
        <v>295801</v>
      </c>
      <c r="D44" s="3">
        <v>4247</v>
      </c>
      <c r="E44" s="3">
        <v>66</v>
      </c>
      <c r="F44" s="3">
        <f t="shared" si="0"/>
        <v>300114</v>
      </c>
      <c r="G44" s="3">
        <v>43002</v>
      </c>
      <c r="H44" s="3"/>
      <c r="I44" s="3">
        <f t="shared" si="1"/>
        <v>43002</v>
      </c>
      <c r="J44" s="3">
        <v>6864415</v>
      </c>
      <c r="K44" s="3">
        <v>4212</v>
      </c>
      <c r="L44" s="3">
        <f t="shared" si="2"/>
        <v>6868627</v>
      </c>
      <c r="M44" s="3">
        <v>7555335</v>
      </c>
      <c r="N44" s="3">
        <v>7405</v>
      </c>
      <c r="O44" s="3">
        <f t="shared" si="3"/>
        <v>7562740</v>
      </c>
      <c r="P44" s="3"/>
    </row>
    <row r="45" spans="1:16">
      <c r="A45" s="2" t="s">
        <v>19</v>
      </c>
      <c r="B45" s="2" t="s">
        <v>30</v>
      </c>
      <c r="C45" s="3">
        <v>274628</v>
      </c>
      <c r="D45" s="3"/>
      <c r="E45" s="3">
        <v>0</v>
      </c>
      <c r="F45" s="3">
        <f t="shared" si="0"/>
        <v>274628</v>
      </c>
      <c r="G45" s="3">
        <v>4685</v>
      </c>
      <c r="H45" s="3"/>
      <c r="I45" s="3">
        <f t="shared" si="1"/>
        <v>4685</v>
      </c>
      <c r="J45" s="3">
        <v>9005131</v>
      </c>
      <c r="K45" s="3">
        <v>0</v>
      </c>
      <c r="L45" s="3">
        <f t="shared" si="2"/>
        <v>9005131</v>
      </c>
      <c r="M45" s="3">
        <v>9005131</v>
      </c>
      <c r="N45" s="3">
        <v>0</v>
      </c>
      <c r="O45" s="3">
        <f t="shared" si="3"/>
        <v>9005131</v>
      </c>
      <c r="P45" s="3">
        <v>81679746</v>
      </c>
    </row>
    <row r="46" spans="1:16">
      <c r="A46" s="2" t="s">
        <v>20</v>
      </c>
      <c r="B46" s="2" t="s">
        <v>30</v>
      </c>
      <c r="C46" s="3">
        <v>20097</v>
      </c>
      <c r="D46" s="3"/>
      <c r="E46" s="3"/>
      <c r="F46" s="3">
        <f t="shared" si="0"/>
        <v>20097</v>
      </c>
      <c r="G46" s="3">
        <v>408</v>
      </c>
      <c r="H46" s="3"/>
      <c r="I46" s="3">
        <f t="shared" si="1"/>
        <v>408</v>
      </c>
      <c r="J46" s="3">
        <v>32194</v>
      </c>
      <c r="K46" s="3"/>
      <c r="L46" s="3">
        <f t="shared" si="2"/>
        <v>32194</v>
      </c>
      <c r="M46" s="3">
        <v>867360</v>
      </c>
      <c r="N46" s="3"/>
      <c r="O46" s="3">
        <f t="shared" si="3"/>
        <v>867360</v>
      </c>
      <c r="P46" s="3"/>
    </row>
    <row r="47" spans="1:16">
      <c r="A47" s="2" t="s">
        <v>21</v>
      </c>
      <c r="B47" s="2" t="s">
        <v>30</v>
      </c>
      <c r="C47" s="3">
        <v>5570</v>
      </c>
      <c r="D47" s="3"/>
      <c r="E47" s="3"/>
      <c r="F47" s="3">
        <f t="shared" si="0"/>
        <v>5570</v>
      </c>
      <c r="G47" s="3">
        <v>100</v>
      </c>
      <c r="H47" s="3"/>
      <c r="I47" s="3">
        <f t="shared" si="1"/>
        <v>100</v>
      </c>
      <c r="J47" s="3">
        <v>138574</v>
      </c>
      <c r="K47" s="3"/>
      <c r="L47" s="3">
        <f t="shared" si="2"/>
        <v>138574</v>
      </c>
      <c r="M47" s="3"/>
      <c r="N47" s="3"/>
      <c r="O47" s="3">
        <f t="shared" si="3"/>
        <v>0</v>
      </c>
      <c r="P47" s="3">
        <v>4318080</v>
      </c>
    </row>
    <row r="48" spans="1:16">
      <c r="A48" s="2" t="s">
        <v>16</v>
      </c>
      <c r="B48" s="2" t="s">
        <v>31</v>
      </c>
      <c r="C48" s="3">
        <v>881160</v>
      </c>
      <c r="D48" s="3">
        <v>1156294</v>
      </c>
      <c r="E48" s="3">
        <v>432795</v>
      </c>
      <c r="F48" s="3">
        <f t="shared" si="0"/>
        <v>2470249</v>
      </c>
      <c r="G48" s="3">
        <v>11369</v>
      </c>
      <c r="H48" s="3">
        <v>6</v>
      </c>
      <c r="I48" s="3">
        <f t="shared" si="1"/>
        <v>11375</v>
      </c>
      <c r="J48" s="3">
        <v>176759</v>
      </c>
      <c r="K48" s="3">
        <v>1155183</v>
      </c>
      <c r="L48" s="3">
        <f t="shared" si="2"/>
        <v>1331942</v>
      </c>
      <c r="M48" s="3">
        <v>13009386</v>
      </c>
      <c r="N48" s="3">
        <v>1320641</v>
      </c>
      <c r="O48" s="3">
        <f t="shared" si="3"/>
        <v>14330027</v>
      </c>
      <c r="P48" s="3">
        <v>3919467</v>
      </c>
    </row>
    <row r="49" spans="1:16">
      <c r="A49" s="2" t="s">
        <v>18</v>
      </c>
      <c r="B49" s="2" t="s">
        <v>31</v>
      </c>
      <c r="C49" s="3">
        <v>184422</v>
      </c>
      <c r="D49" s="3">
        <v>4792</v>
      </c>
      <c r="E49" s="3">
        <v>183</v>
      </c>
      <c r="F49" s="3">
        <f t="shared" si="0"/>
        <v>189397</v>
      </c>
      <c r="G49" s="3">
        <v>7005</v>
      </c>
      <c r="H49" s="3"/>
      <c r="I49" s="3">
        <f t="shared" si="1"/>
        <v>7005</v>
      </c>
      <c r="J49" s="3">
        <v>5105820</v>
      </c>
      <c r="K49" s="3">
        <v>4755</v>
      </c>
      <c r="L49" s="3">
        <f t="shared" si="2"/>
        <v>5110575</v>
      </c>
      <c r="M49" s="3">
        <v>7194704</v>
      </c>
      <c r="N49" s="3">
        <v>6979</v>
      </c>
      <c r="O49" s="3">
        <f t="shared" si="3"/>
        <v>7201683</v>
      </c>
      <c r="P49" s="3"/>
    </row>
    <row r="50" spans="1:16">
      <c r="A50" s="2" t="s">
        <v>19</v>
      </c>
      <c r="B50" s="2" t="s">
        <v>31</v>
      </c>
      <c r="C50" s="3">
        <v>195449</v>
      </c>
      <c r="D50" s="3">
        <v>79169</v>
      </c>
      <c r="E50" s="3">
        <v>139954</v>
      </c>
      <c r="F50" s="3">
        <f t="shared" si="0"/>
        <v>414572</v>
      </c>
      <c r="G50" s="3">
        <v>6063</v>
      </c>
      <c r="H50" s="3">
        <v>203</v>
      </c>
      <c r="I50" s="3">
        <f t="shared" si="1"/>
        <v>6266</v>
      </c>
      <c r="J50" s="3">
        <v>9025528</v>
      </c>
      <c r="K50" s="3">
        <v>3410227</v>
      </c>
      <c r="L50" s="3">
        <f t="shared" si="2"/>
        <v>12435755</v>
      </c>
      <c r="M50" s="3">
        <v>9025528</v>
      </c>
      <c r="N50" s="3">
        <v>3433366</v>
      </c>
      <c r="O50" s="3">
        <f t="shared" si="3"/>
        <v>12458894</v>
      </c>
      <c r="P50" s="3">
        <v>85558982</v>
      </c>
    </row>
    <row r="51" spans="1:16">
      <c r="A51" s="2" t="s">
        <v>20</v>
      </c>
      <c r="B51" s="2" t="s">
        <v>31</v>
      </c>
      <c r="C51" s="3">
        <v>29022</v>
      </c>
      <c r="D51" s="3"/>
      <c r="E51" s="3"/>
      <c r="F51" s="3">
        <f t="shared" si="0"/>
        <v>29022</v>
      </c>
      <c r="G51" s="3">
        <v>239</v>
      </c>
      <c r="H51" s="3"/>
      <c r="I51" s="3">
        <f t="shared" si="1"/>
        <v>239</v>
      </c>
      <c r="J51" s="3">
        <v>52719</v>
      </c>
      <c r="K51" s="3"/>
      <c r="L51" s="3">
        <f t="shared" si="2"/>
        <v>52719</v>
      </c>
      <c r="M51" s="3">
        <v>1042923</v>
      </c>
      <c r="N51" s="3"/>
      <c r="O51" s="3">
        <f t="shared" si="3"/>
        <v>1042923</v>
      </c>
      <c r="P51" s="3"/>
    </row>
    <row r="52" spans="1:16">
      <c r="A52" s="2" t="s">
        <v>21</v>
      </c>
      <c r="B52" s="2" t="s">
        <v>31</v>
      </c>
      <c r="C52" s="3">
        <v>728</v>
      </c>
      <c r="D52" s="3"/>
      <c r="E52" s="3"/>
      <c r="F52" s="3">
        <f t="shared" si="0"/>
        <v>728</v>
      </c>
      <c r="G52" s="3">
        <v>29</v>
      </c>
      <c r="H52" s="3"/>
      <c r="I52" s="3">
        <f t="shared" si="1"/>
        <v>29</v>
      </c>
      <c r="J52" s="3">
        <v>31658</v>
      </c>
      <c r="K52" s="3"/>
      <c r="L52" s="3">
        <f t="shared" si="2"/>
        <v>31658</v>
      </c>
      <c r="M52" s="3"/>
      <c r="N52" s="3"/>
      <c r="O52" s="3">
        <f t="shared" si="3"/>
        <v>0</v>
      </c>
      <c r="P52" s="3">
        <v>1838795.2749999959</v>
      </c>
    </row>
    <row r="53" spans="1:16">
      <c r="A53" s="2" t="s">
        <v>16</v>
      </c>
      <c r="B53" s="2" t="s">
        <v>32</v>
      </c>
      <c r="C53" s="3">
        <v>988559</v>
      </c>
      <c r="D53" s="3">
        <v>1140612</v>
      </c>
      <c r="E53" s="3">
        <v>47360</v>
      </c>
      <c r="F53" s="3">
        <f t="shared" si="0"/>
        <v>2176531</v>
      </c>
      <c r="G53" s="3">
        <v>3825</v>
      </c>
      <c r="H53" s="3">
        <v>697</v>
      </c>
      <c r="I53" s="3">
        <f t="shared" si="1"/>
        <v>4522</v>
      </c>
      <c r="J53" s="3">
        <v>1292033</v>
      </c>
      <c r="K53" s="3">
        <v>466688</v>
      </c>
      <c r="L53" s="3">
        <f t="shared" si="2"/>
        <v>1758721</v>
      </c>
      <c r="M53" s="3">
        <v>11777610</v>
      </c>
      <c r="N53" s="3">
        <v>7360375</v>
      </c>
      <c r="O53" s="3">
        <f t="shared" si="3"/>
        <v>19137985</v>
      </c>
      <c r="P53" s="3">
        <v>32936156</v>
      </c>
    </row>
    <row r="54" spans="1:16">
      <c r="A54" s="2" t="s">
        <v>18</v>
      </c>
      <c r="B54" s="2" t="s">
        <v>32</v>
      </c>
      <c r="C54" s="3">
        <v>291092</v>
      </c>
      <c r="D54" s="3">
        <v>1243227</v>
      </c>
      <c r="E54" s="3">
        <v>672162</v>
      </c>
      <c r="F54" s="3">
        <f t="shared" si="0"/>
        <v>2206481</v>
      </c>
      <c r="G54" s="3">
        <v>4140</v>
      </c>
      <c r="H54" s="3">
        <v>144</v>
      </c>
      <c r="I54" s="3">
        <f t="shared" si="1"/>
        <v>4284</v>
      </c>
      <c r="J54" s="3">
        <v>6648409</v>
      </c>
      <c r="K54" s="3">
        <v>1166760</v>
      </c>
      <c r="L54" s="3">
        <f t="shared" si="2"/>
        <v>7815169</v>
      </c>
      <c r="M54" s="3">
        <v>7422007</v>
      </c>
      <c r="N54" s="3">
        <v>1918633</v>
      </c>
      <c r="O54" s="3">
        <f t="shared" si="3"/>
        <v>9340640</v>
      </c>
      <c r="P54" s="3"/>
    </row>
    <row r="55" spans="1:16">
      <c r="A55" s="2" t="s">
        <v>19</v>
      </c>
      <c r="B55" s="2" t="s">
        <v>32</v>
      </c>
      <c r="C55" s="3">
        <v>399443</v>
      </c>
      <c r="D55" s="3">
        <v>23808</v>
      </c>
      <c r="E55" s="3">
        <v>69535</v>
      </c>
      <c r="F55" s="3">
        <f t="shared" si="0"/>
        <v>492786</v>
      </c>
      <c r="G55" s="3">
        <v>70696</v>
      </c>
      <c r="H55" s="3">
        <v>43</v>
      </c>
      <c r="I55" s="3">
        <f t="shared" si="1"/>
        <v>70739</v>
      </c>
      <c r="J55" s="3">
        <v>22796598</v>
      </c>
      <c r="K55" s="3">
        <v>459254</v>
      </c>
      <c r="L55" s="3">
        <f t="shared" si="2"/>
        <v>23255852</v>
      </c>
      <c r="M55" s="3">
        <v>22796598</v>
      </c>
      <c r="N55" s="3">
        <v>465076</v>
      </c>
      <c r="O55" s="3">
        <f t="shared" si="3"/>
        <v>23261674</v>
      </c>
      <c r="P55" s="3">
        <v>114148523</v>
      </c>
    </row>
    <row r="56" spans="1:16">
      <c r="A56" s="2" t="s">
        <v>20</v>
      </c>
      <c r="B56" s="2" t="s">
        <v>32</v>
      </c>
      <c r="C56" s="3">
        <v>33896</v>
      </c>
      <c r="D56" s="3"/>
      <c r="E56" s="3"/>
      <c r="F56" s="3">
        <f t="shared" si="0"/>
        <v>33896</v>
      </c>
      <c r="G56" s="3">
        <v>626</v>
      </c>
      <c r="H56" s="3"/>
      <c r="I56" s="3">
        <f t="shared" si="1"/>
        <v>626</v>
      </c>
      <c r="J56" s="3">
        <v>57055</v>
      </c>
      <c r="K56" s="3"/>
      <c r="L56" s="3">
        <f t="shared" si="2"/>
        <v>57055</v>
      </c>
      <c r="M56" s="3">
        <v>893640</v>
      </c>
      <c r="N56" s="3"/>
      <c r="O56" s="3">
        <f t="shared" si="3"/>
        <v>893640</v>
      </c>
      <c r="P56" s="3"/>
    </row>
    <row r="57" spans="1:16">
      <c r="A57" s="2" t="s">
        <v>21</v>
      </c>
      <c r="B57" s="2" t="s">
        <v>32</v>
      </c>
      <c r="C57" s="3">
        <v>1742</v>
      </c>
      <c r="D57" s="3"/>
      <c r="E57" s="3"/>
      <c r="F57" s="3">
        <f t="shared" si="0"/>
        <v>1742</v>
      </c>
      <c r="G57" s="3">
        <v>52</v>
      </c>
      <c r="H57" s="3"/>
      <c r="I57" s="3">
        <f t="shared" si="1"/>
        <v>52</v>
      </c>
      <c r="J57" s="3">
        <v>45656</v>
      </c>
      <c r="K57" s="3"/>
      <c r="L57" s="3">
        <f t="shared" si="2"/>
        <v>45656</v>
      </c>
      <c r="M57" s="3"/>
      <c r="N57" s="3"/>
      <c r="O57" s="3">
        <f t="shared" si="3"/>
        <v>0</v>
      </c>
      <c r="P57" s="3">
        <v>6060878.7250000024</v>
      </c>
    </row>
    <row r="58" spans="1:16">
      <c r="A58" s="2" t="s">
        <v>16</v>
      </c>
      <c r="B58" s="2" t="s">
        <v>33</v>
      </c>
      <c r="C58" s="3">
        <v>665792</v>
      </c>
      <c r="D58" s="3">
        <v>1749882</v>
      </c>
      <c r="E58" s="3">
        <v>185984</v>
      </c>
      <c r="F58" s="3">
        <f t="shared" si="0"/>
        <v>2601658</v>
      </c>
      <c r="G58" s="3">
        <v>7633</v>
      </c>
      <c r="H58" s="3">
        <v>1970</v>
      </c>
      <c r="I58" s="3">
        <f t="shared" si="1"/>
        <v>9603</v>
      </c>
      <c r="J58" s="3">
        <v>2923121</v>
      </c>
      <c r="K58" s="3">
        <v>1488230</v>
      </c>
      <c r="L58" s="3">
        <f t="shared" si="2"/>
        <v>4411351</v>
      </c>
      <c r="M58" s="3">
        <v>16868041</v>
      </c>
      <c r="N58" s="3">
        <v>9382701</v>
      </c>
      <c r="O58" s="3">
        <f t="shared" si="3"/>
        <v>26250742</v>
      </c>
      <c r="P58" s="3">
        <v>112524456</v>
      </c>
    </row>
    <row r="59" spans="1:16">
      <c r="A59" s="2" t="s">
        <v>18</v>
      </c>
      <c r="B59" s="2" t="s">
        <v>33</v>
      </c>
      <c r="C59" s="3">
        <v>241450</v>
      </c>
      <c r="D59" s="3">
        <v>731999</v>
      </c>
      <c r="E59" s="3">
        <v>208162</v>
      </c>
      <c r="F59" s="3">
        <f t="shared" si="0"/>
        <v>1181611</v>
      </c>
      <c r="G59" s="3">
        <v>51677</v>
      </c>
      <c r="H59" s="3">
        <v>68</v>
      </c>
      <c r="I59" s="3">
        <f t="shared" si="1"/>
        <v>51745</v>
      </c>
      <c r="J59" s="3">
        <v>2982061</v>
      </c>
      <c r="K59" s="3">
        <v>678786</v>
      </c>
      <c r="L59" s="3">
        <f t="shared" si="2"/>
        <v>3660847</v>
      </c>
      <c r="M59" s="3">
        <v>6288051</v>
      </c>
      <c r="N59" s="3">
        <v>947146</v>
      </c>
      <c r="O59" s="3">
        <f t="shared" si="3"/>
        <v>7235197</v>
      </c>
      <c r="P59" s="3"/>
    </row>
    <row r="60" spans="1:16">
      <c r="A60" s="2" t="s">
        <v>19</v>
      </c>
      <c r="B60" s="2" t="s">
        <v>33</v>
      </c>
      <c r="C60" s="3">
        <v>230884</v>
      </c>
      <c r="D60" s="3">
        <v>12802</v>
      </c>
      <c r="E60" s="3">
        <v>6512</v>
      </c>
      <c r="F60" s="3">
        <f t="shared" si="0"/>
        <v>250198</v>
      </c>
      <c r="G60" s="3">
        <v>1761</v>
      </c>
      <c r="H60" s="3">
        <v>9</v>
      </c>
      <c r="I60" s="3">
        <f t="shared" si="1"/>
        <v>1770</v>
      </c>
      <c r="J60" s="3">
        <v>8459105</v>
      </c>
      <c r="K60" s="3">
        <v>171441</v>
      </c>
      <c r="L60" s="3">
        <f t="shared" si="2"/>
        <v>8630546</v>
      </c>
      <c r="M60" s="3">
        <v>8459105</v>
      </c>
      <c r="N60" s="3">
        <v>174507</v>
      </c>
      <c r="O60" s="3">
        <f t="shared" si="3"/>
        <v>8633612</v>
      </c>
      <c r="P60" s="3">
        <v>69927062</v>
      </c>
    </row>
    <row r="61" spans="1:16">
      <c r="A61" s="2" t="s">
        <v>20</v>
      </c>
      <c r="B61" s="2" t="s">
        <v>33</v>
      </c>
      <c r="C61" s="3">
        <v>19887</v>
      </c>
      <c r="D61" s="3"/>
      <c r="E61" s="3"/>
      <c r="F61" s="3">
        <f t="shared" si="0"/>
        <v>19887</v>
      </c>
      <c r="G61" s="3">
        <v>463</v>
      </c>
      <c r="H61" s="3"/>
      <c r="I61" s="3">
        <f t="shared" si="1"/>
        <v>463</v>
      </c>
      <c r="J61" s="3">
        <v>51241</v>
      </c>
      <c r="K61" s="3"/>
      <c r="L61" s="3">
        <f t="shared" si="2"/>
        <v>51241</v>
      </c>
      <c r="M61" s="3">
        <v>820494</v>
      </c>
      <c r="N61" s="3"/>
      <c r="O61" s="3">
        <f t="shared" si="3"/>
        <v>820494</v>
      </c>
      <c r="P61" s="3"/>
    </row>
    <row r="62" spans="1:16">
      <c r="A62" s="2" t="s">
        <v>21</v>
      </c>
      <c r="B62" s="2" t="s">
        <v>33</v>
      </c>
      <c r="C62" s="3">
        <v>1403</v>
      </c>
      <c r="D62" s="3"/>
      <c r="E62" s="3"/>
      <c r="F62" s="3">
        <f t="shared" si="0"/>
        <v>1403</v>
      </c>
      <c r="G62" s="3">
        <v>66</v>
      </c>
      <c r="H62" s="3"/>
      <c r="I62" s="3">
        <f t="shared" si="1"/>
        <v>66</v>
      </c>
      <c r="J62" s="3">
        <v>31011</v>
      </c>
      <c r="K62" s="3"/>
      <c r="L62" s="3">
        <f t="shared" si="2"/>
        <v>31011</v>
      </c>
      <c r="M62" s="3"/>
      <c r="N62" s="3"/>
      <c r="O62" s="3">
        <f t="shared" si="3"/>
        <v>0</v>
      </c>
      <c r="P62" s="3">
        <v>2420239.2670000023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6C2D-F06D-4AA5-A9C0-F614C4540683}">
  <dimension ref="A1:G14"/>
  <sheetViews>
    <sheetView workbookViewId="0">
      <selection activeCell="J13" sqref="J13"/>
    </sheetView>
  </sheetViews>
  <sheetFormatPr defaultRowHeight="15.75"/>
  <sheetData>
    <row r="1" spans="1:7" ht="28.5">
      <c r="A1" s="20">
        <v>2024</v>
      </c>
      <c r="B1" s="20"/>
      <c r="C1" s="20"/>
      <c r="D1" s="20"/>
      <c r="E1" s="20"/>
      <c r="F1" s="20"/>
      <c r="G1" s="20"/>
    </row>
    <row r="2" spans="1:7">
      <c r="A2" s="2" t="s">
        <v>0</v>
      </c>
      <c r="B2" s="2" t="s">
        <v>1</v>
      </c>
      <c r="C2" s="2" t="s">
        <v>34</v>
      </c>
      <c r="D2" s="2" t="s">
        <v>2</v>
      </c>
      <c r="E2" s="2" t="s">
        <v>6</v>
      </c>
      <c r="F2" s="2" t="s">
        <v>9</v>
      </c>
      <c r="G2" s="2" t="s">
        <v>15</v>
      </c>
    </row>
    <row r="3" spans="1:7">
      <c r="A3" s="2" t="s">
        <v>21</v>
      </c>
      <c r="B3" s="2" t="s">
        <v>17</v>
      </c>
      <c r="C3" s="2" t="s">
        <v>35</v>
      </c>
      <c r="D3" s="3">
        <v>641</v>
      </c>
      <c r="E3" s="3">
        <v>12</v>
      </c>
      <c r="F3" s="3">
        <v>18355</v>
      </c>
      <c r="G3" s="3">
        <v>2074320</v>
      </c>
    </row>
    <row r="4" spans="1:7">
      <c r="A4" s="2" t="s">
        <v>21</v>
      </c>
      <c r="B4" s="2" t="s">
        <v>23</v>
      </c>
      <c r="C4" s="2" t="s">
        <v>35</v>
      </c>
      <c r="D4" s="3">
        <v>156</v>
      </c>
      <c r="E4" s="3">
        <v>16</v>
      </c>
      <c r="F4" s="3">
        <v>3705</v>
      </c>
      <c r="G4" s="3">
        <v>416160</v>
      </c>
    </row>
    <row r="5" spans="1:7">
      <c r="A5" s="2" t="s">
        <v>21</v>
      </c>
      <c r="B5" s="2" t="s">
        <v>24</v>
      </c>
      <c r="C5" s="2" t="s">
        <v>35</v>
      </c>
      <c r="D5" s="3">
        <v>276</v>
      </c>
      <c r="E5" s="3">
        <v>15</v>
      </c>
      <c r="F5" s="3">
        <v>5406</v>
      </c>
      <c r="G5" s="3">
        <v>1067880</v>
      </c>
    </row>
    <row r="6" spans="1:7">
      <c r="A6" s="2" t="s">
        <v>21</v>
      </c>
      <c r="B6" s="2" t="s">
        <v>25</v>
      </c>
      <c r="C6" s="2" t="s">
        <v>35</v>
      </c>
      <c r="D6" s="3">
        <v>280</v>
      </c>
      <c r="E6" s="3">
        <v>25</v>
      </c>
      <c r="F6" s="3">
        <v>5786</v>
      </c>
      <c r="G6" s="3">
        <v>435960</v>
      </c>
    </row>
    <row r="7" spans="1:7">
      <c r="A7" s="2" t="s">
        <v>21</v>
      </c>
      <c r="B7" s="2" t="s">
        <v>26</v>
      </c>
      <c r="C7" s="2" t="s">
        <v>35</v>
      </c>
      <c r="D7" s="3">
        <v>63</v>
      </c>
      <c r="E7" s="3">
        <v>3</v>
      </c>
      <c r="F7" s="3">
        <v>3916</v>
      </c>
      <c r="G7" s="3">
        <v>194400</v>
      </c>
    </row>
    <row r="8" spans="1:7">
      <c r="A8" s="2" t="s">
        <v>21</v>
      </c>
      <c r="B8" s="2" t="s">
        <v>27</v>
      </c>
      <c r="C8" s="2" t="s">
        <v>35</v>
      </c>
      <c r="D8" s="3">
        <v>638</v>
      </c>
      <c r="E8" s="3">
        <v>13</v>
      </c>
      <c r="F8" s="3">
        <v>15779</v>
      </c>
      <c r="G8" s="3">
        <v>908460</v>
      </c>
    </row>
    <row r="9" spans="1:7">
      <c r="A9" s="2" t="s">
        <v>21</v>
      </c>
      <c r="B9" s="2" t="s">
        <v>28</v>
      </c>
      <c r="C9" s="2" t="s">
        <v>35</v>
      </c>
      <c r="D9" s="3">
        <v>282</v>
      </c>
      <c r="E9" s="3">
        <v>9</v>
      </c>
      <c r="F9" s="3">
        <v>33096</v>
      </c>
      <c r="G9" s="3">
        <v>1316640</v>
      </c>
    </row>
    <row r="10" spans="1:7">
      <c r="A10" s="2" t="s">
        <v>21</v>
      </c>
      <c r="B10" s="2" t="s">
        <v>29</v>
      </c>
      <c r="C10" s="2" t="s">
        <v>35</v>
      </c>
      <c r="D10" s="3">
        <v>119</v>
      </c>
      <c r="E10" s="3">
        <v>5</v>
      </c>
      <c r="F10" s="3">
        <v>1568</v>
      </c>
      <c r="G10" s="3">
        <v>327420</v>
      </c>
    </row>
    <row r="11" spans="1:7">
      <c r="A11" s="2" t="s">
        <v>21</v>
      </c>
      <c r="B11" s="2" t="s">
        <v>30</v>
      </c>
      <c r="C11" s="2" t="s">
        <v>35</v>
      </c>
      <c r="D11" s="3">
        <v>132</v>
      </c>
      <c r="E11" s="3">
        <v>21</v>
      </c>
      <c r="F11" s="3">
        <v>1771</v>
      </c>
      <c r="G11" s="3">
        <v>352140</v>
      </c>
    </row>
    <row r="12" spans="1:7">
      <c r="A12" s="2" t="s">
        <v>21</v>
      </c>
      <c r="B12" s="2" t="s">
        <v>31</v>
      </c>
      <c r="C12" s="2" t="s">
        <v>35</v>
      </c>
      <c r="D12" s="3">
        <v>69</v>
      </c>
      <c r="E12" s="3">
        <v>3</v>
      </c>
      <c r="F12" s="3">
        <v>1287</v>
      </c>
      <c r="G12" s="3">
        <v>324720</v>
      </c>
    </row>
    <row r="13" spans="1:7">
      <c r="A13" s="2" t="s">
        <v>21</v>
      </c>
      <c r="B13" s="2" t="s">
        <v>32</v>
      </c>
      <c r="C13" s="2" t="s">
        <v>35</v>
      </c>
      <c r="D13" s="3">
        <v>552</v>
      </c>
      <c r="E13" s="3">
        <v>22</v>
      </c>
      <c r="F13" s="3">
        <v>10048</v>
      </c>
      <c r="G13" s="3">
        <v>4430870.8700000048</v>
      </c>
    </row>
    <row r="14" spans="1:7">
      <c r="A14" s="2" t="s">
        <v>21</v>
      </c>
      <c r="B14" s="2" t="s">
        <v>33</v>
      </c>
      <c r="C14" s="2" t="s">
        <v>35</v>
      </c>
      <c r="D14" s="3">
        <v>354</v>
      </c>
      <c r="E14" s="3">
        <v>15</v>
      </c>
      <c r="F14" s="3">
        <v>7130</v>
      </c>
      <c r="G14" s="3">
        <v>627273.65499999595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CC34-2C9E-D748-8169-9FCFA7DF3E00}">
  <dimension ref="A1:N243"/>
  <sheetViews>
    <sheetView tabSelected="1" workbookViewId="0">
      <selection sqref="A1:XFD3"/>
    </sheetView>
  </sheetViews>
  <sheetFormatPr defaultColWidth="12.625" defaultRowHeight="14.1"/>
  <cols>
    <col min="1" max="1" width="6.875" style="5" customWidth="1"/>
    <col min="2" max="2" width="25" style="5" bestFit="1" customWidth="1"/>
    <col min="3" max="5" width="12.625" style="5"/>
    <col min="6" max="6" width="21" style="5" customWidth="1"/>
    <col min="7" max="7" width="21.375" style="5" customWidth="1"/>
    <col min="8" max="8" width="12.625" style="5"/>
    <col min="9" max="9" width="18.375" style="5" customWidth="1"/>
    <col min="10" max="12" width="12.625" style="5"/>
    <col min="13" max="13" width="14.875" style="5" bestFit="1" customWidth="1"/>
    <col min="14" max="16384" width="12.625" style="5"/>
  </cols>
  <sheetData>
    <row r="1" spans="1:14" ht="16.5" customHeight="1"/>
    <row r="2" spans="1:14" ht="15.95">
      <c r="A2" s="6" t="s">
        <v>36</v>
      </c>
      <c r="B2" s="7" t="s">
        <v>37</v>
      </c>
      <c r="C2" s="7" t="s">
        <v>38</v>
      </c>
      <c r="D2" s="8" t="s">
        <v>39</v>
      </c>
      <c r="E2" s="7" t="s">
        <v>40</v>
      </c>
      <c r="F2" s="7" t="s">
        <v>0</v>
      </c>
      <c r="G2" s="8" t="s">
        <v>41</v>
      </c>
      <c r="H2" s="8" t="s">
        <v>42</v>
      </c>
      <c r="I2" s="7" t="s">
        <v>43</v>
      </c>
      <c r="J2" s="7" t="s">
        <v>2</v>
      </c>
      <c r="K2" s="7" t="s">
        <v>9</v>
      </c>
      <c r="L2" s="7" t="s">
        <v>6</v>
      </c>
      <c r="M2" s="8" t="s">
        <v>44</v>
      </c>
      <c r="N2" s="8" t="s">
        <v>45</v>
      </c>
    </row>
    <row r="3" spans="1:14" ht="15">
      <c r="A3" s="9">
        <v>13</v>
      </c>
      <c r="B3" s="10">
        <v>45747</v>
      </c>
      <c r="C3" s="11" t="s">
        <v>46</v>
      </c>
      <c r="D3" s="11" t="s">
        <v>47</v>
      </c>
      <c r="E3" s="12" t="s">
        <v>48</v>
      </c>
      <c r="F3" s="13" t="s">
        <v>49</v>
      </c>
      <c r="G3" s="13" t="s">
        <v>50</v>
      </c>
      <c r="H3" s="13" t="s">
        <v>51</v>
      </c>
      <c r="I3" s="14" t="s">
        <v>9</v>
      </c>
      <c r="J3" s="15">
        <v>284</v>
      </c>
      <c r="K3" s="15">
        <v>22266</v>
      </c>
      <c r="L3" s="15">
        <v>6</v>
      </c>
      <c r="M3" s="16">
        <v>25</v>
      </c>
    </row>
    <row r="4" spans="1:14" ht="15">
      <c r="A4" s="9">
        <v>13</v>
      </c>
      <c r="B4" s="10">
        <v>45747</v>
      </c>
      <c r="C4" s="11" t="s">
        <v>46</v>
      </c>
      <c r="D4" s="11" t="s">
        <v>47</v>
      </c>
      <c r="E4" s="12" t="s">
        <v>52</v>
      </c>
      <c r="F4" s="13" t="s">
        <v>19</v>
      </c>
      <c r="G4" s="13" t="s">
        <v>50</v>
      </c>
      <c r="H4" s="13" t="s">
        <v>51</v>
      </c>
      <c r="I4" s="14" t="s">
        <v>9</v>
      </c>
      <c r="J4" s="15">
        <v>37</v>
      </c>
      <c r="K4" s="15">
        <v>2448</v>
      </c>
      <c r="L4" s="15">
        <v>4</v>
      </c>
      <c r="M4" s="16">
        <v>1000</v>
      </c>
    </row>
    <row r="5" spans="1:14" ht="15">
      <c r="A5" s="9">
        <v>13</v>
      </c>
      <c r="B5" s="10">
        <v>45747</v>
      </c>
      <c r="C5" s="11" t="s">
        <v>46</v>
      </c>
      <c r="D5" s="11" t="s">
        <v>53</v>
      </c>
      <c r="E5" s="12" t="s">
        <v>54</v>
      </c>
      <c r="F5" s="13" t="s">
        <v>55</v>
      </c>
      <c r="G5" s="13" t="s">
        <v>56</v>
      </c>
      <c r="H5" s="13" t="s">
        <v>57</v>
      </c>
      <c r="I5" s="14" t="s">
        <v>58</v>
      </c>
      <c r="J5" s="15">
        <v>602</v>
      </c>
      <c r="K5" s="17"/>
      <c r="L5" s="15">
        <v>34</v>
      </c>
      <c r="M5" s="18">
        <v>86</v>
      </c>
    </row>
    <row r="6" spans="1:14" ht="15">
      <c r="A6" s="9">
        <v>13</v>
      </c>
      <c r="B6" s="10">
        <v>45747</v>
      </c>
      <c r="C6" s="11" t="s">
        <v>59</v>
      </c>
      <c r="D6" s="11" t="s">
        <v>60</v>
      </c>
      <c r="E6" s="12" t="s">
        <v>61</v>
      </c>
      <c r="F6" s="13" t="s">
        <v>49</v>
      </c>
      <c r="G6" s="13" t="s">
        <v>59</v>
      </c>
      <c r="H6" s="13" t="s">
        <v>62</v>
      </c>
      <c r="I6" s="14" t="s">
        <v>63</v>
      </c>
      <c r="J6" s="15">
        <v>2279</v>
      </c>
      <c r="K6" s="17"/>
      <c r="L6" s="15">
        <v>17</v>
      </c>
      <c r="M6" s="16">
        <v>17</v>
      </c>
    </row>
    <row r="7" spans="1:14" ht="15">
      <c r="A7" s="9">
        <v>13</v>
      </c>
      <c r="B7" s="10">
        <v>45747</v>
      </c>
      <c r="C7" s="11" t="s">
        <v>46</v>
      </c>
      <c r="D7" s="11" t="s">
        <v>64</v>
      </c>
      <c r="E7" s="12" t="s">
        <v>65</v>
      </c>
      <c r="F7" s="13" t="s">
        <v>19</v>
      </c>
      <c r="G7" s="13" t="s">
        <v>66</v>
      </c>
      <c r="H7" s="13" t="s">
        <v>51</v>
      </c>
      <c r="I7" s="14" t="s">
        <v>9</v>
      </c>
      <c r="J7" s="15">
        <v>199</v>
      </c>
      <c r="K7" s="15">
        <v>3053</v>
      </c>
      <c r="L7" s="15">
        <v>11</v>
      </c>
      <c r="M7" s="16">
        <v>19</v>
      </c>
    </row>
    <row r="8" spans="1:14" ht="15">
      <c r="A8" s="9">
        <v>13</v>
      </c>
      <c r="B8" s="10">
        <v>45747</v>
      </c>
      <c r="C8" s="11" t="s">
        <v>67</v>
      </c>
      <c r="D8" s="11" t="s">
        <v>47</v>
      </c>
      <c r="E8" s="12" t="s">
        <v>68</v>
      </c>
      <c r="F8" s="13" t="s">
        <v>19</v>
      </c>
      <c r="G8" s="13" t="s">
        <v>50</v>
      </c>
      <c r="H8" s="13" t="s">
        <v>51</v>
      </c>
      <c r="I8" s="14" t="s">
        <v>9</v>
      </c>
      <c r="J8" s="15">
        <v>3302</v>
      </c>
      <c r="K8" s="15">
        <v>26358</v>
      </c>
      <c r="L8" s="15">
        <v>12</v>
      </c>
      <c r="M8" s="16">
        <v>289</v>
      </c>
    </row>
    <row r="9" spans="1:14" ht="15">
      <c r="A9" s="9">
        <v>13</v>
      </c>
      <c r="B9" s="10">
        <v>45747</v>
      </c>
      <c r="C9" s="11" t="s">
        <v>67</v>
      </c>
      <c r="D9" s="11" t="s">
        <v>47</v>
      </c>
      <c r="E9" s="12" t="s">
        <v>69</v>
      </c>
      <c r="F9" s="13" t="s">
        <v>49</v>
      </c>
      <c r="G9" s="13" t="s">
        <v>50</v>
      </c>
      <c r="H9" s="13" t="s">
        <v>51</v>
      </c>
      <c r="I9" s="14" t="s">
        <v>63</v>
      </c>
      <c r="J9" s="15">
        <v>3302</v>
      </c>
      <c r="K9" s="15">
        <v>271843</v>
      </c>
      <c r="L9" s="15">
        <v>60</v>
      </c>
      <c r="M9" s="16">
        <v>0</v>
      </c>
    </row>
    <row r="10" spans="1:14" ht="15">
      <c r="A10" s="9">
        <v>13</v>
      </c>
      <c r="B10" s="10">
        <v>45747</v>
      </c>
      <c r="C10" s="11" t="s">
        <v>67</v>
      </c>
      <c r="D10" s="11" t="s">
        <v>47</v>
      </c>
      <c r="E10" s="12" t="s">
        <v>70</v>
      </c>
      <c r="F10" s="13" t="s">
        <v>55</v>
      </c>
      <c r="G10" s="13" t="s">
        <v>50</v>
      </c>
      <c r="H10" s="13" t="s">
        <v>71</v>
      </c>
      <c r="I10" s="14" t="s">
        <v>63</v>
      </c>
      <c r="J10" s="15">
        <v>2374</v>
      </c>
      <c r="K10" s="17"/>
      <c r="L10" s="15">
        <v>7</v>
      </c>
      <c r="M10" s="18">
        <v>14</v>
      </c>
    </row>
    <row r="11" spans="1:14" ht="15">
      <c r="A11" s="9">
        <v>13</v>
      </c>
      <c r="B11" s="10">
        <v>45747</v>
      </c>
      <c r="C11" s="11" t="s">
        <v>67</v>
      </c>
      <c r="D11" s="11" t="s">
        <v>47</v>
      </c>
      <c r="E11" s="12" t="s">
        <v>72</v>
      </c>
      <c r="F11" s="13" t="s">
        <v>49</v>
      </c>
      <c r="G11" s="13" t="s">
        <v>50</v>
      </c>
      <c r="H11" s="13" t="s">
        <v>71</v>
      </c>
      <c r="I11" s="14" t="s">
        <v>63</v>
      </c>
      <c r="J11" s="15">
        <v>1609</v>
      </c>
      <c r="K11" s="17"/>
      <c r="L11" s="15">
        <v>1</v>
      </c>
      <c r="M11" s="16">
        <v>4</v>
      </c>
    </row>
    <row r="12" spans="1:14" ht="15">
      <c r="A12" s="9">
        <v>13</v>
      </c>
      <c r="B12" s="10">
        <v>45747</v>
      </c>
      <c r="C12" s="11" t="s">
        <v>67</v>
      </c>
      <c r="D12" s="11" t="s">
        <v>47</v>
      </c>
      <c r="E12" s="12" t="s">
        <v>73</v>
      </c>
      <c r="F12" s="13" t="s">
        <v>49</v>
      </c>
      <c r="G12" s="13" t="s">
        <v>50</v>
      </c>
      <c r="H12" s="13" t="s">
        <v>51</v>
      </c>
      <c r="I12" s="14" t="s">
        <v>9</v>
      </c>
      <c r="J12" s="15">
        <v>2223</v>
      </c>
      <c r="K12" s="15">
        <v>66069</v>
      </c>
      <c r="L12" s="15">
        <v>20</v>
      </c>
      <c r="M12" s="16">
        <v>67</v>
      </c>
    </row>
    <row r="13" spans="1:14" ht="15">
      <c r="A13" s="9">
        <v>13</v>
      </c>
      <c r="B13" s="10">
        <v>45747</v>
      </c>
      <c r="C13" s="11" t="s">
        <v>67</v>
      </c>
      <c r="D13" s="11" t="s">
        <v>47</v>
      </c>
      <c r="E13" s="12" t="s">
        <v>74</v>
      </c>
      <c r="F13" s="13" t="s">
        <v>19</v>
      </c>
      <c r="G13" s="13" t="s">
        <v>50</v>
      </c>
      <c r="H13" s="13" t="s">
        <v>51</v>
      </c>
      <c r="I13" s="14" t="s">
        <v>9</v>
      </c>
      <c r="J13" s="15">
        <v>216</v>
      </c>
      <c r="K13" s="15">
        <v>5324</v>
      </c>
      <c r="L13" s="15">
        <v>5</v>
      </c>
      <c r="M13" s="16">
        <v>891</v>
      </c>
    </row>
    <row r="14" spans="1:14" ht="15">
      <c r="A14" s="9">
        <v>13</v>
      </c>
      <c r="B14" s="10">
        <v>45747</v>
      </c>
      <c r="C14" s="11" t="s">
        <v>67</v>
      </c>
      <c r="D14" s="11" t="s">
        <v>47</v>
      </c>
      <c r="E14" s="12" t="s">
        <v>75</v>
      </c>
      <c r="F14" s="13" t="s">
        <v>49</v>
      </c>
      <c r="G14" s="13" t="s">
        <v>50</v>
      </c>
      <c r="H14" s="13" t="s">
        <v>51</v>
      </c>
      <c r="I14" s="14" t="s">
        <v>9</v>
      </c>
      <c r="J14" s="15">
        <v>7354</v>
      </c>
      <c r="K14" s="15">
        <v>148472</v>
      </c>
      <c r="L14" s="15">
        <v>24</v>
      </c>
      <c r="M14" s="16">
        <v>394</v>
      </c>
    </row>
    <row r="15" spans="1:14" ht="15">
      <c r="A15" s="9">
        <v>13</v>
      </c>
      <c r="B15" s="10">
        <v>45747</v>
      </c>
      <c r="C15" s="11" t="s">
        <v>67</v>
      </c>
      <c r="D15" s="11" t="s">
        <v>47</v>
      </c>
      <c r="E15" s="12" t="s">
        <v>76</v>
      </c>
      <c r="F15" s="13" t="s">
        <v>19</v>
      </c>
      <c r="G15" s="13" t="s">
        <v>50</v>
      </c>
      <c r="H15" s="13" t="s">
        <v>51</v>
      </c>
      <c r="I15" s="14" t="s">
        <v>9</v>
      </c>
      <c r="J15" s="15">
        <v>1275</v>
      </c>
      <c r="K15" s="15">
        <v>11965</v>
      </c>
      <c r="L15" s="15">
        <v>11</v>
      </c>
      <c r="M15" s="16">
        <v>12124</v>
      </c>
    </row>
    <row r="16" spans="1:14" ht="15">
      <c r="A16" s="9">
        <v>13</v>
      </c>
      <c r="B16" s="10">
        <v>45748</v>
      </c>
      <c r="C16" s="11" t="s">
        <v>67</v>
      </c>
      <c r="D16" s="11" t="s">
        <v>47</v>
      </c>
      <c r="E16" s="12" t="s">
        <v>77</v>
      </c>
      <c r="F16" s="13" t="s">
        <v>49</v>
      </c>
      <c r="G16" s="13" t="s">
        <v>50</v>
      </c>
      <c r="H16" s="13" t="s">
        <v>51</v>
      </c>
      <c r="I16" s="14" t="s">
        <v>9</v>
      </c>
      <c r="J16" s="15">
        <v>1783</v>
      </c>
      <c r="K16" s="15">
        <v>48898</v>
      </c>
      <c r="L16" s="15">
        <v>9</v>
      </c>
      <c r="M16" s="16">
        <v>121</v>
      </c>
    </row>
    <row r="17" spans="1:13" ht="15">
      <c r="A17" s="9">
        <v>13</v>
      </c>
      <c r="B17" s="10">
        <v>45748</v>
      </c>
      <c r="C17" s="11" t="s">
        <v>67</v>
      </c>
      <c r="D17" s="11" t="s">
        <v>47</v>
      </c>
      <c r="E17" s="12" t="s">
        <v>78</v>
      </c>
      <c r="F17" s="13" t="s">
        <v>19</v>
      </c>
      <c r="G17" s="13" t="s">
        <v>50</v>
      </c>
      <c r="H17" s="13" t="s">
        <v>51</v>
      </c>
      <c r="I17" s="14" t="s">
        <v>9</v>
      </c>
      <c r="J17" s="15">
        <v>70</v>
      </c>
      <c r="K17" s="15">
        <v>1954</v>
      </c>
      <c r="L17" s="15">
        <v>1</v>
      </c>
      <c r="M17" s="16">
        <v>246</v>
      </c>
    </row>
    <row r="18" spans="1:13" ht="15">
      <c r="A18" s="9">
        <v>13</v>
      </c>
      <c r="B18" s="10">
        <v>45748</v>
      </c>
      <c r="C18" s="11" t="s">
        <v>79</v>
      </c>
      <c r="D18" s="11" t="s">
        <v>80</v>
      </c>
      <c r="E18" s="12" t="s">
        <v>81</v>
      </c>
      <c r="F18" s="13" t="s">
        <v>19</v>
      </c>
      <c r="G18" s="13" t="s">
        <v>66</v>
      </c>
      <c r="H18" s="13" t="s">
        <v>51</v>
      </c>
      <c r="I18" s="14" t="s">
        <v>9</v>
      </c>
      <c r="J18" s="15">
        <v>15677</v>
      </c>
      <c r="K18" s="15">
        <v>133943</v>
      </c>
      <c r="L18" s="15">
        <v>181</v>
      </c>
      <c r="M18" s="16">
        <v>34</v>
      </c>
    </row>
    <row r="19" spans="1:13" ht="15">
      <c r="A19" s="9">
        <v>13</v>
      </c>
      <c r="B19" s="10">
        <v>45748</v>
      </c>
      <c r="C19" s="11" t="s">
        <v>79</v>
      </c>
      <c r="D19" s="11" t="s">
        <v>82</v>
      </c>
      <c r="E19" s="12" t="s">
        <v>83</v>
      </c>
      <c r="F19" s="13" t="s">
        <v>19</v>
      </c>
      <c r="G19" s="13" t="s">
        <v>66</v>
      </c>
      <c r="H19" s="13" t="s">
        <v>51</v>
      </c>
      <c r="I19" s="14" t="s">
        <v>9</v>
      </c>
      <c r="J19" s="15">
        <v>239</v>
      </c>
      <c r="K19" s="15">
        <v>3744</v>
      </c>
      <c r="L19" s="15">
        <v>15</v>
      </c>
      <c r="M19" s="16">
        <v>21</v>
      </c>
    </row>
    <row r="20" spans="1:13" ht="15">
      <c r="A20" s="9">
        <v>13</v>
      </c>
      <c r="B20" s="10">
        <v>45748</v>
      </c>
      <c r="C20" s="11" t="s">
        <v>79</v>
      </c>
      <c r="D20" s="11" t="s">
        <v>84</v>
      </c>
      <c r="E20" s="12" t="s">
        <v>85</v>
      </c>
      <c r="F20" s="13" t="s">
        <v>55</v>
      </c>
      <c r="G20" s="13" t="s">
        <v>56</v>
      </c>
      <c r="H20" s="13" t="s">
        <v>57</v>
      </c>
      <c r="I20" s="14" t="s">
        <v>58</v>
      </c>
      <c r="J20" s="15">
        <v>164</v>
      </c>
      <c r="K20" s="17"/>
      <c r="L20" s="15">
        <v>4</v>
      </c>
      <c r="M20" s="18">
        <v>50</v>
      </c>
    </row>
    <row r="21" spans="1:13" ht="15">
      <c r="A21" s="9">
        <v>13</v>
      </c>
      <c r="B21" s="10">
        <v>45748</v>
      </c>
      <c r="C21" s="11" t="s">
        <v>67</v>
      </c>
      <c r="D21" s="11" t="s">
        <v>47</v>
      </c>
      <c r="E21" s="12" t="s">
        <v>86</v>
      </c>
      <c r="F21" s="13" t="s">
        <v>49</v>
      </c>
      <c r="G21" s="13" t="s">
        <v>50</v>
      </c>
      <c r="H21" s="13" t="s">
        <v>51</v>
      </c>
      <c r="I21" s="14" t="s">
        <v>9</v>
      </c>
      <c r="J21" s="15">
        <v>1512</v>
      </c>
      <c r="K21" s="15">
        <v>46163</v>
      </c>
      <c r="L21" s="15">
        <v>11</v>
      </c>
      <c r="M21" s="16">
        <v>44</v>
      </c>
    </row>
    <row r="22" spans="1:13" ht="15">
      <c r="A22" s="9">
        <v>13</v>
      </c>
      <c r="B22" s="10">
        <v>45748</v>
      </c>
      <c r="C22" s="11" t="s">
        <v>67</v>
      </c>
      <c r="D22" s="11" t="s">
        <v>47</v>
      </c>
      <c r="E22" s="12" t="s">
        <v>87</v>
      </c>
      <c r="F22" s="13" t="s">
        <v>19</v>
      </c>
      <c r="G22" s="13" t="s">
        <v>50</v>
      </c>
      <c r="H22" s="13" t="s">
        <v>51</v>
      </c>
      <c r="I22" s="14" t="s">
        <v>9</v>
      </c>
      <c r="J22" s="15">
        <v>77</v>
      </c>
      <c r="K22" s="15">
        <v>2501</v>
      </c>
      <c r="L22" s="15">
        <v>2</v>
      </c>
      <c r="M22" s="16">
        <v>4</v>
      </c>
    </row>
    <row r="23" spans="1:13" ht="15">
      <c r="A23" s="9">
        <v>13</v>
      </c>
      <c r="B23" s="10">
        <v>45748</v>
      </c>
      <c r="C23" s="11" t="s">
        <v>59</v>
      </c>
      <c r="D23" s="11" t="s">
        <v>60</v>
      </c>
      <c r="E23" s="12" t="s">
        <v>88</v>
      </c>
      <c r="F23" s="13" t="s">
        <v>49</v>
      </c>
      <c r="G23" s="13" t="s">
        <v>59</v>
      </c>
      <c r="H23" s="13" t="s">
        <v>62</v>
      </c>
      <c r="I23" s="14" t="s">
        <v>63</v>
      </c>
      <c r="J23" s="15">
        <v>25072</v>
      </c>
      <c r="K23" s="17"/>
      <c r="L23" s="15">
        <v>192</v>
      </c>
      <c r="M23" s="16">
        <v>4</v>
      </c>
    </row>
    <row r="24" spans="1:13" ht="15">
      <c r="A24" s="9">
        <v>13</v>
      </c>
      <c r="B24" s="10">
        <v>45748</v>
      </c>
      <c r="C24" s="11" t="s">
        <v>59</v>
      </c>
      <c r="D24" s="11" t="s">
        <v>60</v>
      </c>
      <c r="E24" s="12" t="s">
        <v>89</v>
      </c>
      <c r="F24" s="13" t="s">
        <v>55</v>
      </c>
      <c r="G24" s="13" t="s">
        <v>59</v>
      </c>
      <c r="H24" s="13" t="s">
        <v>51</v>
      </c>
      <c r="I24" s="14" t="s">
        <v>90</v>
      </c>
      <c r="J24" s="15">
        <v>5430</v>
      </c>
      <c r="K24" s="15">
        <v>17962</v>
      </c>
      <c r="L24" s="15">
        <v>85</v>
      </c>
      <c r="M24" s="18">
        <v>151</v>
      </c>
    </row>
    <row r="25" spans="1:13" ht="15">
      <c r="A25" s="9">
        <v>13</v>
      </c>
      <c r="B25" s="10">
        <v>45748</v>
      </c>
      <c r="C25" s="11" t="s">
        <v>67</v>
      </c>
      <c r="D25" s="11" t="s">
        <v>47</v>
      </c>
      <c r="E25" s="12" t="s">
        <v>91</v>
      </c>
      <c r="F25" s="13" t="s">
        <v>19</v>
      </c>
      <c r="G25" s="13" t="s">
        <v>50</v>
      </c>
      <c r="H25" s="13" t="s">
        <v>51</v>
      </c>
      <c r="I25" s="14" t="s">
        <v>9</v>
      </c>
      <c r="J25" s="15">
        <v>158</v>
      </c>
      <c r="K25" s="15">
        <v>2385</v>
      </c>
      <c r="L25" s="15">
        <v>4</v>
      </c>
      <c r="M25" s="16">
        <v>442</v>
      </c>
    </row>
    <row r="26" spans="1:13" ht="15">
      <c r="A26" s="9">
        <v>13</v>
      </c>
      <c r="B26" s="10">
        <v>45748</v>
      </c>
      <c r="C26" s="11" t="s">
        <v>67</v>
      </c>
      <c r="D26" s="11" t="s">
        <v>47</v>
      </c>
      <c r="E26" s="12" t="s">
        <v>92</v>
      </c>
      <c r="F26" s="13" t="s">
        <v>49</v>
      </c>
      <c r="G26" s="13" t="s">
        <v>50</v>
      </c>
      <c r="H26" s="13" t="s">
        <v>51</v>
      </c>
      <c r="I26" s="14" t="s">
        <v>9</v>
      </c>
      <c r="J26" s="15">
        <v>158</v>
      </c>
      <c r="K26" s="15">
        <v>2385</v>
      </c>
      <c r="L26" s="15">
        <v>9</v>
      </c>
      <c r="M26" s="16">
        <v>57</v>
      </c>
    </row>
    <row r="27" spans="1:13" ht="15">
      <c r="A27" s="9">
        <v>13</v>
      </c>
      <c r="B27" s="10">
        <v>45748</v>
      </c>
      <c r="C27" s="11" t="s">
        <v>67</v>
      </c>
      <c r="D27" s="11" t="s">
        <v>47</v>
      </c>
      <c r="E27" s="12" t="s">
        <v>93</v>
      </c>
      <c r="F27" s="13" t="s">
        <v>55</v>
      </c>
      <c r="G27" s="13" t="s">
        <v>50</v>
      </c>
      <c r="H27" s="13" t="s">
        <v>51</v>
      </c>
      <c r="I27" s="14" t="s">
        <v>9</v>
      </c>
      <c r="J27" s="15">
        <v>191</v>
      </c>
      <c r="K27" s="15">
        <v>5553</v>
      </c>
      <c r="L27" s="15">
        <v>2</v>
      </c>
      <c r="M27" s="16">
        <v>76</v>
      </c>
    </row>
    <row r="28" spans="1:13" ht="15">
      <c r="A28" s="9">
        <v>13</v>
      </c>
      <c r="B28" s="10">
        <v>45748</v>
      </c>
      <c r="C28" s="11" t="s">
        <v>46</v>
      </c>
      <c r="D28" s="11" t="s">
        <v>94</v>
      </c>
      <c r="E28" s="12" t="s">
        <v>95</v>
      </c>
      <c r="F28" s="13" t="s">
        <v>49</v>
      </c>
      <c r="G28" s="13" t="s">
        <v>66</v>
      </c>
      <c r="H28" s="13" t="s">
        <v>51</v>
      </c>
      <c r="I28" s="14" t="s">
        <v>9</v>
      </c>
      <c r="J28" s="15">
        <v>727</v>
      </c>
      <c r="K28" s="15">
        <v>28960</v>
      </c>
      <c r="L28" s="15">
        <v>3</v>
      </c>
      <c r="M28" s="16">
        <v>34</v>
      </c>
    </row>
    <row r="29" spans="1:13" ht="15">
      <c r="A29" s="9">
        <v>13</v>
      </c>
      <c r="B29" s="10">
        <v>45748</v>
      </c>
      <c r="C29" s="11" t="s">
        <v>67</v>
      </c>
      <c r="D29" s="11" t="s">
        <v>47</v>
      </c>
      <c r="E29" s="12" t="s">
        <v>96</v>
      </c>
      <c r="F29" s="13" t="s">
        <v>49</v>
      </c>
      <c r="G29" s="13" t="s">
        <v>50</v>
      </c>
      <c r="H29" s="13" t="s">
        <v>51</v>
      </c>
      <c r="I29" s="14" t="s">
        <v>9</v>
      </c>
      <c r="J29" s="15">
        <v>1281</v>
      </c>
      <c r="K29" s="15">
        <v>40684</v>
      </c>
      <c r="L29" s="15">
        <v>5</v>
      </c>
      <c r="M29" s="16">
        <v>23</v>
      </c>
    </row>
    <row r="30" spans="1:13" ht="15">
      <c r="A30" s="9">
        <v>13</v>
      </c>
      <c r="B30" s="10">
        <v>45748</v>
      </c>
      <c r="C30" s="11" t="s">
        <v>67</v>
      </c>
      <c r="D30" s="11" t="s">
        <v>47</v>
      </c>
      <c r="E30" s="12" t="s">
        <v>97</v>
      </c>
      <c r="F30" s="13" t="s">
        <v>19</v>
      </c>
      <c r="G30" s="13" t="s">
        <v>50</v>
      </c>
      <c r="H30" s="13" t="s">
        <v>51</v>
      </c>
      <c r="I30" s="14" t="s">
        <v>9</v>
      </c>
      <c r="J30" s="15">
        <v>117</v>
      </c>
      <c r="K30" s="15">
        <v>2304</v>
      </c>
      <c r="L30" s="15">
        <v>0</v>
      </c>
      <c r="M30" s="16">
        <v>4</v>
      </c>
    </row>
    <row r="31" spans="1:13" ht="15">
      <c r="A31" s="9">
        <v>13</v>
      </c>
      <c r="B31" s="10">
        <v>45748</v>
      </c>
      <c r="C31" s="11" t="s">
        <v>46</v>
      </c>
      <c r="D31" s="11" t="s">
        <v>94</v>
      </c>
      <c r="E31" s="12" t="s">
        <v>98</v>
      </c>
      <c r="F31" s="13" t="s">
        <v>19</v>
      </c>
      <c r="G31" s="13" t="s">
        <v>66</v>
      </c>
      <c r="H31" s="13" t="s">
        <v>51</v>
      </c>
      <c r="I31" s="14" t="s">
        <v>9</v>
      </c>
      <c r="J31" s="15">
        <v>117</v>
      </c>
      <c r="K31" s="15">
        <v>2434</v>
      </c>
      <c r="L31" s="15">
        <v>5</v>
      </c>
      <c r="M31" s="18">
        <v>151</v>
      </c>
    </row>
    <row r="32" spans="1:13" ht="15">
      <c r="A32" s="9">
        <v>13</v>
      </c>
      <c r="B32" s="10">
        <v>45748</v>
      </c>
      <c r="C32" s="11" t="s">
        <v>79</v>
      </c>
      <c r="D32" s="11" t="s">
        <v>99</v>
      </c>
      <c r="E32" s="12" t="s">
        <v>100</v>
      </c>
      <c r="F32" s="13" t="s">
        <v>49</v>
      </c>
      <c r="G32" s="13" t="s">
        <v>66</v>
      </c>
      <c r="H32" s="13" t="s">
        <v>51</v>
      </c>
      <c r="I32" s="14" t="s">
        <v>9</v>
      </c>
      <c r="J32" s="15">
        <v>3441</v>
      </c>
      <c r="K32" s="15">
        <v>90408</v>
      </c>
      <c r="L32" s="15">
        <v>64</v>
      </c>
      <c r="M32" s="16">
        <v>12124</v>
      </c>
    </row>
    <row r="33" spans="1:13" ht="15">
      <c r="A33" s="9">
        <v>13</v>
      </c>
      <c r="B33" s="10">
        <v>45748</v>
      </c>
      <c r="C33" s="11" t="s">
        <v>79</v>
      </c>
      <c r="D33" s="11" t="s">
        <v>99</v>
      </c>
      <c r="E33" s="12" t="s">
        <v>101</v>
      </c>
      <c r="F33" s="13" t="s">
        <v>19</v>
      </c>
      <c r="G33" s="13" t="s">
        <v>66</v>
      </c>
      <c r="H33" s="13" t="s">
        <v>51</v>
      </c>
      <c r="I33" s="14" t="s">
        <v>9</v>
      </c>
      <c r="J33" s="15">
        <v>233</v>
      </c>
      <c r="K33" s="15">
        <v>4506</v>
      </c>
      <c r="L33" s="15">
        <v>8</v>
      </c>
      <c r="M33" s="16">
        <v>34534</v>
      </c>
    </row>
    <row r="34" spans="1:13" ht="15">
      <c r="A34" s="9">
        <v>13</v>
      </c>
      <c r="B34" s="10">
        <v>45748</v>
      </c>
      <c r="C34" s="11" t="s">
        <v>67</v>
      </c>
      <c r="D34" s="11" t="s">
        <v>47</v>
      </c>
      <c r="E34" s="12" t="s">
        <v>102</v>
      </c>
      <c r="F34" s="13" t="s">
        <v>49</v>
      </c>
      <c r="G34" s="13" t="s">
        <v>50</v>
      </c>
      <c r="H34" s="13" t="s">
        <v>51</v>
      </c>
      <c r="I34" s="14" t="s">
        <v>9</v>
      </c>
      <c r="J34" s="15">
        <v>2016</v>
      </c>
      <c r="K34" s="15">
        <v>55119</v>
      </c>
      <c r="L34" s="15">
        <v>4</v>
      </c>
      <c r="M34" s="16">
        <v>24354</v>
      </c>
    </row>
    <row r="35" spans="1:13" ht="15">
      <c r="A35" s="9">
        <v>13</v>
      </c>
      <c r="B35" s="10">
        <v>45748</v>
      </c>
      <c r="C35" s="11" t="s">
        <v>67</v>
      </c>
      <c r="D35" s="11" t="s">
        <v>47</v>
      </c>
      <c r="E35" s="12" t="s">
        <v>103</v>
      </c>
      <c r="F35" s="13" t="s">
        <v>19</v>
      </c>
      <c r="G35" s="13" t="s">
        <v>50</v>
      </c>
      <c r="H35" s="13" t="s">
        <v>51</v>
      </c>
      <c r="I35" s="14" t="s">
        <v>9</v>
      </c>
      <c r="J35" s="15">
        <v>132</v>
      </c>
      <c r="K35" s="15">
        <v>3638</v>
      </c>
      <c r="L35" s="15">
        <v>4</v>
      </c>
      <c r="M35" s="16">
        <v>44</v>
      </c>
    </row>
    <row r="36" spans="1:13" ht="15">
      <c r="A36" s="9">
        <v>13</v>
      </c>
      <c r="B36" s="10">
        <v>45748</v>
      </c>
      <c r="C36" s="11" t="s">
        <v>59</v>
      </c>
      <c r="D36" s="11" t="s">
        <v>60</v>
      </c>
      <c r="E36" s="12" t="s">
        <v>104</v>
      </c>
      <c r="F36" s="13" t="s">
        <v>49</v>
      </c>
      <c r="G36" s="13" t="s">
        <v>59</v>
      </c>
      <c r="H36" s="13" t="s">
        <v>62</v>
      </c>
      <c r="I36" s="14" t="s">
        <v>9</v>
      </c>
      <c r="J36" s="15">
        <v>2939</v>
      </c>
      <c r="K36" s="17"/>
      <c r="L36" s="15">
        <v>51</v>
      </c>
      <c r="M36" s="16">
        <v>1</v>
      </c>
    </row>
    <row r="37" spans="1:13" ht="15">
      <c r="A37" s="9">
        <v>13</v>
      </c>
      <c r="B37" s="10">
        <v>45749</v>
      </c>
      <c r="C37" s="11" t="s">
        <v>105</v>
      </c>
      <c r="D37" s="11" t="s">
        <v>106</v>
      </c>
      <c r="E37" s="12" t="s">
        <v>107</v>
      </c>
      <c r="F37" s="13" t="s">
        <v>55</v>
      </c>
      <c r="G37" s="13" t="s">
        <v>56</v>
      </c>
      <c r="H37" s="13" t="s">
        <v>57</v>
      </c>
      <c r="I37" s="14" t="s">
        <v>58</v>
      </c>
      <c r="J37" s="15">
        <v>329</v>
      </c>
      <c r="K37" s="17"/>
      <c r="L37" s="15">
        <v>3</v>
      </c>
      <c r="M37" s="18">
        <v>176</v>
      </c>
    </row>
    <row r="38" spans="1:13" ht="15">
      <c r="A38" s="9">
        <v>13</v>
      </c>
      <c r="B38" s="10">
        <v>45749</v>
      </c>
      <c r="C38" s="11" t="s">
        <v>108</v>
      </c>
      <c r="D38" s="11" t="s">
        <v>109</v>
      </c>
      <c r="E38" s="12" t="s">
        <v>110</v>
      </c>
      <c r="F38" s="13" t="s">
        <v>55</v>
      </c>
      <c r="G38" s="13" t="s">
        <v>111</v>
      </c>
      <c r="H38" s="13" t="s">
        <v>51</v>
      </c>
      <c r="I38" s="14" t="s">
        <v>9</v>
      </c>
      <c r="J38" s="15">
        <v>2691</v>
      </c>
      <c r="K38" s="15">
        <v>36481</v>
      </c>
      <c r="L38" s="15">
        <v>8</v>
      </c>
      <c r="M38" s="18">
        <v>2</v>
      </c>
    </row>
    <row r="39" spans="1:13" ht="15">
      <c r="A39" s="9">
        <v>13</v>
      </c>
      <c r="B39" s="10">
        <v>45749</v>
      </c>
      <c r="C39" s="11" t="s">
        <v>108</v>
      </c>
      <c r="D39" s="11" t="s">
        <v>112</v>
      </c>
      <c r="E39" s="12" t="s">
        <v>113</v>
      </c>
      <c r="F39" s="13" t="s">
        <v>49</v>
      </c>
      <c r="G39" s="13" t="s">
        <v>111</v>
      </c>
      <c r="H39" s="13" t="s">
        <v>51</v>
      </c>
      <c r="I39" s="14" t="s">
        <v>9</v>
      </c>
      <c r="J39" s="15">
        <v>1191</v>
      </c>
      <c r="K39" s="15">
        <v>28575</v>
      </c>
      <c r="L39" s="15">
        <v>33</v>
      </c>
      <c r="M39" s="16">
        <v>4</v>
      </c>
    </row>
    <row r="40" spans="1:13" ht="15">
      <c r="A40" s="9">
        <v>13</v>
      </c>
      <c r="B40" s="10">
        <v>45749</v>
      </c>
      <c r="C40" s="11" t="s">
        <v>108</v>
      </c>
      <c r="D40" s="11" t="s">
        <v>114</v>
      </c>
      <c r="E40" s="12" t="s">
        <v>115</v>
      </c>
      <c r="F40" s="13" t="s">
        <v>49</v>
      </c>
      <c r="G40" s="13" t="s">
        <v>111</v>
      </c>
      <c r="H40" s="13" t="s">
        <v>51</v>
      </c>
      <c r="I40" s="14" t="s">
        <v>9</v>
      </c>
      <c r="J40" s="15">
        <v>1181</v>
      </c>
      <c r="K40" s="15">
        <v>48441</v>
      </c>
      <c r="L40" s="15">
        <v>8</v>
      </c>
      <c r="M40" s="16">
        <v>57</v>
      </c>
    </row>
    <row r="41" spans="1:13" ht="15">
      <c r="A41" s="9">
        <v>13</v>
      </c>
      <c r="B41" s="10">
        <v>45749</v>
      </c>
      <c r="C41" s="11" t="s">
        <v>116</v>
      </c>
      <c r="D41" s="11" t="s">
        <v>117</v>
      </c>
      <c r="E41" s="12" t="s">
        <v>118</v>
      </c>
      <c r="F41" s="13" t="s">
        <v>19</v>
      </c>
      <c r="G41" s="13" t="s">
        <v>116</v>
      </c>
      <c r="H41" s="13" t="s">
        <v>51</v>
      </c>
      <c r="I41" s="14" t="s">
        <v>9</v>
      </c>
      <c r="J41" s="15">
        <v>1815</v>
      </c>
      <c r="K41" s="15">
        <v>103581</v>
      </c>
      <c r="L41" s="15">
        <v>7</v>
      </c>
      <c r="M41" s="16">
        <v>76</v>
      </c>
    </row>
    <row r="42" spans="1:13" ht="15">
      <c r="A42" s="9">
        <v>13</v>
      </c>
      <c r="B42" s="10">
        <v>45749</v>
      </c>
      <c r="C42" s="11" t="s">
        <v>119</v>
      </c>
      <c r="D42" s="11" t="s">
        <v>112</v>
      </c>
      <c r="E42" s="12" t="s">
        <v>120</v>
      </c>
      <c r="F42" s="13" t="s">
        <v>19</v>
      </c>
      <c r="G42" s="13" t="s">
        <v>66</v>
      </c>
      <c r="H42" s="13" t="s">
        <v>51</v>
      </c>
      <c r="I42" s="14" t="s">
        <v>9</v>
      </c>
      <c r="J42" s="15">
        <v>83</v>
      </c>
      <c r="K42" s="15">
        <v>2657</v>
      </c>
      <c r="L42" s="15">
        <v>3</v>
      </c>
      <c r="M42" s="16">
        <v>34</v>
      </c>
    </row>
    <row r="43" spans="1:13" ht="15">
      <c r="A43" s="9">
        <v>13</v>
      </c>
      <c r="B43" s="10">
        <v>45749</v>
      </c>
      <c r="C43" s="11" t="s">
        <v>116</v>
      </c>
      <c r="D43" s="11" t="s">
        <v>117</v>
      </c>
      <c r="E43" s="12" t="s">
        <v>121</v>
      </c>
      <c r="F43" s="13" t="s">
        <v>55</v>
      </c>
      <c r="G43" s="13" t="s">
        <v>116</v>
      </c>
      <c r="H43" s="13" t="s">
        <v>51</v>
      </c>
      <c r="I43" s="14" t="s">
        <v>9</v>
      </c>
      <c r="J43" s="15">
        <v>119</v>
      </c>
      <c r="K43" s="15">
        <v>3555</v>
      </c>
      <c r="L43" s="15">
        <v>0</v>
      </c>
      <c r="M43" s="16">
        <v>4</v>
      </c>
    </row>
    <row r="44" spans="1:13" ht="15">
      <c r="A44" s="9">
        <v>13</v>
      </c>
      <c r="B44" s="10">
        <v>45749</v>
      </c>
      <c r="C44" s="11" t="s">
        <v>116</v>
      </c>
      <c r="D44" s="11" t="s">
        <v>117</v>
      </c>
      <c r="E44" s="12" t="s">
        <v>122</v>
      </c>
      <c r="F44" s="13" t="s">
        <v>49</v>
      </c>
      <c r="G44" s="13" t="s">
        <v>116</v>
      </c>
      <c r="H44" s="13" t="s">
        <v>51</v>
      </c>
      <c r="I44" s="14" t="s">
        <v>9</v>
      </c>
      <c r="J44" s="15">
        <v>438</v>
      </c>
      <c r="K44" s="15">
        <v>25819</v>
      </c>
      <c r="L44" s="15">
        <v>4</v>
      </c>
      <c r="M44" s="18">
        <v>151</v>
      </c>
    </row>
    <row r="45" spans="1:13" ht="15">
      <c r="A45" s="9">
        <v>13</v>
      </c>
      <c r="B45" s="10">
        <v>45749</v>
      </c>
      <c r="C45" s="11" t="s">
        <v>66</v>
      </c>
      <c r="D45" s="11" t="s">
        <v>123</v>
      </c>
      <c r="E45" s="12" t="s">
        <v>124</v>
      </c>
      <c r="F45" s="13" t="s">
        <v>19</v>
      </c>
      <c r="G45" s="13" t="s">
        <v>66</v>
      </c>
      <c r="H45" s="13" t="s">
        <v>51</v>
      </c>
      <c r="I45" s="14" t="s">
        <v>9</v>
      </c>
      <c r="J45" s="15">
        <v>104</v>
      </c>
      <c r="K45" s="15">
        <v>2966</v>
      </c>
      <c r="L45" s="15">
        <v>6</v>
      </c>
      <c r="M45" s="16">
        <v>442</v>
      </c>
    </row>
    <row r="46" spans="1:13" ht="15">
      <c r="A46" s="9">
        <v>13</v>
      </c>
      <c r="B46" s="10">
        <v>45749</v>
      </c>
      <c r="C46" s="11" t="s">
        <v>46</v>
      </c>
      <c r="D46" s="11" t="s">
        <v>125</v>
      </c>
      <c r="E46" s="12" t="s">
        <v>126</v>
      </c>
      <c r="F46" s="13" t="s">
        <v>19</v>
      </c>
      <c r="G46" s="13" t="s">
        <v>35</v>
      </c>
      <c r="H46" s="13" t="s">
        <v>51</v>
      </c>
      <c r="I46" s="14" t="s">
        <v>9</v>
      </c>
      <c r="J46" s="15">
        <v>151</v>
      </c>
      <c r="K46" s="15">
        <v>3565</v>
      </c>
      <c r="L46" s="15">
        <v>5</v>
      </c>
      <c r="M46" s="16">
        <v>15</v>
      </c>
    </row>
    <row r="47" spans="1:13" ht="15">
      <c r="A47" s="9">
        <v>13</v>
      </c>
      <c r="B47" s="10">
        <v>45749</v>
      </c>
      <c r="C47" s="11" t="s">
        <v>79</v>
      </c>
      <c r="D47" s="11" t="s">
        <v>127</v>
      </c>
      <c r="E47" s="12" t="s">
        <v>128</v>
      </c>
      <c r="F47" s="13" t="s">
        <v>49</v>
      </c>
      <c r="G47" s="13" t="s">
        <v>66</v>
      </c>
      <c r="H47" s="13" t="s">
        <v>51</v>
      </c>
      <c r="I47" s="14" t="s">
        <v>9</v>
      </c>
      <c r="J47" s="15">
        <v>36038</v>
      </c>
      <c r="K47" s="17"/>
      <c r="L47" s="15">
        <v>116</v>
      </c>
      <c r="M47" s="16">
        <v>56</v>
      </c>
    </row>
    <row r="48" spans="1:13" ht="15">
      <c r="A48" s="9">
        <v>13</v>
      </c>
      <c r="B48" s="10">
        <v>45749</v>
      </c>
      <c r="C48" s="11" t="s">
        <v>79</v>
      </c>
      <c r="D48" s="11" t="s">
        <v>129</v>
      </c>
      <c r="E48" s="12" t="s">
        <v>130</v>
      </c>
      <c r="F48" s="13" t="s">
        <v>49</v>
      </c>
      <c r="G48" s="13" t="s">
        <v>66</v>
      </c>
      <c r="H48" s="13" t="s">
        <v>51</v>
      </c>
      <c r="I48" s="14" t="s">
        <v>9</v>
      </c>
      <c r="J48" s="15">
        <v>3382</v>
      </c>
      <c r="K48" s="15">
        <v>72910</v>
      </c>
      <c r="L48" s="15">
        <v>23</v>
      </c>
      <c r="M48" s="16">
        <v>34</v>
      </c>
    </row>
    <row r="49" spans="1:13" ht="15">
      <c r="A49" s="9">
        <v>13</v>
      </c>
      <c r="B49" s="10">
        <v>45749</v>
      </c>
      <c r="C49" s="11" t="s">
        <v>79</v>
      </c>
      <c r="D49" s="11" t="s">
        <v>129</v>
      </c>
      <c r="E49" s="12" t="s">
        <v>131</v>
      </c>
      <c r="F49" s="13" t="s">
        <v>19</v>
      </c>
      <c r="G49" s="13" t="s">
        <v>66</v>
      </c>
      <c r="H49" s="13" t="s">
        <v>51</v>
      </c>
      <c r="I49" s="14" t="s">
        <v>9</v>
      </c>
      <c r="J49" s="15">
        <v>6411</v>
      </c>
      <c r="K49" s="15">
        <v>23133</v>
      </c>
      <c r="L49" s="15">
        <v>58</v>
      </c>
      <c r="M49" s="16">
        <v>22</v>
      </c>
    </row>
    <row r="50" spans="1:13" ht="15">
      <c r="A50" s="9">
        <v>13</v>
      </c>
      <c r="B50" s="10">
        <v>45750</v>
      </c>
      <c r="C50" s="11" t="s">
        <v>132</v>
      </c>
      <c r="D50" s="11" t="s">
        <v>133</v>
      </c>
      <c r="E50" s="12" t="s">
        <v>134</v>
      </c>
      <c r="F50" s="13" t="s">
        <v>55</v>
      </c>
      <c r="G50" s="13" t="s">
        <v>56</v>
      </c>
      <c r="H50" s="13" t="s">
        <v>57</v>
      </c>
      <c r="I50" s="14" t="s">
        <v>58</v>
      </c>
      <c r="J50" s="15">
        <v>206</v>
      </c>
      <c r="K50" s="17"/>
      <c r="L50" s="15">
        <v>8</v>
      </c>
      <c r="M50" s="18">
        <v>81</v>
      </c>
    </row>
    <row r="51" spans="1:13" ht="15">
      <c r="A51" s="9">
        <v>13</v>
      </c>
      <c r="B51" s="10">
        <v>45750</v>
      </c>
      <c r="C51" s="11" t="s">
        <v>116</v>
      </c>
      <c r="D51" s="11" t="s">
        <v>135</v>
      </c>
      <c r="E51" s="12" t="s">
        <v>136</v>
      </c>
      <c r="F51" s="13" t="s">
        <v>19</v>
      </c>
      <c r="G51" s="13" t="s">
        <v>116</v>
      </c>
      <c r="H51" s="13" t="s">
        <v>51</v>
      </c>
      <c r="I51" s="14" t="s">
        <v>9</v>
      </c>
      <c r="J51" s="15">
        <v>9449</v>
      </c>
      <c r="K51" s="15">
        <v>369378</v>
      </c>
      <c r="L51" s="15">
        <v>66</v>
      </c>
      <c r="M51" s="16">
        <v>45</v>
      </c>
    </row>
    <row r="52" spans="1:13" ht="15">
      <c r="A52" s="9">
        <v>13</v>
      </c>
      <c r="B52" s="10">
        <v>45750</v>
      </c>
      <c r="C52" s="11" t="s">
        <v>116</v>
      </c>
      <c r="D52" s="11" t="s">
        <v>135</v>
      </c>
      <c r="E52" s="12" t="s">
        <v>137</v>
      </c>
      <c r="F52" s="13" t="s">
        <v>55</v>
      </c>
      <c r="G52" s="13" t="s">
        <v>116</v>
      </c>
      <c r="H52" s="13" t="s">
        <v>51</v>
      </c>
      <c r="I52" s="14" t="s">
        <v>9</v>
      </c>
      <c r="J52" s="15">
        <v>780</v>
      </c>
      <c r="K52" s="15">
        <v>7059</v>
      </c>
      <c r="L52" s="15">
        <v>13</v>
      </c>
      <c r="M52" s="16">
        <v>33</v>
      </c>
    </row>
    <row r="53" spans="1:13" ht="15">
      <c r="A53" s="9">
        <v>13</v>
      </c>
      <c r="B53" s="10">
        <v>45750</v>
      </c>
      <c r="C53" s="11" t="s">
        <v>116</v>
      </c>
      <c r="D53" s="11" t="s">
        <v>135</v>
      </c>
      <c r="E53" s="12" t="s">
        <v>138</v>
      </c>
      <c r="F53" s="13" t="s">
        <v>49</v>
      </c>
      <c r="G53" s="13" t="s">
        <v>116</v>
      </c>
      <c r="H53" s="13" t="s">
        <v>51</v>
      </c>
      <c r="I53" s="14" t="s">
        <v>9</v>
      </c>
      <c r="J53" s="15">
        <v>1956</v>
      </c>
      <c r="K53" s="15">
        <v>53493</v>
      </c>
      <c r="L53" s="15">
        <v>3</v>
      </c>
      <c r="M53" s="16">
        <v>56</v>
      </c>
    </row>
    <row r="54" spans="1:13" ht="15">
      <c r="A54" s="9">
        <v>13</v>
      </c>
      <c r="B54" s="10">
        <v>45750</v>
      </c>
      <c r="C54" s="11" t="s">
        <v>79</v>
      </c>
      <c r="D54" s="11" t="s">
        <v>139</v>
      </c>
      <c r="E54" s="12" t="s">
        <v>140</v>
      </c>
      <c r="F54" s="13" t="s">
        <v>49</v>
      </c>
      <c r="G54" s="13" t="s">
        <v>66</v>
      </c>
      <c r="H54" s="13" t="s">
        <v>71</v>
      </c>
      <c r="I54" s="14" t="s">
        <v>63</v>
      </c>
      <c r="J54" s="15">
        <v>4189</v>
      </c>
      <c r="K54" s="17"/>
      <c r="L54" s="15">
        <v>7</v>
      </c>
      <c r="M54" s="16">
        <v>622</v>
      </c>
    </row>
    <row r="55" spans="1:13" ht="15">
      <c r="A55" s="9">
        <v>13</v>
      </c>
      <c r="B55" s="10">
        <v>45750</v>
      </c>
      <c r="C55" s="11" t="s">
        <v>141</v>
      </c>
      <c r="D55" s="11" t="s">
        <v>142</v>
      </c>
      <c r="E55" s="12" t="s">
        <v>143</v>
      </c>
      <c r="F55" s="13" t="s">
        <v>19</v>
      </c>
      <c r="G55" s="13" t="s">
        <v>66</v>
      </c>
      <c r="H55" s="13" t="s">
        <v>51</v>
      </c>
      <c r="I55" s="14" t="s">
        <v>9</v>
      </c>
      <c r="J55" s="15">
        <v>159</v>
      </c>
      <c r="K55" s="15">
        <v>4150</v>
      </c>
      <c r="L55" s="15">
        <v>7</v>
      </c>
      <c r="M55" s="16">
        <v>455</v>
      </c>
    </row>
    <row r="56" spans="1:13" ht="15">
      <c r="A56" s="9">
        <v>13</v>
      </c>
      <c r="B56" s="10">
        <v>45750</v>
      </c>
      <c r="C56" s="11" t="s">
        <v>141</v>
      </c>
      <c r="D56" s="11" t="s">
        <v>142</v>
      </c>
      <c r="E56" s="12" t="s">
        <v>144</v>
      </c>
      <c r="F56" s="13" t="s">
        <v>49</v>
      </c>
      <c r="G56" s="13" t="s">
        <v>66</v>
      </c>
      <c r="H56" s="13" t="s">
        <v>51</v>
      </c>
      <c r="I56" s="14" t="s">
        <v>9</v>
      </c>
      <c r="J56" s="15">
        <v>1519</v>
      </c>
      <c r="K56" s="15">
        <v>63813</v>
      </c>
      <c r="L56" s="15">
        <v>15</v>
      </c>
      <c r="M56" s="16">
        <v>562</v>
      </c>
    </row>
    <row r="57" spans="1:13" ht="15">
      <c r="A57" s="9">
        <v>13</v>
      </c>
      <c r="B57" s="10">
        <v>45750</v>
      </c>
      <c r="C57" s="11" t="s">
        <v>145</v>
      </c>
      <c r="D57" s="11" t="s">
        <v>123</v>
      </c>
      <c r="E57" s="12" t="s">
        <v>146</v>
      </c>
      <c r="F57" s="13" t="s">
        <v>49</v>
      </c>
      <c r="G57" s="13" t="s">
        <v>66</v>
      </c>
      <c r="H57" s="13" t="s">
        <v>71</v>
      </c>
      <c r="I57" s="14" t="s">
        <v>63</v>
      </c>
      <c r="J57" s="15">
        <v>2337</v>
      </c>
      <c r="K57" s="17"/>
      <c r="L57" s="15">
        <v>21</v>
      </c>
      <c r="M57" s="16">
        <v>232</v>
      </c>
    </row>
    <row r="58" spans="1:13" ht="15">
      <c r="A58" s="9">
        <v>13</v>
      </c>
      <c r="B58" s="10">
        <v>45750</v>
      </c>
      <c r="C58" s="11" t="s">
        <v>141</v>
      </c>
      <c r="D58" s="11" t="s">
        <v>123</v>
      </c>
      <c r="E58" s="12" t="s">
        <v>147</v>
      </c>
      <c r="F58" s="13" t="s">
        <v>19</v>
      </c>
      <c r="G58" s="13" t="s">
        <v>66</v>
      </c>
      <c r="H58" s="13" t="s">
        <v>51</v>
      </c>
      <c r="I58" s="14" t="s">
        <v>9</v>
      </c>
      <c r="J58" s="15">
        <v>211</v>
      </c>
      <c r="K58" s="15">
        <v>6175</v>
      </c>
      <c r="L58" s="15">
        <v>14</v>
      </c>
      <c r="M58" s="16">
        <v>1</v>
      </c>
    </row>
    <row r="59" spans="1:13" ht="15">
      <c r="A59" s="9">
        <v>13</v>
      </c>
      <c r="B59" s="10">
        <v>45751</v>
      </c>
      <c r="C59" s="11" t="s">
        <v>132</v>
      </c>
      <c r="D59" s="11" t="s">
        <v>135</v>
      </c>
      <c r="E59" s="12" t="s">
        <v>148</v>
      </c>
      <c r="F59" s="13" t="s">
        <v>55</v>
      </c>
      <c r="G59" s="13" t="s">
        <v>56</v>
      </c>
      <c r="H59" s="13" t="s">
        <v>51</v>
      </c>
      <c r="I59" s="14" t="s">
        <v>9</v>
      </c>
      <c r="J59" s="15">
        <v>2054</v>
      </c>
      <c r="K59" s="17"/>
      <c r="L59" s="15">
        <v>34</v>
      </c>
      <c r="M59" s="18">
        <v>412</v>
      </c>
    </row>
    <row r="60" spans="1:13" ht="15">
      <c r="A60" s="9">
        <v>13</v>
      </c>
      <c r="B60" s="10">
        <v>45751</v>
      </c>
      <c r="C60" s="11" t="s">
        <v>105</v>
      </c>
      <c r="D60" s="11" t="s">
        <v>149</v>
      </c>
      <c r="E60" s="12" t="s">
        <v>150</v>
      </c>
      <c r="F60" s="13" t="s">
        <v>19</v>
      </c>
      <c r="G60" s="13" t="s">
        <v>149</v>
      </c>
      <c r="H60" s="13" t="s">
        <v>51</v>
      </c>
      <c r="I60" s="14" t="s">
        <v>9</v>
      </c>
      <c r="J60" s="15">
        <v>291</v>
      </c>
      <c r="K60" s="15">
        <v>8611</v>
      </c>
      <c r="L60" s="15">
        <v>12</v>
      </c>
      <c r="M60" s="16">
        <v>0</v>
      </c>
    </row>
    <row r="61" spans="1:13" ht="15">
      <c r="A61" s="9">
        <v>13</v>
      </c>
      <c r="B61" s="10">
        <v>45751</v>
      </c>
      <c r="C61" s="11" t="s">
        <v>105</v>
      </c>
      <c r="D61" s="11" t="s">
        <v>149</v>
      </c>
      <c r="E61" s="12" t="s">
        <v>151</v>
      </c>
      <c r="F61" s="13" t="s">
        <v>55</v>
      </c>
      <c r="G61" s="13" t="s">
        <v>149</v>
      </c>
      <c r="H61" s="13" t="s">
        <v>51</v>
      </c>
      <c r="I61" s="14" t="s">
        <v>9</v>
      </c>
      <c r="J61" s="15">
        <v>363</v>
      </c>
      <c r="K61" s="15">
        <v>5622</v>
      </c>
      <c r="L61" s="15">
        <v>31</v>
      </c>
      <c r="M61" s="18">
        <v>1</v>
      </c>
    </row>
    <row r="62" spans="1:13" ht="15">
      <c r="A62" s="9">
        <v>13</v>
      </c>
      <c r="B62" s="10">
        <v>45751</v>
      </c>
      <c r="C62" s="11" t="s">
        <v>105</v>
      </c>
      <c r="D62" s="11" t="s">
        <v>149</v>
      </c>
      <c r="E62" s="12" t="s">
        <v>152</v>
      </c>
      <c r="F62" s="13" t="s">
        <v>49</v>
      </c>
      <c r="G62" s="13" t="s">
        <v>149</v>
      </c>
      <c r="H62" s="13" t="s">
        <v>51</v>
      </c>
      <c r="I62" s="14" t="s">
        <v>9</v>
      </c>
      <c r="J62" s="15">
        <v>2445</v>
      </c>
      <c r="K62" s="15">
        <v>74026</v>
      </c>
      <c r="L62" s="15">
        <v>17</v>
      </c>
      <c r="M62" s="16">
        <v>0</v>
      </c>
    </row>
    <row r="63" spans="1:13" ht="15">
      <c r="A63" s="9">
        <v>13</v>
      </c>
      <c r="B63" s="10">
        <v>45751</v>
      </c>
      <c r="C63" s="11" t="s">
        <v>108</v>
      </c>
      <c r="D63" s="11" t="s">
        <v>153</v>
      </c>
      <c r="E63" s="12" t="s">
        <v>154</v>
      </c>
      <c r="F63" s="13" t="s">
        <v>49</v>
      </c>
      <c r="G63" s="13" t="s">
        <v>111</v>
      </c>
      <c r="H63" s="13" t="s">
        <v>51</v>
      </c>
      <c r="I63" s="14" t="s">
        <v>9</v>
      </c>
      <c r="J63" s="15">
        <v>1437</v>
      </c>
      <c r="K63" s="15">
        <v>88480</v>
      </c>
      <c r="L63" s="15">
        <v>1</v>
      </c>
      <c r="M63" s="16">
        <v>0</v>
      </c>
    </row>
    <row r="64" spans="1:13" ht="15">
      <c r="A64" s="9">
        <v>13</v>
      </c>
      <c r="B64" s="10">
        <v>45751</v>
      </c>
      <c r="C64" s="11" t="s">
        <v>108</v>
      </c>
      <c r="D64" s="11" t="s">
        <v>155</v>
      </c>
      <c r="E64" s="12" t="s">
        <v>156</v>
      </c>
      <c r="F64" s="13" t="s">
        <v>55</v>
      </c>
      <c r="G64" s="13" t="s">
        <v>111</v>
      </c>
      <c r="H64" s="13" t="s">
        <v>51</v>
      </c>
      <c r="I64" s="14" t="s">
        <v>9</v>
      </c>
      <c r="J64" s="15">
        <v>7797</v>
      </c>
      <c r="K64" s="15">
        <v>55462</v>
      </c>
      <c r="L64" s="15">
        <v>67</v>
      </c>
      <c r="M64" s="18">
        <v>0</v>
      </c>
    </row>
    <row r="65" spans="1:13" ht="15">
      <c r="A65" s="9">
        <v>13</v>
      </c>
      <c r="B65" s="10">
        <v>45751</v>
      </c>
      <c r="C65" s="11" t="s">
        <v>108</v>
      </c>
      <c r="D65" s="11" t="s">
        <v>114</v>
      </c>
      <c r="E65" s="12" t="s">
        <v>157</v>
      </c>
      <c r="F65" s="13" t="s">
        <v>19</v>
      </c>
      <c r="G65" s="13" t="s">
        <v>111</v>
      </c>
      <c r="H65" s="13" t="s">
        <v>51</v>
      </c>
      <c r="I65" s="14" t="s">
        <v>9</v>
      </c>
      <c r="J65" s="15">
        <v>161</v>
      </c>
      <c r="K65" s="15">
        <v>4246</v>
      </c>
      <c r="L65" s="15">
        <v>2</v>
      </c>
      <c r="M65" s="16">
        <v>3</v>
      </c>
    </row>
    <row r="66" spans="1:13" ht="15">
      <c r="A66" s="9">
        <v>13</v>
      </c>
      <c r="B66" s="10">
        <v>45751</v>
      </c>
      <c r="C66" s="11" t="s">
        <v>158</v>
      </c>
      <c r="D66" s="11" t="s">
        <v>159</v>
      </c>
      <c r="E66" s="12" t="s">
        <v>160</v>
      </c>
      <c r="F66" s="13" t="s">
        <v>49</v>
      </c>
      <c r="G66" s="13" t="s">
        <v>66</v>
      </c>
      <c r="H66" s="13" t="s">
        <v>71</v>
      </c>
      <c r="I66" s="14" t="s">
        <v>63</v>
      </c>
      <c r="J66" s="15">
        <v>15686</v>
      </c>
      <c r="K66" s="17"/>
      <c r="L66" s="15">
        <v>300</v>
      </c>
      <c r="M66" s="16">
        <v>4</v>
      </c>
    </row>
    <row r="67" spans="1:13" ht="15">
      <c r="A67" s="9">
        <v>13</v>
      </c>
      <c r="B67" s="10">
        <v>45751</v>
      </c>
      <c r="C67" s="11" t="s">
        <v>158</v>
      </c>
      <c r="D67" s="11" t="s">
        <v>159</v>
      </c>
      <c r="E67" s="12" t="s">
        <v>161</v>
      </c>
      <c r="F67" s="13" t="s">
        <v>19</v>
      </c>
      <c r="G67" s="13" t="s">
        <v>66</v>
      </c>
      <c r="H67" s="13" t="s">
        <v>71</v>
      </c>
      <c r="I67" s="14" t="s">
        <v>9</v>
      </c>
      <c r="J67" s="15">
        <v>99</v>
      </c>
      <c r="K67" s="15">
        <v>4240</v>
      </c>
      <c r="L67" s="15">
        <v>4</v>
      </c>
      <c r="M67" s="16">
        <v>6</v>
      </c>
    </row>
    <row r="68" spans="1:13" ht="15">
      <c r="A68" s="9">
        <v>13</v>
      </c>
      <c r="B68" s="10">
        <v>45752</v>
      </c>
      <c r="C68" s="11" t="s">
        <v>132</v>
      </c>
      <c r="D68" s="11" t="s">
        <v>162</v>
      </c>
      <c r="E68" s="12" t="s">
        <v>163</v>
      </c>
      <c r="F68" s="13" t="s">
        <v>55</v>
      </c>
      <c r="G68" s="13" t="s">
        <v>164</v>
      </c>
      <c r="H68" s="13" t="s">
        <v>57</v>
      </c>
      <c r="I68" s="14" t="s">
        <v>58</v>
      </c>
      <c r="J68" s="15">
        <v>161</v>
      </c>
      <c r="K68" s="17"/>
      <c r="L68" s="15">
        <v>1</v>
      </c>
      <c r="M68" s="18">
        <v>91</v>
      </c>
    </row>
    <row r="69" spans="1:13" ht="15">
      <c r="A69" s="9">
        <v>13</v>
      </c>
      <c r="B69" s="10">
        <v>45752</v>
      </c>
      <c r="C69" s="11" t="s">
        <v>66</v>
      </c>
      <c r="D69" s="11" t="s">
        <v>165</v>
      </c>
      <c r="E69" s="12" t="s">
        <v>166</v>
      </c>
      <c r="F69" s="13" t="s">
        <v>49</v>
      </c>
      <c r="G69" s="13" t="s">
        <v>111</v>
      </c>
      <c r="H69" s="13" t="s">
        <v>51</v>
      </c>
      <c r="I69" s="14" t="s">
        <v>9</v>
      </c>
      <c r="J69" s="15">
        <v>10551</v>
      </c>
      <c r="K69" s="15">
        <v>237164</v>
      </c>
      <c r="L69" s="15">
        <v>27</v>
      </c>
      <c r="M69" s="16">
        <v>34</v>
      </c>
    </row>
    <row r="70" spans="1:13" ht="15">
      <c r="A70" s="9">
        <v>13</v>
      </c>
      <c r="B70" s="10">
        <v>45753</v>
      </c>
      <c r="C70" s="11" t="s">
        <v>108</v>
      </c>
      <c r="D70" s="11" t="s">
        <v>167</v>
      </c>
      <c r="E70" s="12" t="s">
        <v>168</v>
      </c>
      <c r="F70" s="13" t="s">
        <v>19</v>
      </c>
      <c r="G70" s="13" t="s">
        <v>111</v>
      </c>
      <c r="H70" s="13" t="s">
        <v>51</v>
      </c>
      <c r="I70" s="14" t="s">
        <v>9</v>
      </c>
      <c r="J70" s="15">
        <v>315</v>
      </c>
      <c r="K70" s="15">
        <v>6213</v>
      </c>
      <c r="L70" s="15">
        <v>3</v>
      </c>
      <c r="M70" s="16">
        <v>0</v>
      </c>
    </row>
    <row r="71" spans="1:13" ht="15">
      <c r="A71" s="9">
        <v>13</v>
      </c>
      <c r="B71" s="10">
        <v>45753</v>
      </c>
      <c r="C71" s="11" t="s">
        <v>66</v>
      </c>
      <c r="D71" s="11" t="s">
        <v>135</v>
      </c>
      <c r="E71" s="12" t="s">
        <v>169</v>
      </c>
      <c r="F71" s="13" t="s">
        <v>55</v>
      </c>
      <c r="G71" s="13" t="s">
        <v>66</v>
      </c>
      <c r="H71" s="13" t="s">
        <v>71</v>
      </c>
      <c r="I71" s="14" t="s">
        <v>63</v>
      </c>
      <c r="J71" s="15">
        <v>21424</v>
      </c>
      <c r="K71" s="17"/>
      <c r="L71" s="15">
        <v>20</v>
      </c>
      <c r="M71" s="18">
        <v>13</v>
      </c>
    </row>
    <row r="72" spans="1:13" ht="15">
      <c r="A72" s="9">
        <v>13</v>
      </c>
      <c r="B72" s="10">
        <v>45753</v>
      </c>
      <c r="C72" s="11" t="s">
        <v>170</v>
      </c>
      <c r="D72" s="11" t="s">
        <v>171</v>
      </c>
      <c r="E72" s="12" t="s">
        <v>172</v>
      </c>
      <c r="F72" s="13" t="s">
        <v>49</v>
      </c>
      <c r="G72" s="13" t="s">
        <v>66</v>
      </c>
      <c r="H72" s="13" t="s">
        <v>71</v>
      </c>
      <c r="I72" s="14" t="s">
        <v>63</v>
      </c>
      <c r="J72" s="15">
        <v>2528</v>
      </c>
      <c r="K72" s="17"/>
      <c r="L72" s="15">
        <v>7</v>
      </c>
      <c r="M72" s="16">
        <v>13</v>
      </c>
    </row>
    <row r="73" spans="1:13" ht="15">
      <c r="A73" s="9">
        <v>13</v>
      </c>
      <c r="B73" s="10">
        <v>45753</v>
      </c>
      <c r="C73" s="11" t="s">
        <v>79</v>
      </c>
      <c r="D73" s="11" t="s">
        <v>173</v>
      </c>
      <c r="E73" s="12" t="s">
        <v>174</v>
      </c>
      <c r="F73" s="13" t="s">
        <v>49</v>
      </c>
      <c r="G73" s="13" t="s">
        <v>66</v>
      </c>
      <c r="H73" s="13" t="s">
        <v>71</v>
      </c>
      <c r="I73" s="14" t="s">
        <v>63</v>
      </c>
      <c r="J73" s="15">
        <v>25618</v>
      </c>
      <c r="K73" s="17"/>
      <c r="L73" s="15">
        <v>58</v>
      </c>
      <c r="M73" s="16">
        <v>19</v>
      </c>
    </row>
    <row r="74" spans="1:13" ht="15">
      <c r="A74" s="9">
        <v>14</v>
      </c>
      <c r="B74" s="10">
        <v>45754</v>
      </c>
      <c r="C74" s="11" t="s">
        <v>141</v>
      </c>
      <c r="D74" s="11" t="s">
        <v>175</v>
      </c>
      <c r="E74" s="12" t="s">
        <v>176</v>
      </c>
      <c r="F74" s="13" t="s">
        <v>55</v>
      </c>
      <c r="G74" s="13" t="s">
        <v>56</v>
      </c>
      <c r="H74" s="13" t="s">
        <v>57</v>
      </c>
      <c r="I74" s="14" t="s">
        <v>58</v>
      </c>
      <c r="J74" s="15">
        <v>297</v>
      </c>
      <c r="K74" s="17"/>
      <c r="L74" s="15">
        <v>4</v>
      </c>
      <c r="M74" s="18">
        <v>86</v>
      </c>
    </row>
    <row r="75" spans="1:13" ht="15">
      <c r="A75" s="9">
        <v>14</v>
      </c>
      <c r="B75" s="10">
        <v>45754</v>
      </c>
      <c r="C75" s="11" t="s">
        <v>141</v>
      </c>
      <c r="D75" s="11" t="s">
        <v>175</v>
      </c>
      <c r="E75" s="12" t="s">
        <v>177</v>
      </c>
      <c r="F75" s="13" t="s">
        <v>49</v>
      </c>
      <c r="G75" s="13" t="s">
        <v>66</v>
      </c>
      <c r="H75" s="13" t="s">
        <v>71</v>
      </c>
      <c r="I75" s="14" t="s">
        <v>63</v>
      </c>
      <c r="J75" s="15">
        <v>6721</v>
      </c>
      <c r="K75" s="17"/>
      <c r="L75" s="15">
        <v>161</v>
      </c>
      <c r="M75" s="16">
        <v>90</v>
      </c>
    </row>
    <row r="76" spans="1:13" ht="15">
      <c r="A76" s="9">
        <v>14</v>
      </c>
      <c r="B76" s="10">
        <v>45754</v>
      </c>
      <c r="C76" s="11" t="s">
        <v>178</v>
      </c>
      <c r="D76" s="11" t="s">
        <v>135</v>
      </c>
      <c r="E76" s="12" t="s">
        <v>179</v>
      </c>
      <c r="F76" s="13" t="s">
        <v>19</v>
      </c>
      <c r="G76" s="13" t="s">
        <v>66</v>
      </c>
      <c r="H76" s="13" t="s">
        <v>51</v>
      </c>
      <c r="I76" s="14" t="s">
        <v>9</v>
      </c>
      <c r="J76" s="15">
        <v>97</v>
      </c>
      <c r="K76" s="15">
        <v>2971</v>
      </c>
      <c r="L76" s="15">
        <v>8</v>
      </c>
      <c r="M76" s="16">
        <v>32</v>
      </c>
    </row>
    <row r="77" spans="1:13" ht="15">
      <c r="A77" s="9">
        <v>14</v>
      </c>
      <c r="B77" s="10">
        <v>45754</v>
      </c>
      <c r="C77" s="11" t="s">
        <v>178</v>
      </c>
      <c r="D77" s="11" t="s">
        <v>135</v>
      </c>
      <c r="E77" s="12" t="s">
        <v>180</v>
      </c>
      <c r="F77" s="13" t="s">
        <v>49</v>
      </c>
      <c r="G77" s="13" t="s">
        <v>66</v>
      </c>
      <c r="H77" s="13" t="s">
        <v>51</v>
      </c>
      <c r="I77" s="14" t="s">
        <v>9</v>
      </c>
      <c r="J77" s="15">
        <v>9649</v>
      </c>
      <c r="K77" s="17"/>
      <c r="L77" s="15">
        <v>46</v>
      </c>
      <c r="M77" s="16">
        <v>0</v>
      </c>
    </row>
    <row r="78" spans="1:13" ht="15">
      <c r="A78" s="9">
        <v>14</v>
      </c>
      <c r="B78" s="10">
        <v>45755</v>
      </c>
      <c r="C78" s="11" t="s">
        <v>56</v>
      </c>
      <c r="D78" s="11" t="s">
        <v>181</v>
      </c>
      <c r="E78" s="12" t="s">
        <v>182</v>
      </c>
      <c r="F78" s="13" t="s">
        <v>55</v>
      </c>
      <c r="G78" s="13" t="s">
        <v>56</v>
      </c>
      <c r="H78" s="13" t="s">
        <v>57</v>
      </c>
      <c r="I78" s="14" t="s">
        <v>58</v>
      </c>
      <c r="J78" s="15">
        <v>820</v>
      </c>
      <c r="K78" s="17"/>
      <c r="L78" s="15">
        <v>16</v>
      </c>
      <c r="M78" s="18">
        <v>227</v>
      </c>
    </row>
    <row r="79" spans="1:13" ht="15">
      <c r="A79" s="9">
        <v>14</v>
      </c>
      <c r="B79" s="10">
        <v>45755</v>
      </c>
      <c r="C79" s="11" t="s">
        <v>59</v>
      </c>
      <c r="D79" s="11" t="s">
        <v>183</v>
      </c>
      <c r="E79" s="12" t="s">
        <v>184</v>
      </c>
      <c r="F79" s="13" t="s">
        <v>49</v>
      </c>
      <c r="G79" s="13" t="s">
        <v>59</v>
      </c>
      <c r="H79" s="13" t="s">
        <v>62</v>
      </c>
      <c r="I79" s="14" t="s">
        <v>63</v>
      </c>
      <c r="J79" s="15">
        <v>4334</v>
      </c>
      <c r="K79" s="17"/>
      <c r="L79" s="15">
        <v>19</v>
      </c>
      <c r="M79" s="16">
        <v>228</v>
      </c>
    </row>
    <row r="80" spans="1:13" ht="15">
      <c r="A80" s="9">
        <v>14</v>
      </c>
      <c r="B80" s="10">
        <v>45755</v>
      </c>
      <c r="C80" s="11" t="s">
        <v>149</v>
      </c>
      <c r="D80" s="11" t="s">
        <v>185</v>
      </c>
      <c r="E80" s="12" t="s">
        <v>186</v>
      </c>
      <c r="F80" s="13" t="s">
        <v>55</v>
      </c>
      <c r="G80" s="13" t="s">
        <v>149</v>
      </c>
      <c r="H80" s="13" t="s">
        <v>51</v>
      </c>
      <c r="I80" s="14" t="s">
        <v>9</v>
      </c>
      <c r="J80" s="15">
        <v>798</v>
      </c>
      <c r="K80" s="15">
        <v>9174</v>
      </c>
      <c r="L80" s="15">
        <v>16</v>
      </c>
      <c r="M80" s="16">
        <v>29</v>
      </c>
    </row>
    <row r="81" spans="1:13" ht="15">
      <c r="A81" s="9">
        <v>14</v>
      </c>
      <c r="B81" s="10">
        <v>45755</v>
      </c>
      <c r="C81" s="11" t="s">
        <v>149</v>
      </c>
      <c r="D81" s="11" t="s">
        <v>185</v>
      </c>
      <c r="E81" s="12" t="s">
        <v>187</v>
      </c>
      <c r="F81" s="13" t="s">
        <v>49</v>
      </c>
      <c r="G81" s="13" t="s">
        <v>149</v>
      </c>
      <c r="H81" s="13" t="s">
        <v>51</v>
      </c>
      <c r="I81" s="14" t="s">
        <v>9</v>
      </c>
      <c r="J81" s="15">
        <v>4259</v>
      </c>
      <c r="K81" s="15">
        <v>138569</v>
      </c>
      <c r="L81" s="15">
        <v>28</v>
      </c>
      <c r="M81" s="16">
        <v>27</v>
      </c>
    </row>
    <row r="82" spans="1:13" ht="15">
      <c r="A82" s="9">
        <v>14</v>
      </c>
      <c r="B82" s="10">
        <v>45755</v>
      </c>
      <c r="C82" s="11" t="s">
        <v>149</v>
      </c>
      <c r="D82" s="11" t="s">
        <v>185</v>
      </c>
      <c r="E82" s="12" t="s">
        <v>188</v>
      </c>
      <c r="F82" s="13" t="s">
        <v>19</v>
      </c>
      <c r="G82" s="13" t="s">
        <v>149</v>
      </c>
      <c r="H82" s="13" t="s">
        <v>51</v>
      </c>
      <c r="I82" s="14" t="s">
        <v>9</v>
      </c>
      <c r="J82" s="15">
        <v>547</v>
      </c>
      <c r="K82" s="15">
        <v>8693</v>
      </c>
      <c r="L82" s="15">
        <v>17</v>
      </c>
      <c r="M82" s="16">
        <v>9</v>
      </c>
    </row>
    <row r="83" spans="1:13" ht="15">
      <c r="A83" s="9">
        <v>14</v>
      </c>
      <c r="B83" s="10">
        <v>45755</v>
      </c>
      <c r="C83" s="11" t="s">
        <v>66</v>
      </c>
      <c r="D83" s="11" t="s">
        <v>189</v>
      </c>
      <c r="E83" s="12" t="s">
        <v>190</v>
      </c>
      <c r="F83" s="13" t="s">
        <v>19</v>
      </c>
      <c r="G83" s="13" t="s">
        <v>66</v>
      </c>
      <c r="H83" s="13" t="s">
        <v>51</v>
      </c>
      <c r="I83" s="14" t="s">
        <v>9</v>
      </c>
      <c r="J83" s="15">
        <v>14295</v>
      </c>
      <c r="K83" s="15">
        <v>116784</v>
      </c>
      <c r="L83" s="15">
        <v>127</v>
      </c>
      <c r="M83" s="16">
        <v>89</v>
      </c>
    </row>
    <row r="84" spans="1:13" ht="15">
      <c r="A84" s="9">
        <v>14</v>
      </c>
      <c r="B84" s="10">
        <v>45755</v>
      </c>
      <c r="C84" s="11" t="s">
        <v>66</v>
      </c>
      <c r="D84" s="11" t="s">
        <v>191</v>
      </c>
      <c r="E84" s="12" t="s">
        <v>192</v>
      </c>
      <c r="F84" s="13" t="s">
        <v>55</v>
      </c>
      <c r="G84" s="13" t="s">
        <v>66</v>
      </c>
      <c r="H84" s="13" t="s">
        <v>71</v>
      </c>
      <c r="I84" s="14" t="s">
        <v>63</v>
      </c>
      <c r="J84" s="15">
        <v>17184</v>
      </c>
      <c r="K84" s="17"/>
      <c r="L84" s="15">
        <v>110</v>
      </c>
      <c r="M84" s="18">
        <v>2</v>
      </c>
    </row>
    <row r="85" spans="1:13" ht="15">
      <c r="A85" s="9">
        <v>14</v>
      </c>
      <c r="B85" s="10">
        <v>45755</v>
      </c>
      <c r="C85" s="11" t="s">
        <v>66</v>
      </c>
      <c r="D85" s="11" t="s">
        <v>191</v>
      </c>
      <c r="E85" s="12" t="s">
        <v>193</v>
      </c>
      <c r="F85" s="13" t="s">
        <v>49</v>
      </c>
      <c r="G85" s="13" t="s">
        <v>66</v>
      </c>
      <c r="H85" s="13" t="s">
        <v>71</v>
      </c>
      <c r="I85" s="14" t="s">
        <v>63</v>
      </c>
      <c r="J85" s="15">
        <v>5114</v>
      </c>
      <c r="K85" s="17"/>
      <c r="L85" s="15">
        <v>189</v>
      </c>
      <c r="M85" s="16"/>
    </row>
    <row r="86" spans="1:13" ht="15">
      <c r="A86" s="9">
        <v>14</v>
      </c>
      <c r="B86" s="10">
        <v>45756</v>
      </c>
      <c r="C86" s="11" t="s">
        <v>132</v>
      </c>
      <c r="D86" s="11" t="s">
        <v>183</v>
      </c>
      <c r="E86" s="12" t="s">
        <v>194</v>
      </c>
      <c r="F86" s="13" t="s">
        <v>55</v>
      </c>
      <c r="G86" s="13" t="s">
        <v>56</v>
      </c>
      <c r="H86" s="13" t="s">
        <v>57</v>
      </c>
      <c r="I86" s="14" t="s">
        <v>63</v>
      </c>
      <c r="J86" s="15">
        <v>546</v>
      </c>
      <c r="K86" s="17"/>
      <c r="L86" s="15">
        <v>11</v>
      </c>
      <c r="M86" s="18">
        <v>88</v>
      </c>
    </row>
    <row r="87" spans="1:13" ht="15">
      <c r="A87" s="9">
        <v>14</v>
      </c>
      <c r="B87" s="10">
        <v>45756</v>
      </c>
      <c r="C87" s="11" t="s">
        <v>111</v>
      </c>
      <c r="D87" s="11" t="s">
        <v>195</v>
      </c>
      <c r="E87" s="12" t="s">
        <v>196</v>
      </c>
      <c r="F87" s="13" t="s">
        <v>49</v>
      </c>
      <c r="G87" s="13" t="s">
        <v>111</v>
      </c>
      <c r="H87" s="13" t="s">
        <v>51</v>
      </c>
      <c r="I87" s="14" t="s">
        <v>9</v>
      </c>
      <c r="J87" s="15">
        <v>1703</v>
      </c>
      <c r="K87" s="15">
        <v>45420</v>
      </c>
      <c r="L87" s="15">
        <v>8</v>
      </c>
      <c r="M87" s="16"/>
    </row>
    <row r="88" spans="1:13" ht="15">
      <c r="A88" s="9">
        <v>14</v>
      </c>
      <c r="B88" s="10">
        <v>45756</v>
      </c>
      <c r="C88" s="11" t="s">
        <v>111</v>
      </c>
      <c r="D88" s="11" t="s">
        <v>195</v>
      </c>
      <c r="E88" s="12" t="s">
        <v>197</v>
      </c>
      <c r="F88" s="13" t="s">
        <v>19</v>
      </c>
      <c r="G88" s="13" t="s">
        <v>111</v>
      </c>
      <c r="H88" s="13" t="s">
        <v>51</v>
      </c>
      <c r="I88" s="14" t="s">
        <v>9</v>
      </c>
      <c r="J88" s="15">
        <v>89</v>
      </c>
      <c r="K88" s="15">
        <v>3088</v>
      </c>
      <c r="L88" s="15">
        <v>3</v>
      </c>
      <c r="M88" s="16"/>
    </row>
    <row r="89" spans="1:13" ht="15">
      <c r="A89" s="9">
        <v>14</v>
      </c>
      <c r="B89" s="10">
        <v>45756</v>
      </c>
      <c r="C89" s="11" t="s">
        <v>59</v>
      </c>
      <c r="D89" s="11" t="s">
        <v>198</v>
      </c>
      <c r="E89" s="12" t="s">
        <v>199</v>
      </c>
      <c r="F89" s="13" t="s">
        <v>49</v>
      </c>
      <c r="G89" s="13" t="s">
        <v>59</v>
      </c>
      <c r="H89" s="13" t="s">
        <v>62</v>
      </c>
      <c r="I89" s="14" t="s">
        <v>63</v>
      </c>
      <c r="J89" s="15">
        <v>1879</v>
      </c>
      <c r="K89" s="17"/>
      <c r="L89" s="15">
        <v>4</v>
      </c>
      <c r="M89" s="16"/>
    </row>
    <row r="90" spans="1:13" ht="15">
      <c r="A90" s="9">
        <v>14</v>
      </c>
      <c r="B90" s="10">
        <v>45756</v>
      </c>
      <c r="C90" s="11" t="s">
        <v>200</v>
      </c>
      <c r="D90" s="11" t="s">
        <v>201</v>
      </c>
      <c r="E90" s="12" t="s">
        <v>202</v>
      </c>
      <c r="F90" s="13" t="s">
        <v>55</v>
      </c>
      <c r="G90" s="13" t="s">
        <v>66</v>
      </c>
      <c r="H90" s="13" t="s">
        <v>51</v>
      </c>
      <c r="I90" s="14" t="s">
        <v>9</v>
      </c>
      <c r="J90" s="15">
        <v>831</v>
      </c>
      <c r="K90" s="15">
        <v>11636</v>
      </c>
      <c r="L90" s="15">
        <v>10</v>
      </c>
      <c r="M90" s="18">
        <v>1</v>
      </c>
    </row>
    <row r="91" spans="1:13" ht="15">
      <c r="A91" s="9">
        <v>14</v>
      </c>
      <c r="B91" s="10">
        <v>45756</v>
      </c>
      <c r="C91" s="11" t="s">
        <v>111</v>
      </c>
      <c r="D91" s="11" t="s">
        <v>175</v>
      </c>
      <c r="E91" s="12" t="s">
        <v>203</v>
      </c>
      <c r="F91" s="13" t="s">
        <v>49</v>
      </c>
      <c r="G91" s="13" t="s">
        <v>111</v>
      </c>
      <c r="H91" s="13" t="s">
        <v>51</v>
      </c>
      <c r="I91" s="14" t="s">
        <v>9</v>
      </c>
      <c r="J91" s="15">
        <v>1424</v>
      </c>
      <c r="K91" s="15">
        <v>59388</v>
      </c>
      <c r="L91" s="15">
        <v>0</v>
      </c>
      <c r="M91" s="16"/>
    </row>
    <row r="92" spans="1:13" ht="15">
      <c r="A92" s="9">
        <v>14</v>
      </c>
      <c r="B92" s="10">
        <v>45756</v>
      </c>
      <c r="C92" s="11" t="s">
        <v>111</v>
      </c>
      <c r="D92" s="11" t="s">
        <v>153</v>
      </c>
      <c r="E92" s="12" t="s">
        <v>204</v>
      </c>
      <c r="F92" s="13" t="s">
        <v>19</v>
      </c>
      <c r="G92" s="13" t="s">
        <v>111</v>
      </c>
      <c r="H92" s="13" t="s">
        <v>51</v>
      </c>
      <c r="I92" s="14" t="s">
        <v>9</v>
      </c>
      <c r="J92" s="15">
        <v>63</v>
      </c>
      <c r="K92" s="15">
        <v>2901</v>
      </c>
      <c r="L92" s="15">
        <v>3</v>
      </c>
      <c r="M92" s="16"/>
    </row>
    <row r="93" spans="1:13" ht="15">
      <c r="A93" s="9">
        <v>14</v>
      </c>
      <c r="B93" s="10">
        <v>45756</v>
      </c>
      <c r="C93" s="11" t="s">
        <v>66</v>
      </c>
      <c r="D93" s="11" t="s">
        <v>205</v>
      </c>
      <c r="E93" s="12" t="s">
        <v>206</v>
      </c>
      <c r="F93" s="13" t="s">
        <v>19</v>
      </c>
      <c r="G93" s="13" t="s">
        <v>66</v>
      </c>
      <c r="H93" s="13" t="s">
        <v>51</v>
      </c>
      <c r="I93" s="14" t="s">
        <v>9</v>
      </c>
      <c r="J93" s="15">
        <v>126</v>
      </c>
      <c r="K93" s="15">
        <v>3700</v>
      </c>
      <c r="L93" s="15">
        <v>4</v>
      </c>
      <c r="M93" s="16"/>
    </row>
    <row r="94" spans="1:13" ht="15">
      <c r="A94" s="9">
        <v>14</v>
      </c>
      <c r="B94" s="10">
        <v>45756</v>
      </c>
      <c r="C94" s="11" t="s">
        <v>66</v>
      </c>
      <c r="D94" s="11" t="s">
        <v>205</v>
      </c>
      <c r="E94" s="12" t="s">
        <v>207</v>
      </c>
      <c r="F94" s="13" t="s">
        <v>49</v>
      </c>
      <c r="G94" s="13" t="s">
        <v>66</v>
      </c>
      <c r="H94" s="13" t="s">
        <v>51</v>
      </c>
      <c r="I94" s="14" t="s">
        <v>9</v>
      </c>
      <c r="J94" s="15">
        <v>616</v>
      </c>
      <c r="K94" s="15">
        <v>30930</v>
      </c>
      <c r="L94" s="15">
        <v>8</v>
      </c>
      <c r="M94" s="16"/>
    </row>
    <row r="95" spans="1:13" ht="15">
      <c r="A95" s="9">
        <v>14</v>
      </c>
      <c r="B95" s="10">
        <v>45756</v>
      </c>
      <c r="C95" s="11" t="s">
        <v>66</v>
      </c>
      <c r="D95" s="11" t="s">
        <v>205</v>
      </c>
      <c r="E95" s="12" t="s">
        <v>208</v>
      </c>
      <c r="F95" s="13" t="s">
        <v>55</v>
      </c>
      <c r="G95" s="13" t="s">
        <v>66</v>
      </c>
      <c r="H95" s="13" t="s">
        <v>51</v>
      </c>
      <c r="I95" s="14" t="s">
        <v>9</v>
      </c>
      <c r="J95" s="15">
        <v>148</v>
      </c>
      <c r="K95" s="15">
        <v>4531</v>
      </c>
      <c r="L95" s="15">
        <v>5</v>
      </c>
      <c r="M95" s="16"/>
    </row>
    <row r="96" spans="1:13" ht="15">
      <c r="A96" s="9">
        <v>14</v>
      </c>
      <c r="B96" s="10">
        <v>45757</v>
      </c>
      <c r="C96" s="11" t="s">
        <v>132</v>
      </c>
      <c r="D96" s="11" t="s">
        <v>209</v>
      </c>
      <c r="E96" s="12" t="s">
        <v>210</v>
      </c>
      <c r="F96" s="13" t="s">
        <v>55</v>
      </c>
      <c r="G96" s="13" t="s">
        <v>56</v>
      </c>
      <c r="H96" s="13" t="s">
        <v>57</v>
      </c>
      <c r="I96" s="14" t="s">
        <v>58</v>
      </c>
      <c r="J96" s="15">
        <v>1027</v>
      </c>
      <c r="K96" s="17"/>
      <c r="L96" s="15">
        <v>15</v>
      </c>
      <c r="M96" s="18">
        <v>371</v>
      </c>
    </row>
    <row r="97" spans="1:13" ht="15">
      <c r="A97" s="9">
        <v>14</v>
      </c>
      <c r="B97" s="10">
        <v>45757</v>
      </c>
      <c r="C97" s="11" t="s">
        <v>105</v>
      </c>
      <c r="D97" s="11" t="s">
        <v>149</v>
      </c>
      <c r="E97" s="12" t="s">
        <v>211</v>
      </c>
      <c r="F97" s="13" t="s">
        <v>49</v>
      </c>
      <c r="G97" s="13" t="s">
        <v>149</v>
      </c>
      <c r="H97" s="13" t="s">
        <v>51</v>
      </c>
      <c r="I97" s="14" t="s">
        <v>9</v>
      </c>
      <c r="J97" s="15">
        <v>614</v>
      </c>
      <c r="K97" s="15">
        <v>42298</v>
      </c>
      <c r="L97" s="15">
        <v>0</v>
      </c>
      <c r="M97" s="16"/>
    </row>
    <row r="98" spans="1:13" ht="15">
      <c r="A98" s="9">
        <v>14</v>
      </c>
      <c r="B98" s="10">
        <v>45757</v>
      </c>
      <c r="C98" s="11" t="s">
        <v>105</v>
      </c>
      <c r="D98" s="11" t="s">
        <v>149</v>
      </c>
      <c r="E98" s="12" t="s">
        <v>212</v>
      </c>
      <c r="F98" s="13" t="s">
        <v>55</v>
      </c>
      <c r="G98" s="13" t="s">
        <v>149</v>
      </c>
      <c r="H98" s="13" t="s">
        <v>71</v>
      </c>
      <c r="I98" s="14" t="s">
        <v>63</v>
      </c>
      <c r="J98" s="15">
        <v>2707</v>
      </c>
      <c r="K98" s="17"/>
      <c r="L98" s="15">
        <v>17</v>
      </c>
      <c r="M98" s="18">
        <v>1</v>
      </c>
    </row>
    <row r="99" spans="1:13" ht="15">
      <c r="A99" s="9">
        <v>14</v>
      </c>
      <c r="B99" s="10">
        <v>45757</v>
      </c>
      <c r="C99" s="11" t="s">
        <v>105</v>
      </c>
      <c r="D99" s="11" t="s">
        <v>149</v>
      </c>
      <c r="E99" s="12" t="s">
        <v>213</v>
      </c>
      <c r="F99" s="13" t="s">
        <v>19</v>
      </c>
      <c r="G99" s="13" t="s">
        <v>149</v>
      </c>
      <c r="H99" s="13" t="s">
        <v>51</v>
      </c>
      <c r="I99" s="14" t="s">
        <v>9</v>
      </c>
      <c r="J99" s="15">
        <v>136</v>
      </c>
      <c r="K99" s="15">
        <v>3118</v>
      </c>
      <c r="L99" s="15">
        <v>11</v>
      </c>
      <c r="M99" s="16"/>
    </row>
    <row r="100" spans="1:13" ht="15">
      <c r="A100" s="9">
        <v>14</v>
      </c>
      <c r="B100" s="10">
        <v>45757</v>
      </c>
      <c r="C100" s="11" t="s">
        <v>59</v>
      </c>
      <c r="D100" s="11" t="s">
        <v>60</v>
      </c>
      <c r="E100" s="12" t="s">
        <v>214</v>
      </c>
      <c r="F100" s="13" t="s">
        <v>49</v>
      </c>
      <c r="G100" s="13" t="s">
        <v>59</v>
      </c>
      <c r="H100" s="13" t="s">
        <v>62</v>
      </c>
      <c r="I100" s="14" t="s">
        <v>63</v>
      </c>
      <c r="J100" s="15">
        <v>1721</v>
      </c>
      <c r="K100" s="17"/>
      <c r="L100" s="15">
        <v>10</v>
      </c>
      <c r="M100" s="16"/>
    </row>
    <row r="101" spans="1:13" ht="15">
      <c r="A101" s="9">
        <v>14</v>
      </c>
      <c r="B101" s="10">
        <v>45757</v>
      </c>
      <c r="C101" s="11" t="s">
        <v>66</v>
      </c>
      <c r="D101" s="11" t="s">
        <v>129</v>
      </c>
      <c r="E101" s="12" t="s">
        <v>215</v>
      </c>
      <c r="F101" s="13" t="s">
        <v>49</v>
      </c>
      <c r="G101" s="13" t="s">
        <v>66</v>
      </c>
      <c r="H101" s="13" t="s">
        <v>71</v>
      </c>
      <c r="I101" s="14" t="s">
        <v>63</v>
      </c>
      <c r="J101" s="15">
        <v>10100</v>
      </c>
      <c r="K101" s="17"/>
      <c r="L101" s="15">
        <v>103</v>
      </c>
      <c r="M101" s="16"/>
    </row>
    <row r="102" spans="1:13" ht="15">
      <c r="A102" s="9">
        <v>14</v>
      </c>
      <c r="B102" s="10">
        <v>45758</v>
      </c>
      <c r="C102" s="11" t="s">
        <v>56</v>
      </c>
      <c r="D102" s="11" t="s">
        <v>216</v>
      </c>
      <c r="E102" s="12" t="s">
        <v>217</v>
      </c>
      <c r="F102" s="13" t="s">
        <v>55</v>
      </c>
      <c r="G102" s="13" t="s">
        <v>56</v>
      </c>
      <c r="H102" s="13" t="s">
        <v>57</v>
      </c>
      <c r="I102" s="14" t="s">
        <v>58</v>
      </c>
      <c r="J102" s="15">
        <v>161</v>
      </c>
      <c r="K102" s="17"/>
      <c r="L102" s="15">
        <v>2</v>
      </c>
      <c r="M102" s="18">
        <v>56</v>
      </c>
    </row>
    <row r="103" spans="1:13" ht="15">
      <c r="A103" s="9">
        <v>14</v>
      </c>
      <c r="B103" s="10">
        <v>45758</v>
      </c>
      <c r="C103" s="11" t="s">
        <v>111</v>
      </c>
      <c r="D103" s="11" t="s">
        <v>114</v>
      </c>
      <c r="E103" s="12" t="s">
        <v>218</v>
      </c>
      <c r="F103" s="13" t="s">
        <v>19</v>
      </c>
      <c r="G103" s="13" t="s">
        <v>111</v>
      </c>
      <c r="H103" s="13" t="s">
        <v>51</v>
      </c>
      <c r="I103" s="14" t="s">
        <v>9</v>
      </c>
      <c r="J103" s="15">
        <v>315</v>
      </c>
      <c r="K103" s="15">
        <v>5093</v>
      </c>
      <c r="L103" s="15">
        <v>6</v>
      </c>
      <c r="M103" s="16"/>
    </row>
    <row r="104" spans="1:13" ht="15">
      <c r="A104" s="9">
        <v>14</v>
      </c>
      <c r="B104" s="10">
        <v>45758</v>
      </c>
      <c r="C104" s="11" t="s">
        <v>66</v>
      </c>
      <c r="D104" s="11" t="s">
        <v>219</v>
      </c>
      <c r="E104" s="12" t="s">
        <v>220</v>
      </c>
      <c r="F104" s="13" t="s">
        <v>49</v>
      </c>
      <c r="G104" s="13" t="s">
        <v>66</v>
      </c>
      <c r="H104" s="13" t="s">
        <v>62</v>
      </c>
      <c r="I104" s="14" t="s">
        <v>63</v>
      </c>
      <c r="J104" s="15">
        <v>3654</v>
      </c>
      <c r="K104" s="17"/>
      <c r="L104" s="15">
        <v>120</v>
      </c>
      <c r="M104" s="16"/>
    </row>
    <row r="105" spans="1:13" ht="15">
      <c r="A105" s="9">
        <v>14</v>
      </c>
      <c r="B105" s="10">
        <v>45758</v>
      </c>
      <c r="C105" s="11" t="s">
        <v>111</v>
      </c>
      <c r="D105" s="11" t="s">
        <v>221</v>
      </c>
      <c r="E105" s="12" t="s">
        <v>222</v>
      </c>
      <c r="F105" s="13" t="s">
        <v>55</v>
      </c>
      <c r="G105" s="13" t="s">
        <v>111</v>
      </c>
      <c r="H105" s="13" t="s">
        <v>51</v>
      </c>
      <c r="I105" s="14" t="s">
        <v>9</v>
      </c>
      <c r="J105" s="15">
        <v>6382</v>
      </c>
      <c r="K105" s="15">
        <v>97715</v>
      </c>
      <c r="L105" s="15">
        <v>29</v>
      </c>
      <c r="M105" s="18">
        <v>8</v>
      </c>
    </row>
    <row r="106" spans="1:13" ht="15">
      <c r="A106" s="9">
        <v>14</v>
      </c>
      <c r="B106" s="10">
        <v>45758</v>
      </c>
      <c r="C106" s="11" t="s">
        <v>66</v>
      </c>
      <c r="D106" s="11" t="s">
        <v>223</v>
      </c>
      <c r="E106" s="12" t="s">
        <v>224</v>
      </c>
      <c r="F106" s="13" t="s">
        <v>19</v>
      </c>
      <c r="G106" s="13" t="s">
        <v>66</v>
      </c>
      <c r="H106" s="13" t="s">
        <v>51</v>
      </c>
      <c r="I106" s="14" t="s">
        <v>9</v>
      </c>
      <c r="J106" s="15">
        <v>1656</v>
      </c>
      <c r="K106" s="15">
        <v>21852</v>
      </c>
      <c r="L106" s="15">
        <v>33</v>
      </c>
      <c r="M106" s="16"/>
    </row>
    <row r="107" spans="1:13" ht="15">
      <c r="A107" s="9">
        <v>14</v>
      </c>
      <c r="B107" s="10">
        <v>45758</v>
      </c>
      <c r="C107" s="11" t="s">
        <v>66</v>
      </c>
      <c r="D107" s="11" t="s">
        <v>64</v>
      </c>
      <c r="E107" s="12" t="s">
        <v>225</v>
      </c>
      <c r="F107" s="13" t="s">
        <v>49</v>
      </c>
      <c r="G107" s="13" t="s">
        <v>66</v>
      </c>
      <c r="H107" s="13" t="s">
        <v>71</v>
      </c>
      <c r="I107" s="14" t="s">
        <v>63</v>
      </c>
      <c r="J107" s="15">
        <v>31017</v>
      </c>
      <c r="K107" s="17"/>
      <c r="L107" s="15">
        <v>115</v>
      </c>
      <c r="M107" s="16"/>
    </row>
    <row r="108" spans="1:13" ht="15">
      <c r="A108" s="9">
        <v>14</v>
      </c>
      <c r="B108" s="10">
        <v>45759</v>
      </c>
      <c r="C108" s="11" t="s">
        <v>66</v>
      </c>
      <c r="D108" s="11" t="s">
        <v>226</v>
      </c>
      <c r="E108" s="12" t="s">
        <v>227</v>
      </c>
      <c r="F108" s="13" t="s">
        <v>19</v>
      </c>
      <c r="G108" s="13" t="s">
        <v>66</v>
      </c>
      <c r="H108" s="13" t="s">
        <v>51</v>
      </c>
      <c r="I108" s="14" t="s">
        <v>9</v>
      </c>
      <c r="J108" s="15">
        <v>95</v>
      </c>
      <c r="K108" s="15">
        <v>4943</v>
      </c>
      <c r="L108" s="15">
        <v>6</v>
      </c>
      <c r="M108" s="16"/>
    </row>
    <row r="109" spans="1:13" ht="15">
      <c r="A109" s="9">
        <v>14</v>
      </c>
      <c r="B109" s="10">
        <v>45759</v>
      </c>
      <c r="C109" s="11" t="s">
        <v>111</v>
      </c>
      <c r="D109" s="11" t="s">
        <v>228</v>
      </c>
      <c r="E109" s="12" t="s">
        <v>229</v>
      </c>
      <c r="F109" s="13" t="s">
        <v>55</v>
      </c>
      <c r="G109" s="13" t="s">
        <v>111</v>
      </c>
      <c r="H109" s="13" t="s">
        <v>71</v>
      </c>
      <c r="I109" s="14" t="s">
        <v>58</v>
      </c>
      <c r="J109" s="15">
        <v>134382</v>
      </c>
      <c r="K109" s="17"/>
      <c r="L109" s="15">
        <v>34</v>
      </c>
      <c r="M109" s="18">
        <v>45</v>
      </c>
    </row>
    <row r="110" spans="1:13" ht="15">
      <c r="A110" s="9">
        <v>14</v>
      </c>
      <c r="B110" s="10">
        <v>45759</v>
      </c>
      <c r="C110" s="11" t="s">
        <v>145</v>
      </c>
      <c r="D110" s="11" t="s">
        <v>230</v>
      </c>
      <c r="E110" s="12" t="s">
        <v>231</v>
      </c>
      <c r="F110" s="13" t="s">
        <v>49</v>
      </c>
      <c r="G110" s="13" t="s">
        <v>111</v>
      </c>
      <c r="H110" s="13" t="s">
        <v>71</v>
      </c>
      <c r="I110" s="14" t="s">
        <v>63</v>
      </c>
      <c r="J110" s="15">
        <v>11398</v>
      </c>
      <c r="K110" s="17"/>
      <c r="L110" s="15">
        <v>35</v>
      </c>
      <c r="M110" s="16"/>
    </row>
    <row r="111" spans="1:13" ht="15">
      <c r="A111" s="9">
        <v>14</v>
      </c>
      <c r="B111" s="10">
        <v>45759</v>
      </c>
      <c r="C111" s="11" t="s">
        <v>232</v>
      </c>
      <c r="D111" s="11" t="s">
        <v>135</v>
      </c>
      <c r="E111" s="12" t="s">
        <v>233</v>
      </c>
      <c r="F111" s="13" t="s">
        <v>19</v>
      </c>
      <c r="G111" s="13" t="s">
        <v>66</v>
      </c>
      <c r="H111" s="13" t="s">
        <v>51</v>
      </c>
      <c r="I111" s="14" t="s">
        <v>9</v>
      </c>
      <c r="J111" s="15">
        <v>331</v>
      </c>
      <c r="K111" s="15">
        <v>5825</v>
      </c>
      <c r="L111" s="15">
        <v>13</v>
      </c>
      <c r="M111" s="16"/>
    </row>
    <row r="112" spans="1:13" ht="15">
      <c r="A112" s="9">
        <v>14</v>
      </c>
      <c r="B112" s="10">
        <v>45759</v>
      </c>
      <c r="C112" s="11" t="s">
        <v>232</v>
      </c>
      <c r="D112" s="11" t="s">
        <v>135</v>
      </c>
      <c r="E112" s="12" t="s">
        <v>234</v>
      </c>
      <c r="F112" s="13" t="s">
        <v>49</v>
      </c>
      <c r="G112" s="13" t="s">
        <v>66</v>
      </c>
      <c r="H112" s="13" t="s">
        <v>51</v>
      </c>
      <c r="I112" s="14" t="s">
        <v>9</v>
      </c>
      <c r="J112" s="15">
        <v>9826</v>
      </c>
      <c r="K112" s="15">
        <v>350033</v>
      </c>
      <c r="L112" s="15">
        <v>100</v>
      </c>
      <c r="M112" s="16"/>
    </row>
    <row r="113" spans="1:13" ht="15">
      <c r="A113" s="9">
        <v>14</v>
      </c>
      <c r="B113" s="10">
        <v>45759</v>
      </c>
      <c r="C113" s="11" t="s">
        <v>235</v>
      </c>
      <c r="D113" s="11" t="s">
        <v>236</v>
      </c>
      <c r="E113" s="12" t="s">
        <v>237</v>
      </c>
      <c r="F113" s="13" t="s">
        <v>19</v>
      </c>
      <c r="G113" s="13" t="s">
        <v>66</v>
      </c>
      <c r="H113" s="13" t="s">
        <v>51</v>
      </c>
      <c r="I113" s="14" t="s">
        <v>9</v>
      </c>
      <c r="J113" s="15">
        <v>21235</v>
      </c>
      <c r="K113" s="15">
        <v>219814</v>
      </c>
      <c r="L113" s="15">
        <v>129</v>
      </c>
      <c r="M113" s="16"/>
    </row>
    <row r="114" spans="1:13" ht="15">
      <c r="A114" s="9">
        <v>14</v>
      </c>
      <c r="B114" s="10">
        <v>45759</v>
      </c>
      <c r="C114" s="11" t="s">
        <v>235</v>
      </c>
      <c r="D114" s="11" t="s">
        <v>236</v>
      </c>
      <c r="E114" s="12" t="s">
        <v>238</v>
      </c>
      <c r="F114" s="13" t="s">
        <v>49</v>
      </c>
      <c r="G114" s="13" t="s">
        <v>66</v>
      </c>
      <c r="H114" s="13" t="s">
        <v>51</v>
      </c>
      <c r="I114" s="14" t="s">
        <v>9</v>
      </c>
      <c r="J114" s="15">
        <v>4198</v>
      </c>
      <c r="K114" s="15">
        <v>114395</v>
      </c>
      <c r="L114" s="15">
        <v>169</v>
      </c>
      <c r="M114" s="16"/>
    </row>
    <row r="115" spans="1:13" ht="15">
      <c r="A115" s="9">
        <v>14</v>
      </c>
      <c r="B115" s="10">
        <v>45759</v>
      </c>
      <c r="C115" s="11" t="s">
        <v>235</v>
      </c>
      <c r="D115" s="11" t="s">
        <v>236</v>
      </c>
      <c r="E115" s="12" t="s">
        <v>239</v>
      </c>
      <c r="F115" s="13" t="s">
        <v>55</v>
      </c>
      <c r="G115" s="13" t="s">
        <v>66</v>
      </c>
      <c r="H115" s="13" t="s">
        <v>51</v>
      </c>
      <c r="I115" s="14" t="s">
        <v>9</v>
      </c>
      <c r="J115" s="15">
        <v>7454</v>
      </c>
      <c r="K115" s="15">
        <v>33238</v>
      </c>
      <c r="L115" s="15">
        <v>223</v>
      </c>
      <c r="M115" s="18">
        <v>669</v>
      </c>
    </row>
    <row r="116" spans="1:13" ht="15">
      <c r="A116" s="9">
        <v>14</v>
      </c>
      <c r="B116" s="10">
        <v>45760</v>
      </c>
      <c r="C116" s="11" t="s">
        <v>162</v>
      </c>
      <c r="D116" s="11" t="s">
        <v>240</v>
      </c>
      <c r="E116" s="12" t="s">
        <v>241</v>
      </c>
      <c r="F116" s="13" t="s">
        <v>55</v>
      </c>
      <c r="G116" s="13" t="s">
        <v>164</v>
      </c>
      <c r="H116" s="13" t="s">
        <v>57</v>
      </c>
      <c r="I116" s="14" t="s">
        <v>58</v>
      </c>
      <c r="J116" s="15">
        <v>115</v>
      </c>
      <c r="K116" s="17"/>
      <c r="L116" s="15">
        <v>3</v>
      </c>
      <c r="M116" s="18">
        <v>48</v>
      </c>
    </row>
    <row r="117" spans="1:13" ht="15">
      <c r="A117" s="9">
        <v>14</v>
      </c>
      <c r="B117" s="10">
        <v>45760</v>
      </c>
      <c r="C117" s="11" t="s">
        <v>111</v>
      </c>
      <c r="D117" s="11" t="s">
        <v>135</v>
      </c>
      <c r="E117" s="12" t="s">
        <v>242</v>
      </c>
      <c r="F117" s="13" t="s">
        <v>49</v>
      </c>
      <c r="G117" s="13" t="s">
        <v>111</v>
      </c>
      <c r="H117" s="13" t="s">
        <v>71</v>
      </c>
      <c r="I117" s="14" t="s">
        <v>63</v>
      </c>
      <c r="J117" s="15">
        <v>16788</v>
      </c>
      <c r="K117" s="17"/>
      <c r="L117" s="15">
        <v>50</v>
      </c>
      <c r="M117" s="16"/>
    </row>
    <row r="118" spans="1:13" ht="15">
      <c r="A118" s="9">
        <v>15</v>
      </c>
      <c r="B118" s="10">
        <v>45761</v>
      </c>
      <c r="C118" s="11" t="s">
        <v>132</v>
      </c>
      <c r="D118" s="11" t="s">
        <v>243</v>
      </c>
      <c r="E118" s="12" t="s">
        <v>244</v>
      </c>
      <c r="F118" s="13" t="s">
        <v>55</v>
      </c>
      <c r="G118" s="13" t="s">
        <v>56</v>
      </c>
      <c r="H118" s="13" t="s">
        <v>57</v>
      </c>
      <c r="I118" s="14" t="s">
        <v>58</v>
      </c>
      <c r="J118" s="15">
        <v>357</v>
      </c>
      <c r="K118" s="17"/>
      <c r="L118" s="15">
        <v>23</v>
      </c>
      <c r="M118" s="18">
        <v>104</v>
      </c>
    </row>
    <row r="119" spans="1:13" ht="15">
      <c r="A119" s="9">
        <v>15</v>
      </c>
      <c r="B119" s="10">
        <v>45761</v>
      </c>
      <c r="C119" s="11" t="s">
        <v>245</v>
      </c>
      <c r="D119" s="11" t="s">
        <v>246</v>
      </c>
      <c r="E119" s="12" t="s">
        <v>247</v>
      </c>
      <c r="F119" s="13" t="s">
        <v>55</v>
      </c>
      <c r="G119" s="13" t="s">
        <v>245</v>
      </c>
      <c r="H119" s="13" t="s">
        <v>62</v>
      </c>
      <c r="I119" s="14" t="s">
        <v>6</v>
      </c>
      <c r="J119" s="15">
        <v>8947</v>
      </c>
      <c r="K119" s="17"/>
      <c r="L119" s="15">
        <v>4486</v>
      </c>
      <c r="M119" s="18">
        <v>1</v>
      </c>
    </row>
    <row r="120" spans="1:13" ht="15">
      <c r="A120" s="9">
        <v>15</v>
      </c>
      <c r="B120" s="10">
        <v>45762</v>
      </c>
      <c r="C120" s="11" t="s">
        <v>132</v>
      </c>
      <c r="D120" s="11" t="s">
        <v>47</v>
      </c>
      <c r="E120" s="12" t="s">
        <v>248</v>
      </c>
      <c r="F120" s="13" t="s">
        <v>55</v>
      </c>
      <c r="G120" s="13" t="s">
        <v>56</v>
      </c>
      <c r="H120" s="13" t="s">
        <v>57</v>
      </c>
      <c r="I120" s="14" t="s">
        <v>58</v>
      </c>
      <c r="J120" s="15">
        <v>139</v>
      </c>
      <c r="K120" s="17"/>
      <c r="L120" s="15">
        <v>3</v>
      </c>
      <c r="M120" s="18">
        <v>8</v>
      </c>
    </row>
    <row r="121" spans="1:13" ht="15">
      <c r="A121" s="9">
        <v>15</v>
      </c>
      <c r="B121" s="10">
        <v>45762</v>
      </c>
      <c r="C121" s="11" t="s">
        <v>249</v>
      </c>
      <c r="D121" s="11" t="s">
        <v>250</v>
      </c>
      <c r="E121" s="12" t="s">
        <v>251</v>
      </c>
      <c r="F121" s="13" t="s">
        <v>49</v>
      </c>
      <c r="G121" s="13" t="s">
        <v>249</v>
      </c>
      <c r="H121" s="13" t="s">
        <v>71</v>
      </c>
      <c r="I121" s="14" t="s">
        <v>63</v>
      </c>
      <c r="J121" s="15">
        <v>1349</v>
      </c>
      <c r="K121" s="17"/>
      <c r="L121" s="15">
        <v>10</v>
      </c>
      <c r="M121" s="16"/>
    </row>
    <row r="122" spans="1:13" ht="15">
      <c r="A122" s="9">
        <v>15</v>
      </c>
      <c r="B122" s="10">
        <v>45762</v>
      </c>
      <c r="C122" s="11" t="s">
        <v>66</v>
      </c>
      <c r="D122" s="11" t="s">
        <v>53</v>
      </c>
      <c r="E122" s="12" t="s">
        <v>252</v>
      </c>
      <c r="F122" s="13" t="s">
        <v>19</v>
      </c>
      <c r="G122" s="13" t="s">
        <v>66</v>
      </c>
      <c r="H122" s="13" t="s">
        <v>51</v>
      </c>
      <c r="I122" s="14" t="s">
        <v>9</v>
      </c>
      <c r="J122" s="15">
        <v>286</v>
      </c>
      <c r="K122" s="15">
        <v>3421</v>
      </c>
      <c r="L122" s="15">
        <v>13</v>
      </c>
      <c r="M122" s="16"/>
    </row>
    <row r="123" spans="1:13" ht="15">
      <c r="A123" s="9">
        <v>15</v>
      </c>
      <c r="B123" s="10">
        <v>45762</v>
      </c>
      <c r="C123" s="11" t="s">
        <v>66</v>
      </c>
      <c r="D123" s="11" t="s">
        <v>253</v>
      </c>
      <c r="E123" s="12" t="s">
        <v>254</v>
      </c>
      <c r="F123" s="13" t="s">
        <v>49</v>
      </c>
      <c r="G123" s="13" t="s">
        <v>71</v>
      </c>
      <c r="H123" s="13" t="s">
        <v>71</v>
      </c>
      <c r="I123" s="14" t="s">
        <v>63</v>
      </c>
      <c r="J123" s="15">
        <v>24814</v>
      </c>
      <c r="K123" s="17"/>
      <c r="L123" s="15">
        <v>147</v>
      </c>
      <c r="M123" s="16"/>
    </row>
    <row r="124" spans="1:13" ht="15">
      <c r="A124" s="9">
        <v>15</v>
      </c>
      <c r="B124" s="10">
        <v>45762</v>
      </c>
      <c r="C124" s="11" t="s">
        <v>66</v>
      </c>
      <c r="D124" s="11" t="s">
        <v>253</v>
      </c>
      <c r="E124" s="12" t="s">
        <v>255</v>
      </c>
      <c r="F124" s="13" t="s">
        <v>55</v>
      </c>
      <c r="G124" s="13" t="s">
        <v>66</v>
      </c>
      <c r="H124" s="13" t="s">
        <v>71</v>
      </c>
      <c r="I124" s="14" t="s">
        <v>63</v>
      </c>
      <c r="J124" s="15">
        <v>83670</v>
      </c>
      <c r="K124" s="17"/>
      <c r="L124" s="15">
        <v>548</v>
      </c>
      <c r="M124" s="18">
        <v>12</v>
      </c>
    </row>
    <row r="125" spans="1:13" ht="15">
      <c r="A125" s="9">
        <v>15</v>
      </c>
      <c r="B125" s="10">
        <v>45762</v>
      </c>
      <c r="C125" s="11" t="s">
        <v>145</v>
      </c>
      <c r="D125" s="11" t="s">
        <v>135</v>
      </c>
      <c r="E125" s="12" t="s">
        <v>256</v>
      </c>
      <c r="F125" s="13" t="s">
        <v>19</v>
      </c>
      <c r="G125" s="13" t="s">
        <v>66</v>
      </c>
      <c r="H125" s="13" t="s">
        <v>51</v>
      </c>
      <c r="I125" s="14" t="s">
        <v>9</v>
      </c>
      <c r="J125" s="15">
        <v>76537</v>
      </c>
      <c r="K125" s="15">
        <v>583770</v>
      </c>
      <c r="L125" s="15">
        <v>443</v>
      </c>
      <c r="M125" s="16"/>
    </row>
    <row r="126" spans="1:13" ht="15">
      <c r="A126" s="9">
        <v>15</v>
      </c>
      <c r="B126" s="10">
        <v>45762</v>
      </c>
      <c r="C126" s="11" t="s">
        <v>145</v>
      </c>
      <c r="D126" s="11" t="s">
        <v>257</v>
      </c>
      <c r="E126" s="12" t="s">
        <v>258</v>
      </c>
      <c r="F126" s="13" t="s">
        <v>55</v>
      </c>
      <c r="G126" s="13" t="s">
        <v>66</v>
      </c>
      <c r="H126" s="13" t="s">
        <v>71</v>
      </c>
      <c r="I126" s="14" t="s">
        <v>63</v>
      </c>
      <c r="J126" s="15">
        <v>6192</v>
      </c>
      <c r="K126" s="17"/>
      <c r="L126" s="15">
        <v>79</v>
      </c>
      <c r="M126" s="16"/>
    </row>
    <row r="127" spans="1:13" ht="15">
      <c r="A127" s="9">
        <v>15</v>
      </c>
      <c r="B127" s="10">
        <v>45762</v>
      </c>
      <c r="C127" s="11" t="s">
        <v>145</v>
      </c>
      <c r="D127" s="11" t="s">
        <v>257</v>
      </c>
      <c r="E127" s="12" t="s">
        <v>259</v>
      </c>
      <c r="F127" s="13" t="s">
        <v>49</v>
      </c>
      <c r="G127" s="13" t="s">
        <v>66</v>
      </c>
      <c r="H127" s="13" t="s">
        <v>71</v>
      </c>
      <c r="I127" s="14" t="s">
        <v>63</v>
      </c>
      <c r="J127" s="15">
        <v>3482</v>
      </c>
      <c r="K127" s="17"/>
      <c r="L127" s="15">
        <v>30</v>
      </c>
      <c r="M127" s="16"/>
    </row>
    <row r="128" spans="1:13" ht="15">
      <c r="A128" s="9">
        <v>15</v>
      </c>
      <c r="B128" s="10">
        <v>45763</v>
      </c>
      <c r="C128" s="11" t="s">
        <v>56</v>
      </c>
      <c r="D128" s="11" t="s">
        <v>94</v>
      </c>
      <c r="E128" s="12" t="s">
        <v>260</v>
      </c>
      <c r="F128" s="13" t="s">
        <v>55</v>
      </c>
      <c r="G128" s="13" t="s">
        <v>56</v>
      </c>
      <c r="H128" s="13" t="s">
        <v>71</v>
      </c>
      <c r="I128" s="14" t="s">
        <v>63</v>
      </c>
      <c r="J128" s="15">
        <v>202</v>
      </c>
      <c r="K128" s="17"/>
      <c r="L128" s="15">
        <v>4</v>
      </c>
      <c r="M128" s="18">
        <v>66</v>
      </c>
    </row>
    <row r="129" spans="1:13" ht="15">
      <c r="A129" s="9">
        <v>15</v>
      </c>
      <c r="B129" s="10">
        <v>45763</v>
      </c>
      <c r="C129" s="11" t="s">
        <v>116</v>
      </c>
      <c r="D129" s="11" t="s">
        <v>47</v>
      </c>
      <c r="E129" s="12" t="s">
        <v>261</v>
      </c>
      <c r="F129" s="13" t="s">
        <v>19</v>
      </c>
      <c r="G129" s="13" t="s">
        <v>116</v>
      </c>
      <c r="H129" s="13" t="s">
        <v>51</v>
      </c>
      <c r="I129" s="14" t="s">
        <v>9</v>
      </c>
      <c r="J129" s="15">
        <v>133</v>
      </c>
      <c r="K129" s="15">
        <v>1957</v>
      </c>
      <c r="L129" s="15">
        <v>8</v>
      </c>
      <c r="M129" s="16"/>
    </row>
    <row r="130" spans="1:13" ht="15">
      <c r="A130" s="9">
        <v>15</v>
      </c>
      <c r="B130" s="10">
        <v>45763</v>
      </c>
      <c r="C130" s="11" t="s">
        <v>116</v>
      </c>
      <c r="D130" s="11" t="s">
        <v>47</v>
      </c>
      <c r="E130" s="12" t="s">
        <v>262</v>
      </c>
      <c r="F130" s="13" t="s">
        <v>49</v>
      </c>
      <c r="G130" s="13" t="s">
        <v>116</v>
      </c>
      <c r="H130" s="13" t="s">
        <v>51</v>
      </c>
      <c r="I130" s="14" t="s">
        <v>9</v>
      </c>
      <c r="J130" s="15">
        <v>1172</v>
      </c>
      <c r="K130" s="15">
        <v>38308</v>
      </c>
      <c r="L130" s="15">
        <v>3</v>
      </c>
      <c r="M130" s="16"/>
    </row>
    <row r="131" spans="1:13" ht="15">
      <c r="A131" s="9">
        <v>15</v>
      </c>
      <c r="B131" s="10">
        <v>45763</v>
      </c>
      <c r="C131" s="11" t="s">
        <v>116</v>
      </c>
      <c r="D131" s="11" t="s">
        <v>47</v>
      </c>
      <c r="E131" s="12" t="s">
        <v>263</v>
      </c>
      <c r="F131" s="13" t="s">
        <v>55</v>
      </c>
      <c r="G131" s="13" t="s">
        <v>116</v>
      </c>
      <c r="H131" s="13" t="s">
        <v>51</v>
      </c>
      <c r="I131" s="14" t="s">
        <v>9</v>
      </c>
      <c r="J131" s="15">
        <v>387</v>
      </c>
      <c r="K131" s="15">
        <v>9739</v>
      </c>
      <c r="L131" s="15">
        <v>1</v>
      </c>
      <c r="M131" s="16"/>
    </row>
    <row r="132" spans="1:13" ht="15">
      <c r="A132" s="9">
        <v>15</v>
      </c>
      <c r="B132" s="10">
        <v>45763</v>
      </c>
      <c r="C132" s="11" t="s">
        <v>111</v>
      </c>
      <c r="D132" s="11" t="s">
        <v>264</v>
      </c>
      <c r="E132" s="12" t="s">
        <v>265</v>
      </c>
      <c r="F132" s="13" t="s">
        <v>55</v>
      </c>
      <c r="G132" s="13" t="s">
        <v>111</v>
      </c>
      <c r="H132" s="13" t="s">
        <v>51</v>
      </c>
      <c r="I132" s="14" t="s">
        <v>9</v>
      </c>
      <c r="J132" s="15">
        <v>83259</v>
      </c>
      <c r="K132" s="15">
        <v>853294</v>
      </c>
      <c r="L132" s="15">
        <v>397</v>
      </c>
      <c r="M132" s="18">
        <v>35</v>
      </c>
    </row>
    <row r="133" spans="1:13" ht="15">
      <c r="A133" s="9">
        <v>15</v>
      </c>
      <c r="B133" s="10">
        <v>45763</v>
      </c>
      <c r="C133" s="11" t="s">
        <v>266</v>
      </c>
      <c r="D133" s="11" t="s">
        <v>133</v>
      </c>
      <c r="E133" s="12" t="s">
        <v>267</v>
      </c>
      <c r="F133" s="13" t="s">
        <v>49</v>
      </c>
      <c r="G133" s="13" t="s">
        <v>66</v>
      </c>
      <c r="H133" s="13" t="s">
        <v>51</v>
      </c>
      <c r="I133" s="14" t="s">
        <v>9</v>
      </c>
      <c r="J133" s="15">
        <v>1631</v>
      </c>
      <c r="K133" s="15">
        <v>31902</v>
      </c>
      <c r="L133" s="15">
        <v>25</v>
      </c>
      <c r="M133" s="16"/>
    </row>
    <row r="134" spans="1:13" ht="15">
      <c r="A134" s="9">
        <v>15</v>
      </c>
      <c r="B134" s="10">
        <v>45763</v>
      </c>
      <c r="C134" s="11" t="s">
        <v>111</v>
      </c>
      <c r="D134" s="11" t="s">
        <v>268</v>
      </c>
      <c r="E134" s="12" t="s">
        <v>269</v>
      </c>
      <c r="F134" s="13" t="s">
        <v>19</v>
      </c>
      <c r="G134" s="13" t="s">
        <v>111</v>
      </c>
      <c r="H134" s="13" t="s">
        <v>51</v>
      </c>
      <c r="I134" s="14" t="s">
        <v>9</v>
      </c>
      <c r="J134" s="15">
        <v>0</v>
      </c>
      <c r="K134" s="15">
        <v>0</v>
      </c>
      <c r="L134" s="15">
        <v>0</v>
      </c>
      <c r="M134" s="16"/>
    </row>
    <row r="135" spans="1:13" ht="15">
      <c r="A135" s="9">
        <v>15</v>
      </c>
      <c r="B135" s="10">
        <v>45763</v>
      </c>
      <c r="C135" s="11" t="s">
        <v>270</v>
      </c>
      <c r="D135" s="11" t="s">
        <v>250</v>
      </c>
      <c r="E135" s="12" t="s">
        <v>271</v>
      </c>
      <c r="F135" s="13" t="s">
        <v>19</v>
      </c>
      <c r="G135" s="13" t="s">
        <v>270</v>
      </c>
      <c r="H135" s="13" t="s">
        <v>51</v>
      </c>
      <c r="I135" s="14" t="s">
        <v>9</v>
      </c>
      <c r="J135" s="15">
        <v>103</v>
      </c>
      <c r="K135" s="15">
        <v>2736</v>
      </c>
      <c r="L135" s="15">
        <v>3</v>
      </c>
      <c r="M135" s="16"/>
    </row>
    <row r="136" spans="1:13" ht="15">
      <c r="A136" s="9">
        <v>15</v>
      </c>
      <c r="B136" s="10">
        <v>45763</v>
      </c>
      <c r="C136" s="11" t="s">
        <v>270</v>
      </c>
      <c r="D136" s="11" t="s">
        <v>250</v>
      </c>
      <c r="E136" s="12" t="s">
        <v>272</v>
      </c>
      <c r="F136" s="13" t="s">
        <v>49</v>
      </c>
      <c r="G136" s="13" t="s">
        <v>270</v>
      </c>
      <c r="H136" s="13" t="s">
        <v>51</v>
      </c>
      <c r="I136" s="14" t="s">
        <v>9</v>
      </c>
      <c r="J136" s="15">
        <v>460</v>
      </c>
      <c r="K136" s="15">
        <v>46239</v>
      </c>
      <c r="L136" s="15">
        <v>6</v>
      </c>
      <c r="M136" s="16"/>
    </row>
    <row r="137" spans="1:13" ht="15">
      <c r="A137" s="9">
        <v>15</v>
      </c>
      <c r="B137" s="10">
        <v>45764</v>
      </c>
      <c r="C137" s="11" t="s">
        <v>132</v>
      </c>
      <c r="D137" s="11" t="s">
        <v>273</v>
      </c>
      <c r="E137" s="12" t="s">
        <v>274</v>
      </c>
      <c r="F137" s="13" t="s">
        <v>55</v>
      </c>
      <c r="G137" s="13" t="s">
        <v>56</v>
      </c>
      <c r="H137" s="13" t="s">
        <v>57</v>
      </c>
      <c r="I137" s="14" t="s">
        <v>58</v>
      </c>
      <c r="J137" s="15">
        <v>162</v>
      </c>
      <c r="K137" s="17"/>
      <c r="L137" s="15">
        <v>4</v>
      </c>
      <c r="M137" s="18">
        <v>67</v>
      </c>
    </row>
    <row r="138" spans="1:13" ht="15">
      <c r="A138" s="9">
        <v>15</v>
      </c>
      <c r="B138" s="10">
        <v>45764</v>
      </c>
      <c r="C138" s="11" t="s">
        <v>111</v>
      </c>
      <c r="D138" s="11" t="s">
        <v>275</v>
      </c>
      <c r="E138" s="12" t="s">
        <v>276</v>
      </c>
      <c r="F138" s="13" t="s">
        <v>49</v>
      </c>
      <c r="G138" s="13" t="s">
        <v>111</v>
      </c>
      <c r="H138" s="13" t="s">
        <v>51</v>
      </c>
      <c r="I138" s="14" t="s">
        <v>9</v>
      </c>
      <c r="J138" s="15">
        <v>2076</v>
      </c>
      <c r="K138" s="15">
        <v>88420</v>
      </c>
      <c r="L138" s="15">
        <v>9</v>
      </c>
      <c r="M138" s="16"/>
    </row>
    <row r="139" spans="1:13" ht="15">
      <c r="A139" s="9">
        <v>15</v>
      </c>
      <c r="B139" s="10">
        <v>45764</v>
      </c>
      <c r="C139" s="11" t="s">
        <v>111</v>
      </c>
      <c r="D139" s="11" t="s">
        <v>275</v>
      </c>
      <c r="E139" s="12" t="s">
        <v>277</v>
      </c>
      <c r="F139" s="13" t="s">
        <v>19</v>
      </c>
      <c r="G139" s="13" t="s">
        <v>111</v>
      </c>
      <c r="H139" s="13" t="s">
        <v>51</v>
      </c>
      <c r="I139" s="14" t="s">
        <v>9</v>
      </c>
      <c r="J139" s="15">
        <v>59</v>
      </c>
      <c r="K139" s="15">
        <v>1591</v>
      </c>
      <c r="L139" s="15">
        <v>1</v>
      </c>
      <c r="M139" s="16"/>
    </row>
    <row r="140" spans="1:13" ht="15">
      <c r="A140" s="9">
        <v>15</v>
      </c>
      <c r="B140" s="10">
        <v>45764</v>
      </c>
      <c r="C140" s="11" t="s">
        <v>116</v>
      </c>
      <c r="D140" s="11" t="s">
        <v>278</v>
      </c>
      <c r="E140" s="12" t="s">
        <v>279</v>
      </c>
      <c r="F140" s="13" t="s">
        <v>19</v>
      </c>
      <c r="G140" s="13" t="s">
        <v>116</v>
      </c>
      <c r="H140" s="13" t="s">
        <v>51</v>
      </c>
      <c r="I140" s="14" t="s">
        <v>9</v>
      </c>
      <c r="J140" s="15">
        <v>12440</v>
      </c>
      <c r="K140" s="15">
        <v>107216</v>
      </c>
      <c r="L140" s="15">
        <v>154</v>
      </c>
      <c r="M140" s="16"/>
    </row>
    <row r="141" spans="1:13" ht="15">
      <c r="A141" s="9">
        <v>15</v>
      </c>
      <c r="B141" s="10">
        <v>45764</v>
      </c>
      <c r="C141" s="11" t="s">
        <v>116</v>
      </c>
      <c r="D141" s="11" t="s">
        <v>278</v>
      </c>
      <c r="E141" s="12" t="s">
        <v>280</v>
      </c>
      <c r="F141" s="13" t="s">
        <v>49</v>
      </c>
      <c r="G141" s="13" t="s">
        <v>116</v>
      </c>
      <c r="H141" s="13" t="s">
        <v>51</v>
      </c>
      <c r="I141" s="14" t="s">
        <v>9</v>
      </c>
      <c r="J141" s="15">
        <v>2501</v>
      </c>
      <c r="K141" s="15">
        <v>50533</v>
      </c>
      <c r="L141" s="15">
        <v>44</v>
      </c>
      <c r="M141" s="16"/>
    </row>
    <row r="142" spans="1:13" ht="15">
      <c r="A142" s="9">
        <v>15</v>
      </c>
      <c r="B142" s="10">
        <v>45764</v>
      </c>
      <c r="C142" s="11" t="s">
        <v>116</v>
      </c>
      <c r="D142" s="11" t="s">
        <v>278</v>
      </c>
      <c r="E142" s="12" t="s">
        <v>281</v>
      </c>
      <c r="F142" s="13" t="s">
        <v>55</v>
      </c>
      <c r="G142" s="13" t="s">
        <v>116</v>
      </c>
      <c r="H142" s="13" t="s">
        <v>51</v>
      </c>
      <c r="I142" s="14" t="s">
        <v>9</v>
      </c>
      <c r="J142" s="15">
        <v>2712</v>
      </c>
      <c r="K142" s="15">
        <v>18044</v>
      </c>
      <c r="L142" s="15">
        <v>17</v>
      </c>
      <c r="M142" s="18">
        <v>1</v>
      </c>
    </row>
    <row r="143" spans="1:13" ht="15">
      <c r="A143" s="9">
        <v>15</v>
      </c>
      <c r="B143" s="10">
        <v>45764</v>
      </c>
      <c r="C143" s="11" t="s">
        <v>162</v>
      </c>
      <c r="D143" s="11" t="s">
        <v>245</v>
      </c>
      <c r="E143" s="12" t="s">
        <v>282</v>
      </c>
      <c r="F143" s="13" t="s">
        <v>55</v>
      </c>
      <c r="G143" s="13" t="s">
        <v>164</v>
      </c>
      <c r="H143" s="13" t="s">
        <v>57</v>
      </c>
      <c r="I143" s="14" t="s">
        <v>58</v>
      </c>
      <c r="J143" s="15">
        <v>139</v>
      </c>
      <c r="K143" s="17"/>
      <c r="L143" s="15">
        <v>3</v>
      </c>
      <c r="M143" s="18">
        <v>49</v>
      </c>
    </row>
    <row r="144" spans="1:13" ht="15">
      <c r="A144" s="9">
        <v>15</v>
      </c>
      <c r="B144" s="10">
        <v>45764</v>
      </c>
      <c r="C144" s="11" t="s">
        <v>105</v>
      </c>
      <c r="D144" s="11" t="s">
        <v>149</v>
      </c>
      <c r="E144" s="12" t="s">
        <v>283</v>
      </c>
      <c r="F144" s="13" t="s">
        <v>19</v>
      </c>
      <c r="G144" s="13" t="s">
        <v>149</v>
      </c>
      <c r="H144" s="13" t="s">
        <v>51</v>
      </c>
      <c r="I144" s="14" t="s">
        <v>9</v>
      </c>
      <c r="J144" s="15">
        <v>124</v>
      </c>
      <c r="K144" s="15">
        <v>2690</v>
      </c>
      <c r="L144" s="15">
        <v>5</v>
      </c>
      <c r="M144" s="16"/>
    </row>
    <row r="145" spans="1:13" ht="15">
      <c r="A145" s="9">
        <v>15</v>
      </c>
      <c r="B145" s="10">
        <v>45764</v>
      </c>
      <c r="C145" s="11" t="s">
        <v>105</v>
      </c>
      <c r="D145" s="11" t="s">
        <v>149</v>
      </c>
      <c r="E145" s="12" t="s">
        <v>284</v>
      </c>
      <c r="F145" s="13" t="s">
        <v>49</v>
      </c>
      <c r="G145" s="13" t="s">
        <v>149</v>
      </c>
      <c r="H145" s="13" t="s">
        <v>51</v>
      </c>
      <c r="I145" s="14" t="s">
        <v>9</v>
      </c>
      <c r="J145" s="15">
        <v>722</v>
      </c>
      <c r="K145" s="15">
        <v>43631</v>
      </c>
      <c r="L145" s="15">
        <v>5</v>
      </c>
      <c r="M145" s="16"/>
    </row>
    <row r="146" spans="1:13" ht="15">
      <c r="A146" s="9">
        <v>15</v>
      </c>
      <c r="B146" s="10">
        <v>45764</v>
      </c>
      <c r="C146" s="11" t="s">
        <v>105</v>
      </c>
      <c r="D146" s="11" t="s">
        <v>149</v>
      </c>
      <c r="E146" s="12" t="s">
        <v>285</v>
      </c>
      <c r="F146" s="13" t="s">
        <v>55</v>
      </c>
      <c r="G146" s="13" t="s">
        <v>149</v>
      </c>
      <c r="H146" s="13" t="s">
        <v>71</v>
      </c>
      <c r="I146" s="14" t="s">
        <v>9</v>
      </c>
      <c r="J146" s="15">
        <v>5758</v>
      </c>
      <c r="K146" s="17"/>
      <c r="L146" s="15">
        <v>24</v>
      </c>
      <c r="M146" s="18">
        <v>2</v>
      </c>
    </row>
    <row r="147" spans="1:13" ht="15">
      <c r="A147" s="9">
        <v>15</v>
      </c>
      <c r="B147" s="10">
        <v>45764</v>
      </c>
      <c r="C147" s="11" t="s">
        <v>66</v>
      </c>
      <c r="D147" s="11" t="s">
        <v>133</v>
      </c>
      <c r="E147" s="12" t="s">
        <v>286</v>
      </c>
      <c r="F147" s="13" t="s">
        <v>19</v>
      </c>
      <c r="G147" s="13" t="s">
        <v>66</v>
      </c>
      <c r="H147" s="13" t="s">
        <v>51</v>
      </c>
      <c r="I147" s="14" t="s">
        <v>9</v>
      </c>
      <c r="J147" s="15">
        <v>164</v>
      </c>
      <c r="K147" s="15">
        <v>3170</v>
      </c>
      <c r="L147" s="15">
        <v>5</v>
      </c>
      <c r="M147" s="16"/>
    </row>
    <row r="148" spans="1:13" ht="15">
      <c r="A148" s="9">
        <v>15</v>
      </c>
      <c r="B148" s="10">
        <v>45764</v>
      </c>
      <c r="C148" s="11" t="s">
        <v>66</v>
      </c>
      <c r="D148" s="11" t="s">
        <v>133</v>
      </c>
      <c r="E148" s="12" t="s">
        <v>287</v>
      </c>
      <c r="F148" s="13" t="s">
        <v>49</v>
      </c>
      <c r="G148" s="13" t="s">
        <v>66</v>
      </c>
      <c r="H148" s="13" t="s">
        <v>51</v>
      </c>
      <c r="I148" s="14" t="s">
        <v>9</v>
      </c>
      <c r="J148" s="15">
        <v>1361</v>
      </c>
      <c r="K148" s="15">
        <v>64242</v>
      </c>
      <c r="L148" s="15">
        <v>57</v>
      </c>
      <c r="M148" s="16"/>
    </row>
    <row r="149" spans="1:13" ht="15">
      <c r="A149" s="9">
        <v>15</v>
      </c>
      <c r="B149" s="10">
        <v>45765</v>
      </c>
      <c r="C149" s="11" t="s">
        <v>56</v>
      </c>
      <c r="D149" s="11" t="s">
        <v>111</v>
      </c>
      <c r="E149" s="12" t="s">
        <v>288</v>
      </c>
      <c r="F149" s="13" t="s">
        <v>55</v>
      </c>
      <c r="G149" s="13" t="s">
        <v>56</v>
      </c>
      <c r="H149" s="13" t="s">
        <v>57</v>
      </c>
      <c r="I149" s="14" t="s">
        <v>9</v>
      </c>
      <c r="J149" s="15">
        <v>203</v>
      </c>
      <c r="K149" s="17"/>
      <c r="L149" s="15">
        <v>2</v>
      </c>
      <c r="M149" s="18">
        <v>133</v>
      </c>
    </row>
    <row r="150" spans="1:13" ht="15">
      <c r="A150" s="9">
        <v>15</v>
      </c>
      <c r="B150" s="10">
        <v>45765</v>
      </c>
      <c r="C150" s="11" t="s">
        <v>145</v>
      </c>
      <c r="D150" s="11" t="s">
        <v>111</v>
      </c>
      <c r="E150" s="12" t="s">
        <v>289</v>
      </c>
      <c r="F150" s="13" t="s">
        <v>19</v>
      </c>
      <c r="G150" s="13" t="s">
        <v>66</v>
      </c>
      <c r="H150" s="13" t="s">
        <v>51</v>
      </c>
      <c r="I150" s="14" t="s">
        <v>9</v>
      </c>
      <c r="J150" s="15">
        <v>16653</v>
      </c>
      <c r="K150" s="15">
        <v>196559</v>
      </c>
      <c r="L150" s="15">
        <v>68</v>
      </c>
      <c r="M150" s="16"/>
    </row>
    <row r="151" spans="1:13" ht="15">
      <c r="A151" s="9">
        <v>15</v>
      </c>
      <c r="B151" s="10">
        <v>45765</v>
      </c>
      <c r="C151" s="11" t="s">
        <v>145</v>
      </c>
      <c r="D151" s="11" t="s">
        <v>111</v>
      </c>
      <c r="E151" s="12" t="s">
        <v>290</v>
      </c>
      <c r="F151" s="13" t="s">
        <v>55</v>
      </c>
      <c r="G151" s="13" t="s">
        <v>66</v>
      </c>
      <c r="H151" s="13" t="s">
        <v>51</v>
      </c>
      <c r="I151" s="14" t="s">
        <v>9</v>
      </c>
      <c r="J151" s="15">
        <v>24291</v>
      </c>
      <c r="K151" s="15">
        <v>128379</v>
      </c>
      <c r="L151" s="15">
        <v>31</v>
      </c>
      <c r="M151" s="18">
        <v>9</v>
      </c>
    </row>
    <row r="152" spans="1:13" ht="15">
      <c r="A152" s="9">
        <v>15</v>
      </c>
      <c r="B152" s="10">
        <v>45765</v>
      </c>
      <c r="C152" s="11" t="s">
        <v>145</v>
      </c>
      <c r="D152" s="11" t="s">
        <v>111</v>
      </c>
      <c r="E152" s="12" t="s">
        <v>291</v>
      </c>
      <c r="F152" s="13" t="s">
        <v>49</v>
      </c>
      <c r="G152" s="13" t="s">
        <v>66</v>
      </c>
      <c r="H152" s="13" t="s">
        <v>51</v>
      </c>
      <c r="I152" s="14" t="s">
        <v>9</v>
      </c>
      <c r="J152" s="15">
        <v>6604</v>
      </c>
      <c r="K152" s="15">
        <v>177078</v>
      </c>
      <c r="L152" s="15">
        <v>20</v>
      </c>
      <c r="M152" s="16"/>
    </row>
    <row r="153" spans="1:13" ht="15">
      <c r="A153" s="9">
        <v>15</v>
      </c>
      <c r="B153" s="10">
        <v>45765</v>
      </c>
      <c r="C153" s="11" t="s">
        <v>66</v>
      </c>
      <c r="D153" s="11" t="s">
        <v>47</v>
      </c>
      <c r="E153" s="12" t="s">
        <v>292</v>
      </c>
      <c r="F153" s="13" t="s">
        <v>49</v>
      </c>
      <c r="G153" s="13" t="s">
        <v>66</v>
      </c>
      <c r="H153" s="13" t="s">
        <v>71</v>
      </c>
      <c r="I153" s="14" t="s">
        <v>9</v>
      </c>
      <c r="J153" s="15">
        <v>517</v>
      </c>
      <c r="K153" s="15">
        <v>31195</v>
      </c>
      <c r="L153" s="15">
        <v>5</v>
      </c>
      <c r="M153" s="16"/>
    </row>
    <row r="154" spans="1:13" ht="15">
      <c r="A154" s="9">
        <v>15</v>
      </c>
      <c r="B154" s="10">
        <v>45766</v>
      </c>
      <c r="C154" s="11" t="s">
        <v>162</v>
      </c>
      <c r="D154" s="11" t="s">
        <v>64</v>
      </c>
      <c r="E154" s="12" t="s">
        <v>293</v>
      </c>
      <c r="F154" s="13" t="s">
        <v>55</v>
      </c>
      <c r="G154" s="13" t="s">
        <v>164</v>
      </c>
      <c r="H154" s="13" t="s">
        <v>71</v>
      </c>
      <c r="I154" s="14" t="s">
        <v>9</v>
      </c>
      <c r="J154" s="15">
        <v>625</v>
      </c>
      <c r="K154" s="17"/>
      <c r="L154" s="15">
        <v>5</v>
      </c>
      <c r="M154" s="18">
        <v>332</v>
      </c>
    </row>
    <row r="155" spans="1:13" ht="15">
      <c r="A155" s="9">
        <v>15</v>
      </c>
      <c r="B155" s="10">
        <v>45766</v>
      </c>
      <c r="C155" s="11" t="s">
        <v>60</v>
      </c>
      <c r="D155" s="11" t="s">
        <v>64</v>
      </c>
      <c r="E155" s="12" t="s">
        <v>294</v>
      </c>
      <c r="F155" s="13" t="s">
        <v>49</v>
      </c>
      <c r="G155" s="13" t="s">
        <v>66</v>
      </c>
      <c r="H155" s="13" t="s">
        <v>62</v>
      </c>
      <c r="I155" s="14" t="s">
        <v>9</v>
      </c>
      <c r="J155" s="15">
        <v>5120</v>
      </c>
      <c r="K155" s="17"/>
      <c r="L155" s="15">
        <v>28</v>
      </c>
      <c r="M155" s="16"/>
    </row>
    <row r="156" spans="1:13" ht="15">
      <c r="A156" s="9">
        <v>15</v>
      </c>
      <c r="B156" s="10">
        <v>45766</v>
      </c>
      <c r="C156" s="11" t="s">
        <v>295</v>
      </c>
      <c r="D156" s="11" t="s">
        <v>64</v>
      </c>
      <c r="E156" s="12" t="s">
        <v>296</v>
      </c>
      <c r="F156" s="13" t="s">
        <v>55</v>
      </c>
      <c r="G156" s="13" t="s">
        <v>66</v>
      </c>
      <c r="H156" s="13" t="s">
        <v>71</v>
      </c>
      <c r="I156" s="14" t="s">
        <v>9</v>
      </c>
      <c r="J156" s="15">
        <v>6134</v>
      </c>
      <c r="K156" s="17"/>
      <c r="L156" s="15">
        <v>41</v>
      </c>
      <c r="M156" s="18">
        <v>1</v>
      </c>
    </row>
    <row r="157" spans="1:13" ht="15">
      <c r="A157" s="9">
        <v>15</v>
      </c>
      <c r="B157" s="10">
        <v>45767</v>
      </c>
      <c r="C157" s="11" t="s">
        <v>111</v>
      </c>
      <c r="D157" s="11" t="s">
        <v>297</v>
      </c>
      <c r="E157" s="12" t="s">
        <v>298</v>
      </c>
      <c r="F157" s="13" t="s">
        <v>19</v>
      </c>
      <c r="G157" s="13" t="s">
        <v>111</v>
      </c>
      <c r="H157" s="13" t="s">
        <v>51</v>
      </c>
      <c r="I157" s="14" t="s">
        <v>9</v>
      </c>
      <c r="J157" s="15">
        <v>56</v>
      </c>
      <c r="K157" s="15">
        <v>1527</v>
      </c>
      <c r="L157" s="15">
        <v>2</v>
      </c>
      <c r="M157" s="16"/>
    </row>
    <row r="158" spans="1:13" ht="15">
      <c r="A158" s="9">
        <v>15</v>
      </c>
      <c r="B158" s="10">
        <v>45767</v>
      </c>
      <c r="C158" s="11" t="s">
        <v>145</v>
      </c>
      <c r="D158" s="11" t="s">
        <v>133</v>
      </c>
      <c r="E158" s="12" t="s">
        <v>299</v>
      </c>
      <c r="F158" s="13" t="s">
        <v>55</v>
      </c>
      <c r="G158" s="13" t="s">
        <v>66</v>
      </c>
      <c r="H158" s="13" t="s">
        <v>71</v>
      </c>
      <c r="I158" s="14" t="s">
        <v>63</v>
      </c>
      <c r="J158" s="15">
        <v>8476</v>
      </c>
      <c r="K158" s="17"/>
      <c r="L158" s="15">
        <v>18</v>
      </c>
      <c r="M158" s="18">
        <v>6</v>
      </c>
    </row>
    <row r="159" spans="1:13" ht="15">
      <c r="A159" s="9">
        <v>15</v>
      </c>
      <c r="B159" s="10">
        <v>45767</v>
      </c>
      <c r="C159" s="11" t="s">
        <v>111</v>
      </c>
      <c r="D159" s="11" t="s">
        <v>111</v>
      </c>
      <c r="E159" s="12" t="s">
        <v>300</v>
      </c>
      <c r="F159" s="13" t="s">
        <v>49</v>
      </c>
      <c r="G159" s="13" t="s">
        <v>111</v>
      </c>
      <c r="H159" s="13" t="s">
        <v>71</v>
      </c>
      <c r="I159" s="14" t="s">
        <v>63</v>
      </c>
      <c r="J159" s="15">
        <v>10913</v>
      </c>
      <c r="K159" s="17"/>
      <c r="L159" s="15">
        <v>87</v>
      </c>
      <c r="M159" s="16"/>
    </row>
    <row r="160" spans="1:13" ht="15">
      <c r="A160" s="9">
        <v>15</v>
      </c>
      <c r="B160" s="10">
        <v>45767</v>
      </c>
      <c r="C160" s="11" t="s">
        <v>270</v>
      </c>
      <c r="D160" s="11" t="s">
        <v>301</v>
      </c>
      <c r="E160" s="12" t="s">
        <v>302</v>
      </c>
      <c r="F160" s="13" t="s">
        <v>19</v>
      </c>
      <c r="G160" s="13" t="s">
        <v>270</v>
      </c>
      <c r="H160" s="13" t="s">
        <v>51</v>
      </c>
      <c r="I160" s="14" t="s">
        <v>9</v>
      </c>
      <c r="J160" s="15">
        <v>62</v>
      </c>
      <c r="K160" s="15">
        <v>1733</v>
      </c>
      <c r="L160" s="15">
        <v>4</v>
      </c>
      <c r="M160" s="16"/>
    </row>
    <row r="161" spans="1:13" ht="15">
      <c r="A161" s="9">
        <v>15</v>
      </c>
      <c r="B161" s="10">
        <v>45767</v>
      </c>
      <c r="C161" s="11" t="s">
        <v>270</v>
      </c>
      <c r="D161" s="11" t="s">
        <v>301</v>
      </c>
      <c r="E161" s="12" t="s">
        <v>303</v>
      </c>
      <c r="F161" s="13" t="s">
        <v>49</v>
      </c>
      <c r="G161" s="13" t="s">
        <v>270</v>
      </c>
      <c r="H161" s="13" t="s">
        <v>51</v>
      </c>
      <c r="I161" s="14" t="s">
        <v>9</v>
      </c>
      <c r="J161" s="15">
        <v>247</v>
      </c>
      <c r="K161" s="15">
        <v>30368</v>
      </c>
      <c r="L161" s="15">
        <v>1</v>
      </c>
      <c r="M161" s="16"/>
    </row>
    <row r="162" spans="1:13" ht="15">
      <c r="A162" s="9">
        <v>16</v>
      </c>
      <c r="B162" s="10">
        <v>45768</v>
      </c>
      <c r="C162" s="11" t="s">
        <v>132</v>
      </c>
      <c r="D162" s="11" t="s">
        <v>47</v>
      </c>
      <c r="E162" s="19" t="s">
        <v>304</v>
      </c>
      <c r="F162" s="13" t="s">
        <v>55</v>
      </c>
      <c r="G162" s="13" t="s">
        <v>56</v>
      </c>
      <c r="H162" s="13" t="s">
        <v>57</v>
      </c>
      <c r="I162" s="14" t="s">
        <v>58</v>
      </c>
      <c r="J162" s="17">
        <v>1195</v>
      </c>
      <c r="K162" s="16"/>
      <c r="M162" s="16">
        <v>353</v>
      </c>
    </row>
    <row r="163" spans="1:13" ht="15">
      <c r="A163" s="9">
        <v>16</v>
      </c>
      <c r="B163" s="10">
        <v>45768</v>
      </c>
      <c r="C163" s="11" t="s">
        <v>266</v>
      </c>
      <c r="D163" s="11" t="s">
        <v>305</v>
      </c>
      <c r="E163" s="19" t="s">
        <v>306</v>
      </c>
      <c r="F163" s="13" t="s">
        <v>55</v>
      </c>
      <c r="G163" s="13" t="s">
        <v>66</v>
      </c>
      <c r="H163" s="13" t="s">
        <v>51</v>
      </c>
      <c r="I163" s="14" t="s">
        <v>9</v>
      </c>
      <c r="J163" s="16">
        <v>111</v>
      </c>
      <c r="K163" s="17">
        <v>3051</v>
      </c>
      <c r="M163" s="16"/>
    </row>
    <row r="164" spans="1:13" ht="15">
      <c r="A164" s="9">
        <v>16</v>
      </c>
      <c r="B164" s="10">
        <v>45768</v>
      </c>
      <c r="C164" s="11" t="s">
        <v>266</v>
      </c>
      <c r="D164" s="11" t="s">
        <v>305</v>
      </c>
      <c r="E164" s="19" t="s">
        <v>307</v>
      </c>
      <c r="F164" s="13" t="s">
        <v>49</v>
      </c>
      <c r="G164" s="13" t="s">
        <v>66</v>
      </c>
      <c r="H164" s="13" t="s">
        <v>51</v>
      </c>
      <c r="I164" s="14" t="s">
        <v>9</v>
      </c>
      <c r="J164" s="16">
        <v>384</v>
      </c>
      <c r="K164" s="17">
        <v>32308</v>
      </c>
      <c r="M164" s="16"/>
    </row>
    <row r="165" spans="1:13" ht="15">
      <c r="A165" s="9">
        <v>16</v>
      </c>
      <c r="B165" s="10">
        <v>45768</v>
      </c>
      <c r="C165" s="11" t="s">
        <v>111</v>
      </c>
      <c r="D165" s="11" t="s">
        <v>308</v>
      </c>
      <c r="E165" s="19" t="s">
        <v>309</v>
      </c>
      <c r="F165" s="13" t="s">
        <v>49</v>
      </c>
      <c r="G165" s="13" t="s">
        <v>66</v>
      </c>
      <c r="H165" s="13" t="s">
        <v>62</v>
      </c>
      <c r="I165" s="14" t="s">
        <v>63</v>
      </c>
      <c r="J165" s="17">
        <v>4728</v>
      </c>
      <c r="K165" s="16"/>
      <c r="M165" s="16"/>
    </row>
    <row r="166" spans="1:13" ht="15">
      <c r="A166" s="9">
        <v>16</v>
      </c>
      <c r="B166" s="10">
        <v>45769</v>
      </c>
      <c r="C166" s="11" t="s">
        <v>132</v>
      </c>
      <c r="D166" s="11" t="s">
        <v>47</v>
      </c>
      <c r="E166" s="19" t="s">
        <v>310</v>
      </c>
      <c r="F166" s="13" t="s">
        <v>55</v>
      </c>
      <c r="G166" s="13" t="s">
        <v>56</v>
      </c>
      <c r="H166" s="13" t="s">
        <v>57</v>
      </c>
      <c r="I166" s="14" t="s">
        <v>58</v>
      </c>
      <c r="J166" s="16">
        <v>321</v>
      </c>
      <c r="K166" s="16"/>
      <c r="M166" s="16">
        <v>102</v>
      </c>
    </row>
    <row r="167" spans="1:13" ht="15">
      <c r="A167" s="9">
        <v>16</v>
      </c>
      <c r="B167" s="10">
        <v>45769</v>
      </c>
      <c r="C167" s="11" t="s">
        <v>132</v>
      </c>
      <c r="D167" s="11" t="s">
        <v>311</v>
      </c>
      <c r="E167" s="19" t="s">
        <v>312</v>
      </c>
      <c r="F167" s="13" t="s">
        <v>55</v>
      </c>
      <c r="G167" s="13" t="s">
        <v>56</v>
      </c>
      <c r="H167" s="13" t="s">
        <v>57</v>
      </c>
      <c r="I167" s="14" t="s">
        <v>58</v>
      </c>
      <c r="J167" s="16">
        <v>71</v>
      </c>
      <c r="K167" s="16"/>
      <c r="M167" s="16">
        <v>21</v>
      </c>
    </row>
    <row r="168" spans="1:13" ht="15">
      <c r="A168" s="9">
        <v>16</v>
      </c>
      <c r="B168" s="10">
        <v>45769</v>
      </c>
      <c r="C168" s="11" t="s">
        <v>145</v>
      </c>
      <c r="D168" s="11" t="s">
        <v>246</v>
      </c>
      <c r="E168" s="19" t="s">
        <v>313</v>
      </c>
      <c r="F168" s="13" t="s">
        <v>19</v>
      </c>
      <c r="G168" s="13" t="s">
        <v>66</v>
      </c>
      <c r="H168" s="13" t="s">
        <v>51</v>
      </c>
      <c r="I168" s="14" t="s">
        <v>9</v>
      </c>
      <c r="J168" s="16">
        <v>98</v>
      </c>
      <c r="K168" s="17">
        <v>1690</v>
      </c>
      <c r="M168" s="16"/>
    </row>
    <row r="169" spans="1:13" ht="15">
      <c r="A169" s="9">
        <v>16</v>
      </c>
      <c r="B169" s="10">
        <v>45769</v>
      </c>
      <c r="C169" s="9" t="s">
        <v>145</v>
      </c>
      <c r="D169" s="9" t="s">
        <v>314</v>
      </c>
      <c r="E169" s="19" t="s">
        <v>315</v>
      </c>
      <c r="F169" s="13" t="s">
        <v>49</v>
      </c>
      <c r="G169" s="13" t="s">
        <v>66</v>
      </c>
      <c r="H169" s="13" t="s">
        <v>71</v>
      </c>
      <c r="I169" s="14" t="s">
        <v>63</v>
      </c>
      <c r="J169" s="17">
        <v>13625</v>
      </c>
      <c r="K169" s="16"/>
      <c r="M169" s="16"/>
    </row>
    <row r="170" spans="1:13" ht="15">
      <c r="A170" s="9">
        <v>16</v>
      </c>
      <c r="B170" s="10">
        <v>45769</v>
      </c>
      <c r="C170" s="9" t="s">
        <v>145</v>
      </c>
      <c r="D170" s="9" t="s">
        <v>314</v>
      </c>
      <c r="E170" s="19" t="s">
        <v>316</v>
      </c>
      <c r="F170" s="13" t="s">
        <v>55</v>
      </c>
      <c r="G170" s="13" t="s">
        <v>66</v>
      </c>
      <c r="H170" s="13" t="s">
        <v>71</v>
      </c>
      <c r="I170" s="14" t="s">
        <v>63</v>
      </c>
      <c r="J170" s="17">
        <v>67922</v>
      </c>
      <c r="K170" s="16"/>
      <c r="M170" s="16">
        <v>90</v>
      </c>
    </row>
    <row r="171" spans="1:13" ht="15">
      <c r="A171" s="9">
        <v>16</v>
      </c>
      <c r="B171" s="10">
        <v>45770</v>
      </c>
      <c r="C171" s="9" t="s">
        <v>132</v>
      </c>
      <c r="D171" s="9" t="s">
        <v>317</v>
      </c>
      <c r="E171" s="19" t="s">
        <v>318</v>
      </c>
      <c r="F171" s="13" t="s">
        <v>55</v>
      </c>
      <c r="G171" s="13" t="s">
        <v>56</v>
      </c>
      <c r="H171" s="13" t="s">
        <v>57</v>
      </c>
      <c r="I171" s="14" t="s">
        <v>58</v>
      </c>
      <c r="J171" s="16">
        <v>321</v>
      </c>
      <c r="K171" s="16"/>
      <c r="M171" s="16">
        <v>121</v>
      </c>
    </row>
    <row r="172" spans="1:13" ht="15">
      <c r="A172" s="9">
        <v>16</v>
      </c>
      <c r="B172" s="10">
        <v>45770</v>
      </c>
      <c r="C172" s="9" t="s">
        <v>111</v>
      </c>
      <c r="D172" s="9" t="s">
        <v>240</v>
      </c>
      <c r="E172" s="19" t="s">
        <v>319</v>
      </c>
      <c r="F172" s="13" t="s">
        <v>55</v>
      </c>
      <c r="G172" s="13" t="s">
        <v>111</v>
      </c>
      <c r="H172" s="13" t="s">
        <v>51</v>
      </c>
      <c r="I172" s="14" t="s">
        <v>9</v>
      </c>
      <c r="J172" s="17">
        <v>2437</v>
      </c>
      <c r="K172" s="17">
        <v>20422</v>
      </c>
      <c r="M172" s="16"/>
    </row>
    <row r="173" spans="1:13" ht="15">
      <c r="A173" s="9">
        <v>16</v>
      </c>
      <c r="B173" s="10">
        <v>45770</v>
      </c>
      <c r="C173" s="9" t="s">
        <v>266</v>
      </c>
      <c r="D173" s="9" t="s">
        <v>129</v>
      </c>
      <c r="E173" s="19" t="s">
        <v>320</v>
      </c>
      <c r="F173" s="13" t="s">
        <v>49</v>
      </c>
      <c r="G173" s="13" t="s">
        <v>111</v>
      </c>
      <c r="H173" s="13" t="s">
        <v>51</v>
      </c>
      <c r="I173" s="14" t="s">
        <v>9</v>
      </c>
      <c r="J173" s="17">
        <v>6327</v>
      </c>
      <c r="K173" s="17">
        <v>155816</v>
      </c>
      <c r="M173" s="16"/>
    </row>
    <row r="174" spans="1:13" ht="15">
      <c r="A174" s="9">
        <v>16</v>
      </c>
      <c r="B174" s="10">
        <v>45770</v>
      </c>
      <c r="C174" s="9" t="s">
        <v>111</v>
      </c>
      <c r="D174" s="9" t="s">
        <v>114</v>
      </c>
      <c r="E174" s="19" t="s">
        <v>321</v>
      </c>
      <c r="F174" s="13" t="s">
        <v>19</v>
      </c>
      <c r="G174" s="13" t="s">
        <v>111</v>
      </c>
      <c r="H174" s="13" t="s">
        <v>51</v>
      </c>
      <c r="I174" s="14" t="s">
        <v>9</v>
      </c>
      <c r="J174" s="16">
        <v>188</v>
      </c>
      <c r="K174" s="17">
        <v>2331</v>
      </c>
      <c r="M174" s="16"/>
    </row>
    <row r="175" spans="1:13" ht="15">
      <c r="A175" s="9">
        <v>16</v>
      </c>
      <c r="B175" s="10">
        <v>45770</v>
      </c>
      <c r="C175" s="9" t="s">
        <v>145</v>
      </c>
      <c r="D175" s="9" t="s">
        <v>322</v>
      </c>
      <c r="E175" s="19" t="s">
        <v>323</v>
      </c>
      <c r="F175" s="13" t="s">
        <v>49</v>
      </c>
      <c r="G175" s="13" t="s">
        <v>66</v>
      </c>
      <c r="H175" s="13" t="s">
        <v>71</v>
      </c>
      <c r="I175" s="14" t="s">
        <v>63</v>
      </c>
      <c r="J175" s="17">
        <v>2574</v>
      </c>
      <c r="K175" s="16"/>
      <c r="M175" s="16"/>
    </row>
    <row r="176" spans="1:13" ht="15">
      <c r="A176" s="9">
        <v>16</v>
      </c>
      <c r="B176" s="10">
        <v>45770</v>
      </c>
      <c r="C176" s="9" t="s">
        <v>145</v>
      </c>
      <c r="D176" s="9" t="s">
        <v>322</v>
      </c>
      <c r="E176" s="19" t="s">
        <v>324</v>
      </c>
      <c r="F176" s="13" t="s">
        <v>55</v>
      </c>
      <c r="G176" s="13" t="s">
        <v>66</v>
      </c>
      <c r="H176" s="13" t="s">
        <v>71</v>
      </c>
      <c r="I176" s="14" t="s">
        <v>63</v>
      </c>
      <c r="J176" s="17">
        <v>2343</v>
      </c>
      <c r="K176" s="16"/>
      <c r="M176" s="16"/>
    </row>
    <row r="177" spans="1:13" ht="15">
      <c r="A177" s="9">
        <v>16</v>
      </c>
      <c r="B177" s="10">
        <v>45770</v>
      </c>
      <c r="C177" s="9" t="s">
        <v>145</v>
      </c>
      <c r="D177" s="9" t="s">
        <v>111</v>
      </c>
      <c r="E177" s="19" t="s">
        <v>325</v>
      </c>
      <c r="F177" s="13" t="s">
        <v>19</v>
      </c>
      <c r="G177" s="13" t="s">
        <v>111</v>
      </c>
      <c r="H177" s="13" t="s">
        <v>51</v>
      </c>
      <c r="I177" s="14" t="s">
        <v>58</v>
      </c>
      <c r="J177" s="16">
        <v>107</v>
      </c>
      <c r="K177" s="17">
        <v>1936</v>
      </c>
      <c r="M177" s="16"/>
    </row>
    <row r="178" spans="1:13" ht="15">
      <c r="A178" s="9">
        <v>16</v>
      </c>
      <c r="B178" s="10">
        <v>45770</v>
      </c>
      <c r="C178" s="9" t="s">
        <v>35</v>
      </c>
      <c r="D178" s="9" t="s">
        <v>111</v>
      </c>
      <c r="E178" s="19" t="s">
        <v>326</v>
      </c>
      <c r="F178" s="13" t="s">
        <v>19</v>
      </c>
      <c r="G178" s="13" t="s">
        <v>35</v>
      </c>
      <c r="H178" s="13" t="s">
        <v>51</v>
      </c>
      <c r="I178" s="14" t="s">
        <v>9</v>
      </c>
      <c r="J178" s="16">
        <v>111</v>
      </c>
      <c r="K178" s="17">
        <v>1990</v>
      </c>
      <c r="M178" s="16"/>
    </row>
    <row r="179" spans="1:13" ht="15">
      <c r="A179" s="9">
        <v>16</v>
      </c>
      <c r="B179" s="10">
        <v>45770</v>
      </c>
      <c r="C179" s="9" t="s">
        <v>35</v>
      </c>
      <c r="D179" s="9" t="s">
        <v>111</v>
      </c>
      <c r="E179" s="19" t="s">
        <v>327</v>
      </c>
      <c r="F179" s="13" t="s">
        <v>49</v>
      </c>
      <c r="G179" s="13" t="s">
        <v>35</v>
      </c>
      <c r="H179" s="13" t="s">
        <v>51</v>
      </c>
      <c r="I179" s="14" t="s">
        <v>9</v>
      </c>
      <c r="J179" s="16">
        <v>398</v>
      </c>
      <c r="K179" s="17">
        <v>41947</v>
      </c>
      <c r="M179" s="16"/>
    </row>
    <row r="180" spans="1:13" ht="15">
      <c r="A180" s="9">
        <v>16</v>
      </c>
      <c r="B180" s="10">
        <v>45771</v>
      </c>
      <c r="C180" s="9" t="s">
        <v>35</v>
      </c>
      <c r="D180" s="9" t="s">
        <v>111</v>
      </c>
      <c r="E180" s="19" t="s">
        <v>328</v>
      </c>
      <c r="F180" s="13" t="s">
        <v>49</v>
      </c>
      <c r="G180" s="13" t="s">
        <v>35</v>
      </c>
      <c r="H180" s="13" t="s">
        <v>51</v>
      </c>
      <c r="I180" s="14" t="s">
        <v>9</v>
      </c>
      <c r="J180" s="16">
        <v>644</v>
      </c>
      <c r="K180" s="17">
        <v>49473</v>
      </c>
      <c r="M180" s="16"/>
    </row>
    <row r="181" spans="1:13" ht="15">
      <c r="A181" s="9">
        <v>16</v>
      </c>
      <c r="B181" s="10">
        <v>45771</v>
      </c>
      <c r="C181" s="9" t="s">
        <v>35</v>
      </c>
      <c r="D181" s="9" t="s">
        <v>111</v>
      </c>
      <c r="E181" s="19" t="s">
        <v>329</v>
      </c>
      <c r="F181" s="13" t="s">
        <v>19</v>
      </c>
      <c r="G181" s="13" t="s">
        <v>35</v>
      </c>
      <c r="H181" s="13" t="s">
        <v>51</v>
      </c>
      <c r="I181" s="14" t="s">
        <v>9</v>
      </c>
      <c r="J181" s="16">
        <v>96</v>
      </c>
      <c r="K181" s="17">
        <v>1639</v>
      </c>
      <c r="M181" s="16"/>
    </row>
    <row r="182" spans="1:13" ht="15">
      <c r="A182" s="9">
        <v>16</v>
      </c>
      <c r="B182" s="10">
        <v>45771</v>
      </c>
      <c r="C182" s="9" t="s">
        <v>132</v>
      </c>
      <c r="D182" s="9" t="s">
        <v>305</v>
      </c>
      <c r="E182" s="19" t="s">
        <v>330</v>
      </c>
      <c r="F182" s="13" t="s">
        <v>55</v>
      </c>
      <c r="G182" s="13" t="s">
        <v>56</v>
      </c>
      <c r="H182" s="13" t="s">
        <v>57</v>
      </c>
      <c r="I182" s="14" t="s">
        <v>58</v>
      </c>
      <c r="J182" s="16">
        <v>111</v>
      </c>
      <c r="K182" s="16"/>
      <c r="M182" s="16">
        <v>22</v>
      </c>
    </row>
    <row r="183" spans="1:13" ht="15">
      <c r="A183" s="9">
        <v>16</v>
      </c>
      <c r="B183" s="10">
        <v>45771</v>
      </c>
      <c r="C183" s="9" t="s">
        <v>106</v>
      </c>
      <c r="D183" s="9" t="s">
        <v>105</v>
      </c>
      <c r="E183" s="19" t="s">
        <v>331</v>
      </c>
      <c r="F183" s="13" t="s">
        <v>55</v>
      </c>
      <c r="G183" s="13" t="s">
        <v>149</v>
      </c>
      <c r="H183" s="13" t="s">
        <v>71</v>
      </c>
      <c r="I183" s="14" t="s">
        <v>63</v>
      </c>
      <c r="J183" s="17">
        <v>3577</v>
      </c>
      <c r="K183" s="16"/>
      <c r="M183" s="16"/>
    </row>
    <row r="184" spans="1:13" ht="15">
      <c r="A184" s="9">
        <v>16</v>
      </c>
      <c r="B184" s="10">
        <v>45771</v>
      </c>
      <c r="C184" s="9" t="s">
        <v>149</v>
      </c>
      <c r="D184" s="9" t="s">
        <v>105</v>
      </c>
      <c r="E184" s="19" t="s">
        <v>332</v>
      </c>
      <c r="F184" s="13" t="s">
        <v>49</v>
      </c>
      <c r="G184" s="13" t="s">
        <v>149</v>
      </c>
      <c r="H184" s="13" t="s">
        <v>51</v>
      </c>
      <c r="I184" s="14" t="s">
        <v>9</v>
      </c>
      <c r="J184" s="17">
        <v>1172</v>
      </c>
      <c r="K184" s="17">
        <v>55229</v>
      </c>
      <c r="M184" s="16"/>
    </row>
    <row r="185" spans="1:13" ht="15">
      <c r="A185" s="9">
        <v>16</v>
      </c>
      <c r="B185" s="10">
        <v>45771</v>
      </c>
      <c r="C185" s="16" t="s">
        <v>149</v>
      </c>
      <c r="D185" s="16" t="s">
        <v>105</v>
      </c>
      <c r="E185" s="16" t="s">
        <v>333</v>
      </c>
      <c r="F185" s="13" t="s">
        <v>19</v>
      </c>
      <c r="G185" s="13" t="s">
        <v>149</v>
      </c>
      <c r="H185" s="13" t="s">
        <v>51</v>
      </c>
      <c r="I185" s="14" t="s">
        <v>9</v>
      </c>
      <c r="J185" s="16">
        <v>165</v>
      </c>
      <c r="K185" s="17">
        <v>2899</v>
      </c>
      <c r="M185" s="16"/>
    </row>
    <row r="186" spans="1:13" ht="15">
      <c r="A186" s="9">
        <v>16</v>
      </c>
      <c r="B186" s="10">
        <v>45771</v>
      </c>
      <c r="C186" s="16" t="s">
        <v>245</v>
      </c>
      <c r="D186" s="16" t="s">
        <v>47</v>
      </c>
      <c r="E186" s="19" t="s">
        <v>334</v>
      </c>
      <c r="F186" s="13" t="s">
        <v>49</v>
      </c>
      <c r="G186" s="13" t="s">
        <v>245</v>
      </c>
      <c r="H186" s="13" t="s">
        <v>71</v>
      </c>
      <c r="I186" s="14" t="s">
        <v>63</v>
      </c>
      <c r="J186" s="17">
        <v>37857</v>
      </c>
      <c r="K186" s="16"/>
      <c r="M186" s="16"/>
    </row>
    <row r="187" spans="1:13" ht="15">
      <c r="A187" s="9">
        <v>16</v>
      </c>
      <c r="B187" s="10">
        <v>45771</v>
      </c>
      <c r="C187" s="16" t="s">
        <v>111</v>
      </c>
      <c r="D187" s="16" t="s">
        <v>335</v>
      </c>
      <c r="E187" s="19" t="s">
        <v>336</v>
      </c>
      <c r="F187" s="13" t="s">
        <v>49</v>
      </c>
      <c r="G187" s="13" t="s">
        <v>66</v>
      </c>
      <c r="H187" s="13" t="s">
        <v>71</v>
      </c>
      <c r="I187" s="14" t="s">
        <v>63</v>
      </c>
      <c r="J187" s="17">
        <v>7031</v>
      </c>
      <c r="K187" s="16"/>
      <c r="M187" s="16"/>
    </row>
    <row r="188" spans="1:13" ht="15">
      <c r="A188" s="9">
        <v>16</v>
      </c>
      <c r="B188" s="10">
        <v>45771</v>
      </c>
      <c r="C188" s="16" t="s">
        <v>111</v>
      </c>
      <c r="D188" s="16" t="s">
        <v>335</v>
      </c>
      <c r="E188" s="19" t="s">
        <v>337</v>
      </c>
      <c r="F188" s="13" t="s">
        <v>55</v>
      </c>
      <c r="G188" s="13" t="s">
        <v>66</v>
      </c>
      <c r="H188" s="13" t="s">
        <v>71</v>
      </c>
      <c r="I188" s="14" t="s">
        <v>9</v>
      </c>
      <c r="J188" s="17">
        <v>38770</v>
      </c>
      <c r="K188" s="16"/>
      <c r="M188" s="16">
        <v>6</v>
      </c>
    </row>
    <row r="189" spans="1:13" ht="15">
      <c r="A189" s="9">
        <v>16</v>
      </c>
      <c r="B189" s="10">
        <v>45772</v>
      </c>
      <c r="C189" s="16" t="s">
        <v>35</v>
      </c>
      <c r="D189" s="16" t="s">
        <v>47</v>
      </c>
      <c r="E189" s="19" t="s">
        <v>338</v>
      </c>
      <c r="F189" s="13" t="s">
        <v>19</v>
      </c>
      <c r="G189" s="13" t="s">
        <v>35</v>
      </c>
      <c r="H189" s="13" t="s">
        <v>51</v>
      </c>
      <c r="I189" s="14" t="s">
        <v>9</v>
      </c>
      <c r="J189" s="16">
        <v>69</v>
      </c>
      <c r="K189" s="17">
        <v>2176</v>
      </c>
      <c r="M189" s="16"/>
    </row>
    <row r="190" spans="1:13" ht="15">
      <c r="A190" s="9">
        <v>16</v>
      </c>
      <c r="B190" s="10">
        <v>45772</v>
      </c>
      <c r="C190" s="16" t="s">
        <v>35</v>
      </c>
      <c r="D190" s="16" t="s">
        <v>47</v>
      </c>
      <c r="E190" s="19" t="s">
        <v>339</v>
      </c>
      <c r="F190" s="13" t="s">
        <v>49</v>
      </c>
      <c r="G190" s="13" t="s">
        <v>35</v>
      </c>
      <c r="H190" s="13" t="s">
        <v>51</v>
      </c>
      <c r="I190" s="14" t="s">
        <v>9</v>
      </c>
      <c r="J190" s="16">
        <v>287</v>
      </c>
      <c r="K190" s="17">
        <v>25820</v>
      </c>
      <c r="M190" s="16"/>
    </row>
    <row r="191" spans="1:13" ht="15">
      <c r="A191" s="9">
        <v>16</v>
      </c>
      <c r="B191" s="10">
        <v>45772</v>
      </c>
      <c r="C191" s="16" t="s">
        <v>132</v>
      </c>
      <c r="D191" s="16" t="s">
        <v>246</v>
      </c>
      <c r="E191" s="19" t="s">
        <v>340</v>
      </c>
      <c r="F191" s="13" t="s">
        <v>55</v>
      </c>
      <c r="G191" s="13" t="s">
        <v>56</v>
      </c>
      <c r="H191" s="13" t="s">
        <v>57</v>
      </c>
      <c r="I191" s="14" t="s">
        <v>90</v>
      </c>
      <c r="J191" s="16">
        <v>115</v>
      </c>
      <c r="K191" s="16"/>
      <c r="M191" s="16">
        <v>37</v>
      </c>
    </row>
    <row r="192" spans="1:13" ht="15">
      <c r="A192" s="9">
        <v>16</v>
      </c>
      <c r="B192" s="10">
        <v>45772</v>
      </c>
      <c r="C192" s="16" t="s">
        <v>111</v>
      </c>
      <c r="D192" s="16" t="s">
        <v>195</v>
      </c>
      <c r="E192" s="19" t="s">
        <v>341</v>
      </c>
      <c r="F192" s="13" t="s">
        <v>19</v>
      </c>
      <c r="G192" s="13" t="s">
        <v>111</v>
      </c>
      <c r="H192" s="13" t="s">
        <v>51</v>
      </c>
      <c r="I192" s="14" t="s">
        <v>9</v>
      </c>
      <c r="J192" s="16">
        <v>111</v>
      </c>
      <c r="K192" s="17">
        <v>1571</v>
      </c>
      <c r="M192" s="16"/>
    </row>
    <row r="193" spans="1:13" ht="15">
      <c r="A193" s="9">
        <v>16</v>
      </c>
      <c r="B193" s="10">
        <v>45772</v>
      </c>
      <c r="C193" s="16" t="s">
        <v>111</v>
      </c>
      <c r="D193" s="16" t="s">
        <v>342</v>
      </c>
      <c r="E193" s="19" t="s">
        <v>343</v>
      </c>
      <c r="F193" s="13" t="s">
        <v>49</v>
      </c>
      <c r="G193" s="13" t="s">
        <v>111</v>
      </c>
      <c r="H193" s="13" t="s">
        <v>51</v>
      </c>
      <c r="I193" s="14" t="s">
        <v>9</v>
      </c>
      <c r="J193" s="17">
        <v>11058</v>
      </c>
      <c r="K193" s="17">
        <v>302036</v>
      </c>
      <c r="M193" s="16"/>
    </row>
    <row r="194" spans="1:13" ht="15">
      <c r="A194" s="9">
        <v>16</v>
      </c>
      <c r="B194" s="10">
        <v>45772</v>
      </c>
      <c r="C194" s="16" t="s">
        <v>111</v>
      </c>
      <c r="D194" s="16" t="s">
        <v>240</v>
      </c>
      <c r="E194" s="19" t="s">
        <v>344</v>
      </c>
      <c r="F194" s="13" t="s">
        <v>55</v>
      </c>
      <c r="G194" s="13" t="s">
        <v>111</v>
      </c>
      <c r="H194" s="13" t="s">
        <v>51</v>
      </c>
      <c r="I194" s="14" t="s">
        <v>9</v>
      </c>
      <c r="J194" s="16">
        <v>712</v>
      </c>
      <c r="K194" s="17">
        <v>6748</v>
      </c>
      <c r="M194" s="16"/>
    </row>
    <row r="195" spans="1:13" ht="15">
      <c r="A195" s="9">
        <v>16</v>
      </c>
      <c r="B195" s="10">
        <v>45772</v>
      </c>
      <c r="C195" s="16" t="s">
        <v>145</v>
      </c>
      <c r="D195" s="16" t="s">
        <v>345</v>
      </c>
      <c r="E195" s="19" t="s">
        <v>346</v>
      </c>
      <c r="F195" s="13" t="s">
        <v>49</v>
      </c>
      <c r="G195" s="13" t="s">
        <v>66</v>
      </c>
      <c r="H195" s="13" t="s">
        <v>71</v>
      </c>
      <c r="I195" s="14" t="s">
        <v>9</v>
      </c>
      <c r="J195" s="17">
        <v>6486</v>
      </c>
      <c r="K195" s="16"/>
      <c r="M195" s="16"/>
    </row>
    <row r="196" spans="1:13" ht="15">
      <c r="A196" s="9">
        <v>16</v>
      </c>
      <c r="B196" s="10">
        <v>45772</v>
      </c>
      <c r="C196" s="16" t="s">
        <v>145</v>
      </c>
      <c r="D196" s="16" t="s">
        <v>347</v>
      </c>
      <c r="E196" s="19" t="s">
        <v>348</v>
      </c>
      <c r="F196" s="13" t="s">
        <v>55</v>
      </c>
      <c r="G196" s="13" t="s">
        <v>56</v>
      </c>
      <c r="H196" s="13" t="s">
        <v>71</v>
      </c>
      <c r="I196" s="14" t="s">
        <v>9</v>
      </c>
      <c r="J196" s="17">
        <v>16391</v>
      </c>
      <c r="K196" s="16"/>
      <c r="M196" s="16">
        <v>8</v>
      </c>
    </row>
    <row r="197" spans="1:13" ht="15">
      <c r="A197" s="9">
        <v>16</v>
      </c>
      <c r="B197" s="10">
        <v>45773</v>
      </c>
      <c r="C197" s="16" t="s">
        <v>162</v>
      </c>
      <c r="D197" s="16" t="s">
        <v>246</v>
      </c>
      <c r="E197" s="19" t="s">
        <v>349</v>
      </c>
      <c r="F197" s="13" t="s">
        <v>55</v>
      </c>
      <c r="G197" s="13" t="s">
        <v>164</v>
      </c>
      <c r="H197" s="13" t="s">
        <v>57</v>
      </c>
      <c r="I197" s="14" t="s">
        <v>90</v>
      </c>
      <c r="J197" s="16">
        <v>80</v>
      </c>
      <c r="K197" s="16"/>
      <c r="M197" s="16">
        <v>29</v>
      </c>
    </row>
    <row r="198" spans="1:13" ht="15">
      <c r="A198" s="9">
        <v>16</v>
      </c>
      <c r="B198" s="10">
        <v>45773</v>
      </c>
      <c r="C198" s="16" t="s">
        <v>111</v>
      </c>
      <c r="D198" s="16" t="s">
        <v>350</v>
      </c>
      <c r="E198" s="19" t="s">
        <v>351</v>
      </c>
      <c r="F198" s="13" t="s">
        <v>55</v>
      </c>
      <c r="G198" s="13" t="s">
        <v>111</v>
      </c>
      <c r="H198" s="13" t="s">
        <v>62</v>
      </c>
      <c r="I198" s="14" t="s">
        <v>9</v>
      </c>
      <c r="J198" s="17">
        <v>2578</v>
      </c>
      <c r="K198" s="16"/>
      <c r="M198" s="16">
        <v>6</v>
      </c>
    </row>
    <row r="199" spans="1:13" ht="15">
      <c r="A199" s="9">
        <v>16</v>
      </c>
      <c r="B199" s="10">
        <v>45773</v>
      </c>
      <c r="C199" s="16" t="s">
        <v>111</v>
      </c>
      <c r="D199" s="16" t="s">
        <v>350</v>
      </c>
      <c r="E199" s="19" t="s">
        <v>352</v>
      </c>
      <c r="F199" s="13" t="s">
        <v>49</v>
      </c>
      <c r="G199" s="13" t="s">
        <v>111</v>
      </c>
      <c r="H199" s="13" t="s">
        <v>71</v>
      </c>
      <c r="I199" s="14" t="s">
        <v>9</v>
      </c>
      <c r="J199" s="17">
        <v>3393</v>
      </c>
      <c r="K199" s="16"/>
      <c r="M199" s="16"/>
    </row>
    <row r="200" spans="1:13" ht="15">
      <c r="A200" s="9">
        <v>16</v>
      </c>
      <c r="B200" s="10">
        <v>45774</v>
      </c>
      <c r="C200" s="16" t="s">
        <v>145</v>
      </c>
      <c r="D200" s="16" t="s">
        <v>345</v>
      </c>
      <c r="E200" s="19" t="s">
        <v>353</v>
      </c>
      <c r="F200" s="13" t="s">
        <v>19</v>
      </c>
      <c r="G200" s="13" t="s">
        <v>66</v>
      </c>
      <c r="H200" s="13" t="s">
        <v>51</v>
      </c>
      <c r="I200" s="14" t="s">
        <v>9</v>
      </c>
      <c r="J200" s="16">
        <v>72</v>
      </c>
      <c r="K200" s="17">
        <v>2048</v>
      </c>
      <c r="M200" s="16"/>
    </row>
    <row r="201" spans="1:13" ht="15">
      <c r="A201" s="9">
        <v>16</v>
      </c>
      <c r="B201" s="10">
        <v>45774</v>
      </c>
      <c r="C201" s="16" t="s">
        <v>145</v>
      </c>
      <c r="D201" s="16" t="s">
        <v>246</v>
      </c>
      <c r="E201" s="19" t="s">
        <v>354</v>
      </c>
      <c r="F201" s="13" t="s">
        <v>49</v>
      </c>
      <c r="G201" s="13" t="s">
        <v>66</v>
      </c>
      <c r="H201" s="13" t="s">
        <v>71</v>
      </c>
      <c r="I201" s="14" t="s">
        <v>9</v>
      </c>
      <c r="J201" s="17">
        <v>8283</v>
      </c>
      <c r="K201" s="16"/>
      <c r="M201" s="16"/>
    </row>
    <row r="202" spans="1:13" ht="15">
      <c r="A202" s="9">
        <v>16</v>
      </c>
      <c r="B202" s="10">
        <v>45774</v>
      </c>
      <c r="C202" s="16" t="s">
        <v>145</v>
      </c>
      <c r="D202" s="16" t="s">
        <v>133</v>
      </c>
      <c r="E202" s="19" t="s">
        <v>355</v>
      </c>
      <c r="F202" s="13" t="s">
        <v>55</v>
      </c>
      <c r="G202" s="13" t="s">
        <v>66</v>
      </c>
      <c r="H202" s="13" t="s">
        <v>62</v>
      </c>
      <c r="I202" s="14" t="s">
        <v>9</v>
      </c>
      <c r="J202" s="17">
        <v>10307</v>
      </c>
      <c r="K202" s="16"/>
      <c r="M202" s="16">
        <v>12</v>
      </c>
    </row>
    <row r="203" spans="1:13" ht="15">
      <c r="A203" s="9">
        <v>16</v>
      </c>
      <c r="B203" s="10">
        <v>45774</v>
      </c>
      <c r="C203" s="16" t="s">
        <v>145</v>
      </c>
      <c r="D203" s="16" t="s">
        <v>356</v>
      </c>
      <c r="E203" s="19" t="s">
        <v>357</v>
      </c>
      <c r="F203" s="13" t="s">
        <v>19</v>
      </c>
      <c r="G203" s="13" t="s">
        <v>56</v>
      </c>
      <c r="H203" s="13" t="s">
        <v>51</v>
      </c>
      <c r="I203" s="14" t="s">
        <v>9</v>
      </c>
      <c r="J203" s="16">
        <v>48</v>
      </c>
      <c r="K203" s="17">
        <v>1282</v>
      </c>
      <c r="M203" s="16"/>
    </row>
    <row r="204" spans="1:13" ht="15">
      <c r="A204" s="9">
        <v>16</v>
      </c>
      <c r="B204" s="10">
        <v>45774</v>
      </c>
      <c r="C204" s="16" t="s">
        <v>145</v>
      </c>
      <c r="D204" s="16" t="s">
        <v>356</v>
      </c>
      <c r="E204" s="19" t="s">
        <v>358</v>
      </c>
      <c r="F204" s="13" t="s">
        <v>49</v>
      </c>
      <c r="G204" s="13" t="s">
        <v>66</v>
      </c>
      <c r="H204" s="13" t="s">
        <v>51</v>
      </c>
      <c r="I204" s="14" t="s">
        <v>9</v>
      </c>
      <c r="J204" s="16">
        <v>317</v>
      </c>
      <c r="K204" s="17">
        <v>18685</v>
      </c>
      <c r="M204" s="16"/>
    </row>
    <row r="205" spans="1:13" ht="15">
      <c r="J205" s="16"/>
    </row>
    <row r="206" spans="1:13" ht="15">
      <c r="J206" s="16"/>
    </row>
    <row r="207" spans="1:13" ht="15">
      <c r="J207" s="16"/>
    </row>
    <row r="208" spans="1:13" ht="15">
      <c r="J208" s="16"/>
    </row>
    <row r="209" spans="10:10" ht="15">
      <c r="J209" s="16"/>
    </row>
    <row r="210" spans="10:10" ht="15">
      <c r="J210" s="16"/>
    </row>
    <row r="211" spans="10:10" ht="15">
      <c r="J211" s="16"/>
    </row>
    <row r="212" spans="10:10" ht="15">
      <c r="J212" s="16"/>
    </row>
    <row r="213" spans="10:10" ht="15">
      <c r="J213" s="16"/>
    </row>
    <row r="214" spans="10:10" ht="15">
      <c r="J214" s="16"/>
    </row>
    <row r="215" spans="10:10" ht="15">
      <c r="J215" s="16"/>
    </row>
    <row r="216" spans="10:10" ht="15">
      <c r="J216" s="16"/>
    </row>
    <row r="217" spans="10:10" ht="15">
      <c r="J217" s="16"/>
    </row>
    <row r="218" spans="10:10" ht="15">
      <c r="J218" s="16"/>
    </row>
    <row r="219" spans="10:10" ht="15">
      <c r="J219" s="16"/>
    </row>
    <row r="220" spans="10:10" ht="15">
      <c r="J220" s="16"/>
    </row>
    <row r="221" spans="10:10" ht="15">
      <c r="J221" s="16"/>
    </row>
    <row r="222" spans="10:10" ht="15">
      <c r="J222" s="16"/>
    </row>
    <row r="223" spans="10:10" ht="15">
      <c r="J223" s="16"/>
    </row>
    <row r="224" spans="10:10" ht="15">
      <c r="J224" s="16"/>
    </row>
    <row r="225" spans="10:10" ht="15">
      <c r="J225" s="16"/>
    </row>
    <row r="226" spans="10:10" ht="15">
      <c r="J226" s="16"/>
    </row>
    <row r="227" spans="10:10" ht="15">
      <c r="J227" s="16"/>
    </row>
    <row r="228" spans="10:10" ht="15">
      <c r="J228" s="16"/>
    </row>
    <row r="229" spans="10:10" ht="15">
      <c r="J229" s="16"/>
    </row>
    <row r="230" spans="10:10" ht="15">
      <c r="J230" s="16"/>
    </row>
    <row r="231" spans="10:10" ht="15">
      <c r="J231" s="16"/>
    </row>
    <row r="232" spans="10:10" ht="15">
      <c r="J232" s="16"/>
    </row>
    <row r="233" spans="10:10" ht="15">
      <c r="J233" s="16"/>
    </row>
    <row r="234" spans="10:10" ht="15">
      <c r="J234" s="16"/>
    </row>
    <row r="235" spans="10:10" ht="15">
      <c r="J235" s="16"/>
    </row>
    <row r="236" spans="10:10" ht="15">
      <c r="J236" s="16"/>
    </row>
    <row r="237" spans="10:10" ht="15">
      <c r="J237" s="16"/>
    </row>
    <row r="238" spans="10:10" ht="15">
      <c r="J238" s="16"/>
    </row>
    <row r="239" spans="10:10" ht="15">
      <c r="J239" s="16"/>
    </row>
    <row r="240" spans="10:10" ht="15">
      <c r="J240" s="16"/>
    </row>
    <row r="241" ht="13.5"/>
    <row r="242" ht="13.5"/>
    <row r="243" ht="13.5"/>
  </sheetData>
  <dataValidations count="7">
    <dataValidation type="list" allowBlank="1" showErrorMessage="1" sqref="I119" xr:uid="{85B87328-C116-024D-8A5B-AA6C0BA8CAF4}">
      <formula1>"KPI Planeado,Tráfico ,Comentarios,Clicks, Impresiones,Impresiones ,Engagement ,Video Views"</formula1>
    </dataValidation>
    <dataValidation type="list" allowBlank="1" showErrorMessage="1" sqref="G119:G120" xr:uid="{4EA209F2-231D-634F-8641-1557D644F68D}">
      <formula1>"Notas,Contenido Diario,Carrusel,Evergreen,Quizz,Breaking News,Junket,Kartelera,Podcast,Programa de radio,Cobertura de evento,Dinámica"</formula1>
    </dataValidation>
    <dataValidation type="list" allowBlank="1" showErrorMessage="1" sqref="G3:G118" xr:uid="{EFC34908-6E93-AF41-BE89-D8D4AAB41082}">
      <formula1>"Notas,Contenido Diario,Carrusel,Evergreen,Quizz,Breaking News,Junket,Kartelera,Podcast,Programa de radio,Cobertura de evento"</formula1>
    </dataValidation>
    <dataValidation type="list" allowBlank="1" showErrorMessage="1" sqref="H3:H204" xr:uid="{337F62C4-C3C0-2844-B7AD-175298568868}">
      <formula1>"Carrusel,Foto,Reel,Link"</formula1>
    </dataValidation>
    <dataValidation type="list" allowBlank="1" showErrorMessage="1" sqref="G121:G204" xr:uid="{57785870-67EC-C84F-82D0-04CB0BBEEC8C}">
      <formula1>"Notas,Contenido Diario,Palomazo,Evergreen,Quizz,Breaking News,Junket,Kartelera,Podcast,Revista P&amp;N,Cobertura de evento,Dinámica"</formula1>
    </dataValidation>
    <dataValidation type="list" allowBlank="1" showErrorMessage="1" sqref="F3:F204" xr:uid="{92F5AFC6-B85C-0243-B270-9AF6DC4FCCA7}">
      <formula1>"Facebook ,Instagram Feed,TikTok"</formula1>
    </dataValidation>
    <dataValidation type="list" allowBlank="1" showErrorMessage="1" sqref="I3:I118 I120:I204" xr:uid="{219366F8-36E2-E446-9D4B-800277635AC7}">
      <formula1>"KPI Planeado,Tráfico ,Registros,Clicks, Impresiones,Impresiones ,Engagement ,Video Views"</formula1>
    </dataValidation>
  </dataValidations>
  <hyperlinks>
    <hyperlink ref="E3" r:id="rId1" xr:uid="{88041043-479F-2847-B7F4-2EAA955D8652}"/>
    <hyperlink ref="E4" r:id="rId2" xr:uid="{AB9A4418-F12B-5C47-8A55-094B5BA702BE}"/>
    <hyperlink ref="E5" r:id="rId3" xr:uid="{A6D8E8F5-7DE3-0647-BFAF-EF70098B7C3A}"/>
    <hyperlink ref="E6" r:id="rId4" xr:uid="{4DB954BA-E216-A140-BC94-8B0EF2D79F44}"/>
    <hyperlink ref="E7" r:id="rId5" xr:uid="{F353D05C-0D0D-EE43-A005-B8D2C27E16BE}"/>
    <hyperlink ref="E8" r:id="rId6" xr:uid="{5E5F9064-5277-864B-AFCF-A2EDA6A81440}"/>
    <hyperlink ref="E9" r:id="rId7" xr:uid="{9A1706A3-422F-184E-ADA7-9EBF9225B073}"/>
    <hyperlink ref="E10" r:id="rId8" xr:uid="{37AF1D6C-E0CB-7840-9571-69F0B4F67E05}"/>
    <hyperlink ref="E11" r:id="rId9" xr:uid="{3FB519EB-87BC-CC44-B96B-5190F1E1316A}"/>
    <hyperlink ref="E12" r:id="rId10" xr:uid="{D776CF19-6DAD-4842-BEB8-F178E73B1F14}"/>
    <hyperlink ref="E13" r:id="rId11" xr:uid="{1D8AB3D8-81D1-2649-A77F-6CE41DB38AB7}"/>
    <hyperlink ref="E14" r:id="rId12" xr:uid="{F4163E5B-181A-0349-A254-DE6F40E582D1}"/>
    <hyperlink ref="E15" r:id="rId13" xr:uid="{D32E1392-C83A-0642-97BF-7BCE4622D541}"/>
    <hyperlink ref="E16" r:id="rId14" xr:uid="{B27EBD4F-36EA-5146-864E-878D28622854}"/>
    <hyperlink ref="E17" r:id="rId15" xr:uid="{31BADACF-036C-F94A-B1EC-3E1DEC9CC9A0}"/>
    <hyperlink ref="E18" r:id="rId16" xr:uid="{A76AE785-462F-D54F-A03D-257E9862B2CC}"/>
    <hyperlink ref="E19" r:id="rId17" xr:uid="{0E41ACB2-2D54-9C47-94FA-A44D9DAD32BD}"/>
    <hyperlink ref="E20" r:id="rId18" xr:uid="{EB7980E6-BA23-F34F-9C47-990872530E3C}"/>
    <hyperlink ref="E21" r:id="rId19" xr:uid="{CF554B7E-8C30-7349-BFD3-D2AFBED93C88}"/>
    <hyperlink ref="E22" r:id="rId20" xr:uid="{513DFBBE-4756-364B-9021-0F16AE08FACB}"/>
    <hyperlink ref="E23" r:id="rId21" xr:uid="{DB221220-2DB7-B44D-976A-A6D4C62EF77B}"/>
    <hyperlink ref="E24" r:id="rId22" xr:uid="{4A8B6D44-2CA7-4944-930B-F53BFBA3ECCE}"/>
    <hyperlink ref="E25" r:id="rId23" xr:uid="{128393BB-21FE-CF46-A4A0-8E744EB154D3}"/>
    <hyperlink ref="E26" r:id="rId24" xr:uid="{76F1A4FE-38EB-3D40-BFCF-945FA1FD3FB0}"/>
    <hyperlink ref="E27" r:id="rId25" xr:uid="{93722379-001F-FA4D-B1A5-3B7871B85854}"/>
    <hyperlink ref="E28" r:id="rId26" xr:uid="{AFF05AE0-4873-7349-B9C5-103A9D10F15D}"/>
    <hyperlink ref="E29" r:id="rId27" xr:uid="{AEFB47A1-47D1-E749-B0A2-A9255A1426BC}"/>
    <hyperlink ref="E30" r:id="rId28" xr:uid="{060B10B6-56EB-7240-8C67-D6740CF64D7C}"/>
    <hyperlink ref="E31" r:id="rId29" xr:uid="{F7CDE942-8588-024C-9FCF-C060A13E0DB9}"/>
    <hyperlink ref="E32" r:id="rId30" xr:uid="{3DFACCB6-95C7-BE4B-91DF-A4EB697020F6}"/>
    <hyperlink ref="E33" r:id="rId31" xr:uid="{E078DBBA-E4FD-E541-AF13-0B8E6B6B37DB}"/>
    <hyperlink ref="E34" r:id="rId32" xr:uid="{0EC9D005-BA39-E147-9CE8-8B5BBD8E2C79}"/>
    <hyperlink ref="E35" r:id="rId33" xr:uid="{9F7E7ECD-9E46-F24A-B1F6-46F0DBCFC86A}"/>
    <hyperlink ref="E36" r:id="rId34" xr:uid="{96B39FBE-28A5-4145-B067-66A53AA4C856}"/>
    <hyperlink ref="E37" r:id="rId35" xr:uid="{997A10B1-AB28-6F47-9D5A-8FBA79BD976B}"/>
    <hyperlink ref="E38" r:id="rId36" xr:uid="{B4C9865A-FDB1-9746-9F95-7F67423A9F06}"/>
    <hyperlink ref="E39" r:id="rId37" xr:uid="{1D44B323-2CAC-4C49-91BC-BE5D28A45E62}"/>
    <hyperlink ref="E40" r:id="rId38" xr:uid="{40F451E1-CB82-6246-B732-3002AE447C4D}"/>
    <hyperlink ref="E41" r:id="rId39" xr:uid="{05DBF4C5-54EB-B44F-AE68-4C842C4290C8}"/>
    <hyperlink ref="E42" r:id="rId40" xr:uid="{F31FC4D2-CAC2-304D-8DD7-D89F41F4B367}"/>
    <hyperlink ref="E43" r:id="rId41" xr:uid="{48D9678E-51A4-E74C-909F-BDE1F088D8F0}"/>
    <hyperlink ref="E44" r:id="rId42" xr:uid="{D53A454D-EE84-8A4A-B2EF-428519DB5935}"/>
    <hyperlink ref="E45" r:id="rId43" xr:uid="{59AAA293-ABE3-4B4F-BB89-BD65F1ED5E0B}"/>
    <hyperlink ref="E46" r:id="rId44" xr:uid="{36197337-1700-684F-9E9D-CD914BCEF970}"/>
    <hyperlink ref="E47" r:id="rId45" xr:uid="{7A7CC4BA-0649-3548-89D4-7002AC6C9BFF}"/>
    <hyperlink ref="E48" r:id="rId46" xr:uid="{D0A9774C-73BE-504F-8DEF-10CDD04701E1}"/>
    <hyperlink ref="E49" r:id="rId47" xr:uid="{E5D5150F-C641-6B4C-85EE-2CC7CB4F7BE4}"/>
    <hyperlink ref="E50" r:id="rId48" xr:uid="{11387520-858C-DD43-8EC5-45F8164B2DAB}"/>
    <hyperlink ref="E51" r:id="rId49" xr:uid="{BA7AEB5B-1D9A-EA48-BF4A-C5C86C055A38}"/>
    <hyperlink ref="E52" r:id="rId50" xr:uid="{D0899244-6ED8-B541-A830-0F3C1D17ED92}"/>
    <hyperlink ref="E53" r:id="rId51" xr:uid="{6A33975D-30CE-6846-8C50-EDB33B44846B}"/>
    <hyperlink ref="E54" r:id="rId52" xr:uid="{4CD267E7-FEA4-F741-8499-EB4375C7C646}"/>
    <hyperlink ref="E55" r:id="rId53" xr:uid="{7EDDD433-6D6A-6C4C-A6DE-F4AE0ED8C067}"/>
    <hyperlink ref="E56" r:id="rId54" xr:uid="{A26B1573-FC53-6C4F-B47B-8F6AC52B2286}"/>
    <hyperlink ref="E57" r:id="rId55" xr:uid="{F7CB9193-B2BF-1049-A51A-D9C774E1B9D1}"/>
    <hyperlink ref="E58" r:id="rId56" xr:uid="{B0720E05-CCA7-5141-BBA3-D8595E66D23E}"/>
    <hyperlink ref="E59" r:id="rId57" xr:uid="{181BC124-54F4-5F46-8BBF-F5B5367BD324}"/>
    <hyperlink ref="E60" r:id="rId58" xr:uid="{138A955D-C86E-F04A-8255-012CE07131CE}"/>
    <hyperlink ref="E61" r:id="rId59" xr:uid="{E44D230C-01EE-EA48-858B-7C6157E95E0E}"/>
    <hyperlink ref="E62" r:id="rId60" xr:uid="{54CCF9F8-18EC-1446-91A3-853EAB3F314C}"/>
    <hyperlink ref="E63" r:id="rId61" xr:uid="{E910463E-6AA2-AE49-8331-9C7B1CC712C9}"/>
    <hyperlink ref="E64" r:id="rId62" xr:uid="{246FC7DD-21B4-D848-837A-AC2BF1600368}"/>
    <hyperlink ref="E65" r:id="rId63" xr:uid="{2982862E-E3B0-2845-83AC-0810277D4071}"/>
    <hyperlink ref="E66" r:id="rId64" xr:uid="{EFC276F1-0506-CC4C-B3B2-50070297AAA3}"/>
    <hyperlink ref="E67" r:id="rId65" xr:uid="{2ED1495E-2902-AA48-8851-EA192FB6FDE1}"/>
    <hyperlink ref="E68" r:id="rId66" xr:uid="{97A9B1CA-67D5-EB44-8D0F-3A83F30E98B7}"/>
    <hyperlink ref="E69" r:id="rId67" xr:uid="{2FAA8323-62CB-E844-A621-B84029C3995E}"/>
    <hyperlink ref="E70" r:id="rId68" xr:uid="{E95565A0-0687-674A-B645-6C496C9520D5}"/>
    <hyperlink ref="E71" r:id="rId69" xr:uid="{2F3FFECF-A2D7-9549-8349-9CE0ECE56681}"/>
    <hyperlink ref="E72" r:id="rId70" xr:uid="{C83B3E61-4D6B-514F-A8B1-D155B0C72CC7}"/>
    <hyperlink ref="E73" r:id="rId71" xr:uid="{D6EA480E-B2F3-DE4B-9500-64328A3B6CBB}"/>
    <hyperlink ref="E74" r:id="rId72" xr:uid="{DCEBFDE2-DA88-AB4F-A805-173FBA66BE5A}"/>
    <hyperlink ref="E75" r:id="rId73" xr:uid="{84254481-6FB1-5247-A06A-78E5BD0D601C}"/>
    <hyperlink ref="E76" r:id="rId74" xr:uid="{1D13F82B-2D3B-E940-839F-497A51B73784}"/>
    <hyperlink ref="E77" r:id="rId75" xr:uid="{F4AEC8D1-237A-5044-B1D1-FA7387350542}"/>
    <hyperlink ref="E78" r:id="rId76" xr:uid="{A2635988-3E8B-A045-A0B6-A2688EBC9B70}"/>
    <hyperlink ref="E79" r:id="rId77" xr:uid="{EDA0D211-CEE5-BC46-85E2-E9B03A783ECF}"/>
    <hyperlink ref="E80" r:id="rId78" xr:uid="{9DC94E27-4E17-074A-A5C4-827F81E0951E}"/>
    <hyperlink ref="E81" r:id="rId79" xr:uid="{30C9B2E5-D7BA-7D40-924B-0CC929CD0DD3}"/>
    <hyperlink ref="E82" r:id="rId80" xr:uid="{2BE5777F-85CE-E349-8D8E-FC515407AA16}"/>
    <hyperlink ref="E83" r:id="rId81" xr:uid="{21EA096C-A3F5-304A-B46B-6E0456D63090}"/>
    <hyperlink ref="E84" r:id="rId82" xr:uid="{DE7B0515-CCC0-434A-84EE-693CEB7BDC10}"/>
    <hyperlink ref="E85" r:id="rId83" xr:uid="{57AF62EB-5306-EF48-8013-ED14A284242C}"/>
    <hyperlink ref="E86" r:id="rId84" xr:uid="{C98F1131-D31A-FA41-9D69-0400BA6210ED}"/>
    <hyperlink ref="E87" r:id="rId85" xr:uid="{C1409A7E-28CD-EE45-97A4-B4AAA582F3F9}"/>
    <hyperlink ref="E88" r:id="rId86" xr:uid="{75C42AB2-076C-2C4C-9813-53F98AC17578}"/>
    <hyperlink ref="E89" r:id="rId87" xr:uid="{60C4AB7F-E612-D94E-9E3A-24B5CF287690}"/>
    <hyperlink ref="E90" r:id="rId88" xr:uid="{0ABF27FB-10BF-664E-81A5-7B1E087D5564}"/>
    <hyperlink ref="E91" r:id="rId89" xr:uid="{A209DE5A-7F04-124A-B610-78C04A98ADBB}"/>
    <hyperlink ref="E92" r:id="rId90" xr:uid="{C2C3889A-A066-E54F-9691-55543DA21FD4}"/>
    <hyperlink ref="E93" r:id="rId91" xr:uid="{5CFE597C-2B28-894B-AF5F-F9DC41DDBD58}"/>
    <hyperlink ref="E94" r:id="rId92" xr:uid="{86522CE3-BA61-8149-B913-0CF0A0F4C884}"/>
    <hyperlink ref="E95" r:id="rId93" xr:uid="{8B12B6FB-7F19-CE46-910F-072586A570D0}"/>
    <hyperlink ref="E96" r:id="rId94" xr:uid="{A03FE2B6-D3B3-A048-BF17-C60DA9FDEBBA}"/>
    <hyperlink ref="E97" r:id="rId95" xr:uid="{C30ECB49-1B65-6B43-9DC0-9291A07EB1A8}"/>
    <hyperlink ref="E98" r:id="rId96" xr:uid="{E55C14CA-D8F8-FF4A-9F8D-FCC4DE8986C3}"/>
    <hyperlink ref="E99" r:id="rId97" xr:uid="{B144C24E-4BBE-4540-869F-BFC5724BBB30}"/>
    <hyperlink ref="E100" r:id="rId98" xr:uid="{8A6F25C3-C544-CF41-8CD3-B7BEF99A4AD9}"/>
    <hyperlink ref="E101" r:id="rId99" xr:uid="{64051542-F0AD-3A43-B356-F81CC24614A8}"/>
    <hyperlink ref="E102" r:id="rId100" xr:uid="{4146BD53-4DDA-DB49-B65F-4A4B287985E3}"/>
    <hyperlink ref="E103" r:id="rId101" xr:uid="{8DE652FE-E3CB-B14C-95A2-9888716F4E84}"/>
    <hyperlink ref="E104" r:id="rId102" xr:uid="{02831ED4-02F6-C14C-8ACA-368A0A14B973}"/>
    <hyperlink ref="E105" r:id="rId103" xr:uid="{48E40EDF-7854-1946-AC70-B979811C2864}"/>
    <hyperlink ref="E106" r:id="rId104" xr:uid="{D9A9690F-7C61-C041-9497-85E5855E153F}"/>
    <hyperlink ref="E107" r:id="rId105" xr:uid="{99EBDE5D-260F-7340-ACD1-E088E0726A7A}"/>
    <hyperlink ref="E108" r:id="rId106" xr:uid="{A086ED96-E299-184F-AD73-E9DE2CC20EA7}"/>
    <hyperlink ref="E109" r:id="rId107" xr:uid="{773A49AC-F890-5049-8C1C-C8E8B27F3A3F}"/>
    <hyperlink ref="E110" r:id="rId108" xr:uid="{7BE001E9-89DF-C74C-8D9F-51417B1CA269}"/>
    <hyperlink ref="E111" r:id="rId109" xr:uid="{93ABAD62-3413-1A4F-8EBB-7328F99091DF}"/>
    <hyperlink ref="E112" r:id="rId110" xr:uid="{31EE0B3A-9E0D-F34B-A7D9-6DC106B3C491}"/>
    <hyperlink ref="E113" r:id="rId111" xr:uid="{96ED2BB9-CFEC-4F49-962B-68A91934D2AA}"/>
    <hyperlink ref="E114" r:id="rId112" xr:uid="{6B7C08C3-E385-C446-A40E-609197ACB926}"/>
    <hyperlink ref="E115" r:id="rId113" xr:uid="{74C0CBD2-272A-994D-8DB4-4A57B4DB8B96}"/>
    <hyperlink ref="E116" r:id="rId114" xr:uid="{F14B2B04-8F08-A74D-A082-A1BC4967C910}"/>
    <hyperlink ref="E117" r:id="rId115" xr:uid="{3E03F334-03C0-C543-8AA1-E5DD118CEA25}"/>
    <hyperlink ref="E118" r:id="rId116" xr:uid="{A13041D8-8446-9447-9B1B-6201E9962FCF}"/>
    <hyperlink ref="E119" r:id="rId117" xr:uid="{CF477BCF-17B7-694C-92C3-5E6B6C1142C7}"/>
    <hyperlink ref="E120" r:id="rId118" xr:uid="{B100AB4C-CE66-794E-ADEB-772DD6432127}"/>
    <hyperlink ref="E121" r:id="rId119" xr:uid="{99D58A61-5B16-CC41-9273-CC14772D6545}"/>
    <hyperlink ref="E122" r:id="rId120" xr:uid="{8F4E516D-ACA6-374F-A35B-AFC2C77D3A8A}"/>
    <hyperlink ref="E123" r:id="rId121" xr:uid="{F7C91B2E-5E0D-0A4F-9F1E-FD2AD355F2D2}"/>
    <hyperlink ref="E124" r:id="rId122" xr:uid="{6E4DCF36-722E-5A45-961A-B79EC6F5B92A}"/>
    <hyperlink ref="E125" r:id="rId123" xr:uid="{529FC2C3-0BDC-4B49-95D5-E0DC389F7C24}"/>
    <hyperlink ref="E126" r:id="rId124" xr:uid="{9E02D5E6-15D8-9E41-8292-59C12CAA5360}"/>
    <hyperlink ref="E127" r:id="rId125" xr:uid="{E571AC2B-804A-6A48-8064-8BEA9C5AFC78}"/>
    <hyperlink ref="E128" r:id="rId126" xr:uid="{938CA378-F634-244B-8D0C-5E1DDD3F50F6}"/>
    <hyperlink ref="E129" r:id="rId127" xr:uid="{F7CAFA62-3B82-8942-A93D-8EBC16D595B8}"/>
    <hyperlink ref="E130" r:id="rId128" xr:uid="{310609DA-703B-C046-B499-FC73341B7F15}"/>
    <hyperlink ref="E131" r:id="rId129" xr:uid="{C2A9F114-7132-1D4B-98FE-098533FD7A19}"/>
    <hyperlink ref="E132" r:id="rId130" xr:uid="{85DF7713-7833-AD42-AE71-DEED710D6445}"/>
    <hyperlink ref="E133" r:id="rId131" xr:uid="{56FD9974-80AF-534D-878D-F4462E45C000}"/>
    <hyperlink ref="E134" r:id="rId132" xr:uid="{520444E6-5B4F-574A-A902-0CE18A8DCB91}"/>
    <hyperlink ref="E135" r:id="rId133" xr:uid="{464FE285-820C-C84F-8436-6C0D01AF1E4E}"/>
    <hyperlink ref="E136" r:id="rId134" xr:uid="{34F21F84-4DCC-894D-9A4F-85B0322A0A01}"/>
    <hyperlink ref="E137" r:id="rId135" xr:uid="{358FC12E-F2F7-4E4B-8D4F-D67070655513}"/>
    <hyperlink ref="E138" r:id="rId136" xr:uid="{9DB4D027-66AB-E345-9827-81929514048B}"/>
    <hyperlink ref="E139" r:id="rId137" xr:uid="{EABEFCE0-4305-7F45-A754-1FBF026A841E}"/>
    <hyperlink ref="E140" r:id="rId138" xr:uid="{E4F35E02-2FE9-0142-A476-64DA9D044A0B}"/>
    <hyperlink ref="E141" r:id="rId139" xr:uid="{37FD428B-05FB-FE4A-B3CE-239F96FB2BDC}"/>
    <hyperlink ref="E142" r:id="rId140" xr:uid="{F33DD1C4-66DA-4C42-8F38-7985F3C5F24E}"/>
    <hyperlink ref="E143" r:id="rId141" xr:uid="{F4693C0E-9316-1E4B-8EE8-E42501A99FF0}"/>
    <hyperlink ref="E144" r:id="rId142" xr:uid="{C149D022-AF39-824F-B120-585926C75A72}"/>
    <hyperlink ref="E145" r:id="rId143" xr:uid="{59F83E42-5C99-8946-B4CD-79DE1D5E10A8}"/>
    <hyperlink ref="E146" r:id="rId144" xr:uid="{82922D65-E236-1D41-B9C1-3A5A604E0636}"/>
    <hyperlink ref="E147" r:id="rId145" xr:uid="{B64686AC-4A44-DB4D-A5BF-A77347E8E4A0}"/>
    <hyperlink ref="E148" r:id="rId146" xr:uid="{955D41AF-D1C5-454F-AB5B-515AEA76E7C3}"/>
    <hyperlink ref="E149" r:id="rId147" xr:uid="{7EBD14D9-8046-1643-8963-2E7134AFC961}"/>
    <hyperlink ref="E150" r:id="rId148" xr:uid="{5DFBAD6B-3B78-C547-985A-F305FE9570C1}"/>
    <hyperlink ref="E151" r:id="rId149" xr:uid="{AC42B89D-3049-CA40-8365-770069AD212F}"/>
    <hyperlink ref="E152" r:id="rId150" xr:uid="{C034828F-A8A1-2F42-B6E4-F3F7B15DA6CF}"/>
    <hyperlink ref="E153" r:id="rId151" xr:uid="{400BA350-84A4-734F-9BD8-F8E4A502B627}"/>
    <hyperlink ref="E154" r:id="rId152" xr:uid="{C8318A7F-A0E4-DE41-BBFF-DB6A99C18CFB}"/>
    <hyperlink ref="E155" r:id="rId153" xr:uid="{F7109CEC-82B9-0E48-9F43-AFF98BE2F13B}"/>
    <hyperlink ref="E156" r:id="rId154" xr:uid="{A5525E52-7AA5-9043-BB28-0A7EAD72C4E6}"/>
    <hyperlink ref="E157" r:id="rId155" xr:uid="{52BCE2F9-0BAC-6742-9E04-08CD51763EB5}"/>
    <hyperlink ref="E158" r:id="rId156" xr:uid="{AD6605C5-8A93-8846-8073-CA869BF750EE}"/>
    <hyperlink ref="E159" r:id="rId157" xr:uid="{C849FFFA-D5F0-AB42-92E3-01EFB7FF855D}"/>
    <hyperlink ref="E160" r:id="rId158" xr:uid="{EBC41E7B-216D-DD45-B0D0-3F523D0792D8}"/>
    <hyperlink ref="E161" r:id="rId159" xr:uid="{8A0CC101-2645-A84A-AA9F-7AFE73FF4623}"/>
    <hyperlink ref="E162" r:id="rId160" xr:uid="{C4B0299D-BED5-994F-9978-F0D66EB0B021}"/>
    <hyperlink ref="E163" r:id="rId161" xr:uid="{7A20196D-F5CA-294F-AD40-6967DAB1FCD8}"/>
    <hyperlink ref="E164" r:id="rId162" xr:uid="{9FEBE4F6-BA99-5440-A226-1E2BFD17B27C}"/>
    <hyperlink ref="E165" r:id="rId163" xr:uid="{6DF2E263-A23B-E045-9F21-6C990C9125D7}"/>
    <hyperlink ref="E166" r:id="rId164" xr:uid="{019A6526-8DBF-7D4C-9D31-465BDDC931DE}"/>
    <hyperlink ref="E167" r:id="rId165" xr:uid="{9656321B-8062-0F44-9992-259722C2E77A}"/>
    <hyperlink ref="E168" r:id="rId166" xr:uid="{53B99C97-8BBB-C34D-9A49-E29897ABFFB6}"/>
    <hyperlink ref="E169" r:id="rId167" xr:uid="{986BA8B6-2DCC-C54C-8C65-A8BF64975A3A}"/>
    <hyperlink ref="E170" r:id="rId168" xr:uid="{5FD3E1BB-AB53-1941-9A51-9EBDF917BF86}"/>
    <hyperlink ref="E171" r:id="rId169" xr:uid="{CF39185D-B883-784C-874B-539880DBA7F0}"/>
    <hyperlink ref="E172" r:id="rId170" xr:uid="{B70DD539-A6B5-E54B-A365-7F2EA93A1179}"/>
    <hyperlink ref="E173" r:id="rId171" xr:uid="{2DECB87C-FE5B-4648-9070-B5DB887148A7}"/>
    <hyperlink ref="E174" r:id="rId172" xr:uid="{78676ED2-DFC0-A643-957A-4724A9C086C7}"/>
    <hyperlink ref="E175" r:id="rId173" xr:uid="{38E2EA82-F6A9-6B4D-B003-65FF19F19642}"/>
    <hyperlink ref="E176" r:id="rId174" xr:uid="{7D5C3FD4-B62A-9543-B0E8-05E73C99CF55}"/>
    <hyperlink ref="E177" r:id="rId175" xr:uid="{A7E3FD1C-C451-5E42-8BE1-8EA85AB432E4}"/>
    <hyperlink ref="E178" r:id="rId176" xr:uid="{CC6F0141-70A6-F64A-B3CC-21B6C9CB2DFA}"/>
    <hyperlink ref="E179" r:id="rId177" xr:uid="{687819B3-4381-9748-825B-C35A05411F77}"/>
    <hyperlink ref="E180" r:id="rId178" xr:uid="{42C32A0F-34C9-904D-B817-5059FE065A9C}"/>
    <hyperlink ref="E181" r:id="rId179" xr:uid="{69D7739B-B171-CD4E-A2B6-E71FFAFCC133}"/>
    <hyperlink ref="E182" r:id="rId180" xr:uid="{D60BDBDD-94D9-A646-B3E8-07EA7AE7744A}"/>
    <hyperlink ref="E183" r:id="rId181" xr:uid="{47C93219-F6A7-5E46-ADBD-BA36AE187F5C}"/>
    <hyperlink ref="E184" r:id="rId182" xr:uid="{A9222EEF-9656-D345-98DB-89964A678C7B}"/>
    <hyperlink ref="E186" r:id="rId183" xr:uid="{6C014D31-FEC1-B243-A85D-C07829B6F01B}"/>
    <hyperlink ref="E187" r:id="rId184" xr:uid="{35F137CE-936B-894C-BE31-B87861EBFA6D}"/>
    <hyperlink ref="E188" r:id="rId185" xr:uid="{69F51904-2E9C-B54E-B99B-393D9E5B7A4D}"/>
    <hyperlink ref="E189" r:id="rId186" xr:uid="{23007D5D-3506-AA45-8064-134EA9A5898C}"/>
    <hyperlink ref="E190" r:id="rId187" xr:uid="{E5C06FD1-E95B-BD43-96AE-5CAED53F1257}"/>
    <hyperlink ref="E191" r:id="rId188" xr:uid="{4103CA34-642F-D34F-B601-178FFE4C3E5D}"/>
    <hyperlink ref="E192" r:id="rId189" xr:uid="{8C968ECC-A98C-C545-BFED-7462C0C4378B}"/>
    <hyperlink ref="E193" r:id="rId190" xr:uid="{FC92C693-FE67-4D4E-AFEC-2B8FD3448739}"/>
    <hyperlink ref="E194" r:id="rId191" xr:uid="{9D923633-702D-B948-B19F-D0CA508594C3}"/>
    <hyperlink ref="E195" r:id="rId192" xr:uid="{1D0074F4-A381-C24C-8677-CE351A517EB2}"/>
    <hyperlink ref="E196" r:id="rId193" xr:uid="{001F0DEE-4526-9646-9999-D04371448DDC}"/>
    <hyperlink ref="E197" r:id="rId194" xr:uid="{68BB4553-2071-9F41-A014-E7BA12D0B304}"/>
    <hyperlink ref="E198" r:id="rId195" xr:uid="{2943950F-672F-ED4C-A69D-2E7384DF53E2}"/>
    <hyperlink ref="E199" r:id="rId196" xr:uid="{77202BA6-35A4-2F47-9BF2-B42478AC8A90}"/>
    <hyperlink ref="E200" r:id="rId197" xr:uid="{DDD4CC80-AB1B-394E-BF10-14A272DDDDAD}"/>
    <hyperlink ref="E201" r:id="rId198" xr:uid="{F3996480-F3D3-2C45-B1A7-4753640F5A5E}"/>
    <hyperlink ref="E202" r:id="rId199" xr:uid="{E6AECC8C-D666-8048-8081-226D40640F0C}"/>
    <hyperlink ref="E203" r:id="rId200" xr:uid="{A48A02B1-5B13-E742-BCB3-2294614B673A}"/>
    <hyperlink ref="E204" r:id="rId201" xr:uid="{7B0E8243-E082-344F-9AA5-3F6DBD5BE1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Marti Hernandez</dc:creator>
  <cp:keywords/>
  <dc:description/>
  <cp:lastModifiedBy/>
  <cp:revision/>
  <dcterms:created xsi:type="dcterms:W3CDTF">2025-04-30T18:10:15Z</dcterms:created>
  <dcterms:modified xsi:type="dcterms:W3CDTF">2025-04-30T19:25:15Z</dcterms:modified>
  <cp:category/>
  <cp:contentStatus/>
</cp:coreProperties>
</file>